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q- 271225" sheetId="1" r:id="rId4"/>
    <sheet state="visible" name="WO- Awdesh" sheetId="2" r:id="rId5"/>
    <sheet state="visible" name="CNC ORDERS" sheetId="3" r:id="rId6"/>
    <sheet state="visible" name="Sheet17" sheetId="4" r:id="rId7"/>
    <sheet state="visible" name="loose items alisha  mahesh" sheetId="5" r:id="rId8"/>
    <sheet state="visible" name="R1" sheetId="6" r:id="rId9"/>
    <sheet state="visible" name="14.03.25" sheetId="7" r:id="rId10"/>
    <sheet state="visible" name="Amruta - recheck" sheetId="8" r:id="rId11"/>
    <sheet state="visible" name="18.06.25" sheetId="9" r:id="rId12"/>
    <sheet state="visible" name="RAMDIN - WO" sheetId="10" r:id="rId13"/>
    <sheet state="visible" name="Sheet12" sheetId="11" r:id="rId14"/>
    <sheet state="hidden" name="R1-opt2" sheetId="12" r:id="rId15"/>
    <sheet state="visible" name="Rate card" sheetId="13" r:id="rId16"/>
    <sheet state="visible" name="Weekly Schedule" sheetId="14" r:id="rId17"/>
  </sheets>
  <definedNames/>
  <calcPr/>
</workbook>
</file>

<file path=xl/sharedStrings.xml><?xml version="1.0" encoding="utf-8"?>
<sst xmlns="http://schemas.openxmlformats.org/spreadsheetml/2006/main" count="6909" uniqueCount="1401">
  <si>
    <t xml:space="preserve">Birthday </t>
  </si>
  <si>
    <t xml:space="preserve">31st Jan </t>
  </si>
  <si>
    <t>Date :</t>
  </si>
  <si>
    <t>Project Code :</t>
  </si>
  <si>
    <t>Client Name :</t>
  </si>
  <si>
    <t>Rahul Dhanawat</t>
  </si>
  <si>
    <t>Quotation Revision :</t>
  </si>
  <si>
    <t xml:space="preserve">Address : </t>
  </si>
  <si>
    <t>10BKC</t>
  </si>
  <si>
    <t>Elemantra Contact Person :</t>
  </si>
  <si>
    <t>Payal- 93724 07848</t>
  </si>
  <si>
    <t xml:space="preserve">Quotation Summary </t>
  </si>
  <si>
    <t>SR.NO</t>
  </si>
  <si>
    <t xml:space="preserve">Description </t>
  </si>
  <si>
    <t>Amount</t>
  </si>
  <si>
    <t>Area in Sqft</t>
  </si>
  <si>
    <t>1</t>
  </si>
  <si>
    <t>Loose furniture</t>
  </si>
  <si>
    <t>2</t>
  </si>
  <si>
    <t>Additional items</t>
  </si>
  <si>
    <t>Civil</t>
  </si>
  <si>
    <t>Additional items -2</t>
  </si>
  <si>
    <t>Plumbing</t>
  </si>
  <si>
    <t>Total B</t>
  </si>
  <si>
    <t>3</t>
  </si>
  <si>
    <t>Electrical</t>
  </si>
  <si>
    <t>Total A+B</t>
  </si>
  <si>
    <t>4</t>
  </si>
  <si>
    <t>POP</t>
  </si>
  <si>
    <t>GST 18% extra</t>
  </si>
  <si>
    <t>5</t>
  </si>
  <si>
    <t>Carpentry</t>
  </si>
  <si>
    <t>6</t>
  </si>
  <si>
    <t>Painting</t>
  </si>
  <si>
    <t>7</t>
  </si>
  <si>
    <t>Miscellenious</t>
  </si>
  <si>
    <t>8</t>
  </si>
  <si>
    <t>Design Consultation Fees(10%)</t>
  </si>
  <si>
    <t>Total A</t>
  </si>
  <si>
    <t xml:space="preserve">Per Sqft Rate </t>
  </si>
  <si>
    <t>Sr.No</t>
  </si>
  <si>
    <t>Id</t>
  </si>
  <si>
    <t>Item Name</t>
  </si>
  <si>
    <t>Category</t>
  </si>
  <si>
    <t>Item Details</t>
  </si>
  <si>
    <t>Description</t>
  </si>
  <si>
    <t>UOM</t>
  </si>
  <si>
    <t>Elemantra Rates</t>
  </si>
  <si>
    <t>Quantity
14.03.2025</t>
  </si>
  <si>
    <t>Area</t>
  </si>
  <si>
    <t xml:space="preserve">Difference Amount </t>
  </si>
  <si>
    <t>RA - 1 - WORK %</t>
  </si>
  <si>
    <t>RA - 1 - WORK %- AMOUNT</t>
  </si>
  <si>
    <t>Location</t>
  </si>
  <si>
    <t>Remark</t>
  </si>
  <si>
    <t xml:space="preserve">MAHESH LOOSE ITEMS </t>
  </si>
  <si>
    <t>DEEPAK MODULAR</t>
  </si>
  <si>
    <t xml:space="preserve">ON SITE CARPENTRY </t>
  </si>
  <si>
    <t>CNC MEHTA</t>
  </si>
  <si>
    <t>Demolition</t>
  </si>
  <si>
    <t>walls</t>
  </si>
  <si>
    <t>NA</t>
  </si>
  <si>
    <t>sq.ft</t>
  </si>
  <si>
    <t>250</t>
  </si>
  <si>
    <t>40</t>
  </si>
  <si>
    <t>Entire kitchen this includes below platform as well since wwe are changing verticles it will get damage .</t>
  </si>
  <si>
    <t>servent ,samar &amp; master bathroom door shifting</t>
  </si>
  <si>
    <t>keeping 100 sq.ft extra</t>
  </si>
  <si>
    <t>civil</t>
  </si>
  <si>
    <t>Making</t>
  </si>
  <si>
    <t>350</t>
  </si>
  <si>
    <t>-</t>
  </si>
  <si>
    <t>Kitchen Window &amp;door frame</t>
  </si>
  <si>
    <t>samar &amp; master bathroom wall sfifting</t>
  </si>
  <si>
    <t>kitchen platform</t>
  </si>
  <si>
    <t>includes marble verticals, base marble, moulding , cutting etc , also includes floor bedding with marble</t>
  </si>
  <si>
    <t>utility  platform</t>
  </si>
  <si>
    <t>3000</t>
  </si>
  <si>
    <t>Bathroom Tile</t>
  </si>
  <si>
    <t>4x2 tile</t>
  </si>
  <si>
    <t>Laying of Wall tiles of approved colour and size as per drawing, over 20 mm thick cement mortar 1 : 4 ( 1 cement : 4 coarse sand ) and jointed with white cement slurry admixed with matching pigment to match the shade of tile &amp; Grouting and spacer to be included.</t>
  </si>
  <si>
    <t>936</t>
  </si>
  <si>
    <t xml:space="preserve"> 4 Bathroom Tile</t>
  </si>
  <si>
    <t>Plaster</t>
  </si>
  <si>
    <t xml:space="preserve">Providing and laying 12-25 mm thick cement plaster of mis 1 : 4 (1 cement : 4 sand with 50% coarse sand &amp; 50% fine sand) to all type of RCC / brick surface in line, level and plumb including providing  wiremesh at all junctions of walls and ceilings etc. complete. </t>
  </si>
  <si>
    <t>bathroom window frame</t>
  </si>
  <si>
    <t>single patti</t>
  </si>
  <si>
    <t>Granite Frame – up to 6 Inches width
{Including Bevelling+ Cutting+ Polishing}. Excludes Granite cost</t>
  </si>
  <si>
    <t>4 bathroom window and 1 kitchen window and 1 show unit window</t>
  </si>
  <si>
    <t>brickbat</t>
  </si>
  <si>
    <t>200</t>
  </si>
  <si>
    <t>4 bathroom floor</t>
  </si>
  <si>
    <t>9</t>
  </si>
  <si>
    <t>waterproffing</t>
  </si>
  <si>
    <t>2 cote</t>
  </si>
  <si>
    <t>10</t>
  </si>
  <si>
    <t>Bathroom floor tile</t>
  </si>
  <si>
    <t>11</t>
  </si>
  <si>
    <t>vanity counter</t>
  </si>
  <si>
    <t>ls</t>
  </si>
  <si>
    <t>12</t>
  </si>
  <si>
    <t>ledge</t>
  </si>
  <si>
    <t>la</t>
  </si>
  <si>
    <t>13</t>
  </si>
  <si>
    <t>14</t>
  </si>
  <si>
    <t>plain tile</t>
  </si>
  <si>
    <t>tile behid utility and below platform</t>
  </si>
  <si>
    <t>15</t>
  </si>
  <si>
    <t>marble  wardrobe in utility area</t>
  </si>
  <si>
    <t xml:space="preserve">shutters are not included </t>
  </si>
  <si>
    <t>16</t>
  </si>
  <si>
    <t>150</t>
  </si>
  <si>
    <t>17</t>
  </si>
  <si>
    <t>Marble Polish</t>
  </si>
  <si>
    <t>Sq.ft</t>
  </si>
  <si>
    <t>2500</t>
  </si>
  <si>
    <t>18</t>
  </si>
  <si>
    <t>Niche</t>
  </si>
  <si>
    <t>19</t>
  </si>
  <si>
    <t>Ledge</t>
  </si>
  <si>
    <t>Rft</t>
  </si>
  <si>
    <t>20</t>
  </si>
  <si>
    <t>Bathroom dooe frame</t>
  </si>
  <si>
    <t>rft</t>
  </si>
  <si>
    <t>?</t>
  </si>
  <si>
    <t>Total</t>
  </si>
  <si>
    <t>PL 2</t>
  </si>
  <si>
    <t>Bathroom Plumbing</t>
  </si>
  <si>
    <t>CP fitting work 1 Basin +cp fittings+Ceiling shower</t>
  </si>
  <si>
    <t xml:space="preserve">cp fiting and sanitary ware fixing in a bathroom  </t>
  </si>
  <si>
    <t>per bathroom</t>
  </si>
  <si>
    <t>35000</t>
  </si>
  <si>
    <t>Samar's toilet</t>
  </si>
  <si>
    <t>Ceiling shower+body jets+c.p fittings</t>
  </si>
  <si>
    <t>45000</t>
  </si>
  <si>
    <t>Master &amp; Ranbeer</t>
  </si>
  <si>
    <t>Mother's toilet</t>
  </si>
  <si>
    <t>PL 3</t>
  </si>
  <si>
    <t>3 sink+dishwahser+washing machine</t>
  </si>
  <si>
    <t>20000</t>
  </si>
  <si>
    <t>Kitchen &amp; Utility</t>
  </si>
  <si>
    <t>E 1</t>
  </si>
  <si>
    <t>5A Switch socket, Light points,AC point, Fan point, Circuit wiring, DB Dressing</t>
  </si>
  <si>
    <t xml:space="preserve">new 5A Switch &amp; Socket, light points, 15A, AC point, fan point from DB on wall include the price for wire and conduits, chipping and replastering on wall is included </t>
  </si>
  <si>
    <t>NOTE - The rates include fixingof switch / socket in position, effecting proper connections testing and commissioning of lighting fixtures and fans including lamps, control gear, power factor improvement capacitor and all fixing accessories that may be required to check.</t>
  </si>
  <si>
    <t>All areas</t>
  </si>
  <si>
    <t>1673</t>
  </si>
  <si>
    <t>TOTAL</t>
  </si>
  <si>
    <t>Pop/Falsceiling</t>
  </si>
  <si>
    <t>FC 3</t>
  </si>
  <si>
    <t>1447</t>
  </si>
  <si>
    <t xml:space="preserve">All areas </t>
  </si>
  <si>
    <t>FC 4</t>
  </si>
  <si>
    <t>800</t>
  </si>
  <si>
    <t>FC 5</t>
  </si>
  <si>
    <t xml:space="preserve">226 </t>
  </si>
  <si>
    <t>Toilets</t>
  </si>
  <si>
    <t>FC 11</t>
  </si>
  <si>
    <t>1000</t>
  </si>
  <si>
    <t>Patch work wall punning</t>
  </si>
  <si>
    <t>FC 17</t>
  </si>
  <si>
    <t>Living Room/Dining</t>
  </si>
  <si>
    <t>CP 111</t>
  </si>
  <si>
    <t>Main Door</t>
  </si>
  <si>
    <t>Veneer Finish</t>
  </si>
  <si>
    <t>MR ply +both side Veneer finish</t>
  </si>
  <si>
    <t xml:space="preserve"> New main door  </t>
  </si>
  <si>
    <t>Ply Door Frame</t>
  </si>
  <si>
    <t>MR ply + finish veneer from both sides</t>
  </si>
  <si>
    <t>Door Frame</t>
  </si>
  <si>
    <t>CP 25</t>
  </si>
  <si>
    <t>shoerack  including seating drawer and side open shelfs</t>
  </si>
  <si>
    <t xml:space="preserve">no need mirror  behind door </t>
  </si>
  <si>
    <t>Panelling with mirror</t>
  </si>
  <si>
    <t>Mirror Finish</t>
  </si>
  <si>
    <t>Sqft</t>
  </si>
  <si>
    <t>mirror panel</t>
  </si>
  <si>
    <t>Dining Console</t>
  </si>
  <si>
    <t>MDF Finish</t>
  </si>
  <si>
    <t>CP 6</t>
  </si>
  <si>
    <t>Panelling with framing</t>
  </si>
  <si>
    <t>Mr Ply+ply framing+Finish Veneer + Onyx</t>
  </si>
  <si>
    <t>Panelling in Passage including shoe room door</t>
  </si>
  <si>
    <t>Console</t>
  </si>
  <si>
    <t xml:space="preserve">Onyx </t>
  </si>
  <si>
    <t>LS</t>
  </si>
  <si>
    <t>as per  design</t>
  </si>
  <si>
    <t>MR ply + Inside laminate + pu finish</t>
  </si>
  <si>
    <t>R ft</t>
  </si>
  <si>
    <t>7.5</t>
  </si>
  <si>
    <t xml:space="preserve">TV unit </t>
  </si>
  <si>
    <t>Veneer + Mirror + marble</t>
  </si>
  <si>
    <t>MR ply + Inside laminate + finish Veneer</t>
  </si>
  <si>
    <t>TV panel</t>
  </si>
  <si>
    <t>considering 1500 sq.ft marble</t>
  </si>
  <si>
    <t xml:space="preserve"> Mandir</t>
  </si>
  <si>
    <t>Veneer + Onyx Finish</t>
  </si>
  <si>
    <t>Hebind sofa</t>
  </si>
  <si>
    <t>CNC MDF + Veneer</t>
  </si>
  <si>
    <t>Wall Panel on sofa wall</t>
  </si>
  <si>
    <t>incluing master bedroom door and 3d panel</t>
  </si>
  <si>
    <t>Veneer + Mirror + Marble</t>
  </si>
  <si>
    <t>Panelling on mother's &amp; samar's bed room wall</t>
  </si>
  <si>
    <t xml:space="preserve">mirror panel on dining  wall </t>
  </si>
  <si>
    <t>brown mirror</t>
  </si>
  <si>
    <t>Modular Kitchen</t>
  </si>
  <si>
    <t>Acrylic Finish</t>
  </si>
  <si>
    <t>Marine ply + Inside laminate + Acrylic Finish</t>
  </si>
  <si>
    <t>undercounter</t>
  </si>
  <si>
    <t>overhead+loft</t>
  </si>
  <si>
    <t>Pantry Storage, next to mandir and oven unit and side glass unit</t>
  </si>
  <si>
    <t>CP 61</t>
  </si>
  <si>
    <t>tandem</t>
  </si>
  <si>
    <t>Modular kitchen</t>
  </si>
  <si>
    <t>CP 64</t>
  </si>
  <si>
    <t>Back Painted Glass</t>
  </si>
  <si>
    <t>30</t>
  </si>
  <si>
    <t xml:space="preserve">Kitchen Sliding door </t>
  </si>
  <si>
    <t>Flutted glass finish</t>
  </si>
  <si>
    <t xml:space="preserve"> kitchen</t>
  </si>
  <si>
    <t>Utility</t>
  </si>
  <si>
    <t>Marine ply + Inside laminate + finish laminate</t>
  </si>
  <si>
    <t>only shutters</t>
  </si>
  <si>
    <t>CP 117</t>
  </si>
  <si>
    <t>22</t>
  </si>
  <si>
    <t>Washing machine storage</t>
  </si>
  <si>
    <t xml:space="preserve">Mother's Bedroom </t>
  </si>
  <si>
    <t>CP 21</t>
  </si>
  <si>
    <t>MR ply panelling + Foam material and labour. Excludes Fabric cost</t>
  </si>
  <si>
    <t xml:space="preserve">king size bed </t>
  </si>
  <si>
    <t>CP 45</t>
  </si>
  <si>
    <t>Headboard</t>
  </si>
  <si>
    <t>CP 46</t>
  </si>
  <si>
    <t>Bed side table</t>
  </si>
  <si>
    <t>Dresser</t>
  </si>
  <si>
    <t>Wardrobe  near entrance</t>
  </si>
  <si>
    <t>CP 3</t>
  </si>
  <si>
    <t>Mirror</t>
  </si>
  <si>
    <t>CP 1</t>
  </si>
  <si>
    <t>MR ply + ply framing + finish laminate</t>
  </si>
  <si>
    <t>80</t>
  </si>
  <si>
    <t>Wall panel</t>
  </si>
  <si>
    <t>including rafters nad charcol  sheet</t>
  </si>
  <si>
    <t>CP 17</t>
  </si>
  <si>
    <t>Wardrobe</t>
  </si>
  <si>
    <t>pelmet</t>
  </si>
  <si>
    <t xml:space="preserve">Samar's Bedroom </t>
  </si>
  <si>
    <t>King size Bed, 2 internal drawers+ 1 side box</t>
  </si>
  <si>
    <t>CP 49</t>
  </si>
  <si>
    <t>Study table</t>
  </si>
  <si>
    <t>Overhead storage</t>
  </si>
  <si>
    <t>Bookshelf</t>
  </si>
  <si>
    <t>CP 108</t>
  </si>
  <si>
    <t>Back painted</t>
  </si>
  <si>
    <t>Wardrobe entrance</t>
  </si>
  <si>
    <t xml:space="preserve">Wardrobe </t>
  </si>
  <si>
    <t xml:space="preserve">Ranbeer's Bedroom </t>
  </si>
  <si>
    <t>Overhead ledges</t>
  </si>
  <si>
    <t>9.5</t>
  </si>
  <si>
    <t>Laminate Finish</t>
  </si>
  <si>
    <t>tv panel</t>
  </si>
  <si>
    <t>open unit</t>
  </si>
  <si>
    <t>90</t>
  </si>
  <si>
    <t>CP 20</t>
  </si>
  <si>
    <t>Tinted Glass</t>
  </si>
  <si>
    <t>Master bed room</t>
  </si>
  <si>
    <t>Fabric Finish</t>
  </si>
  <si>
    <t>CNC Finish</t>
  </si>
  <si>
    <t>Bed back wall</t>
  </si>
  <si>
    <t>Mirror + PVD</t>
  </si>
  <si>
    <t>50</t>
  </si>
  <si>
    <t>TV Panelling</t>
  </si>
  <si>
    <t>include bedroom door</t>
  </si>
  <si>
    <t>TV unit</t>
  </si>
  <si>
    <t>7.25</t>
  </si>
  <si>
    <t>PVD on bed back</t>
  </si>
  <si>
    <t>40000</t>
  </si>
  <si>
    <t>Mirror Finish + Fluted Laminate</t>
  </si>
  <si>
    <t>Master Toilet</t>
  </si>
  <si>
    <t>vanity</t>
  </si>
  <si>
    <t>CP 106</t>
  </si>
  <si>
    <t>Mirror panelling</t>
  </si>
  <si>
    <t>CP 67</t>
  </si>
  <si>
    <t>Glass Partition</t>
  </si>
  <si>
    <t xml:space="preserve">Mother's Toilet </t>
  </si>
  <si>
    <t>Samar's Toilet</t>
  </si>
  <si>
    <t>Ranbeer's Toilet</t>
  </si>
  <si>
    <t>Door Lamiante Change</t>
  </si>
  <si>
    <t>Drawers</t>
  </si>
  <si>
    <t>No</t>
  </si>
  <si>
    <t>Doors</t>
  </si>
  <si>
    <t>Door  laminate change</t>
  </si>
  <si>
    <t>Balcony Ceiling</t>
  </si>
  <si>
    <t xml:space="preserve">Ceiling </t>
  </si>
  <si>
    <t>Ceiling</t>
  </si>
  <si>
    <t>138</t>
  </si>
  <si>
    <t>Panelling - Left side</t>
  </si>
  <si>
    <t>P 19</t>
  </si>
  <si>
    <t>P 5</t>
  </si>
  <si>
    <t>Walls</t>
  </si>
  <si>
    <t>Texture paint</t>
  </si>
  <si>
    <t>PU</t>
  </si>
  <si>
    <t>P 12</t>
  </si>
  <si>
    <t xml:space="preserve">As per specifications </t>
  </si>
  <si>
    <t>Veneer applications</t>
  </si>
  <si>
    <t>M1</t>
  </si>
  <si>
    <t>M2</t>
  </si>
  <si>
    <t>M3</t>
  </si>
  <si>
    <t>18.75</t>
  </si>
  <si>
    <t>Notes :-</t>
  </si>
  <si>
    <t>1. BMC Legal permission and Mhatadi expense will be borne by the client</t>
  </si>
  <si>
    <t>2. Quantity mentioned is approximate and exact will be counted at the time of billing</t>
  </si>
  <si>
    <t>3. The work will commence after issuing of work order of agreed rate contract values</t>
  </si>
  <si>
    <t>4. The storage of construction material/equipment to be provided by client</t>
  </si>
  <si>
    <t>5. The electricity and water shall be provided free of cost from client</t>
  </si>
  <si>
    <t>6.  If work will be stopped/delayed due to any office member, govt. authority, idle charges will be charged for same period</t>
  </si>
  <si>
    <t>7.  All legal permission regarding work shall be produced by client</t>
  </si>
  <si>
    <t>8. Any challans or bill break up will not be submitted</t>
  </si>
  <si>
    <t>9. In detail material specification of any material to be checked by client with respective vendor at the time of selection</t>
  </si>
  <si>
    <t>10. Durability of finishing material skins will not be our responsibility and thoroughly checked before finalising</t>
  </si>
  <si>
    <t>11. Any work over and above mentioned in quotation will be charged extra</t>
  </si>
  <si>
    <t>12. GST will be charged at 18% over and above mentioned rates</t>
  </si>
  <si>
    <t>13.* rate may according to design/selection</t>
  </si>
  <si>
    <t>Loose Furniture</t>
  </si>
  <si>
    <t>Sofa</t>
  </si>
  <si>
    <t xml:space="preserve"> 3 seater + 2 seater</t>
  </si>
  <si>
    <t>Supply &amp; Installation of loose furniture</t>
  </si>
  <si>
    <t xml:space="preserve">Living area </t>
  </si>
  <si>
    <t>Wing Chair</t>
  </si>
  <si>
    <t>Center table</t>
  </si>
  <si>
    <t>living room</t>
  </si>
  <si>
    <t>End tables</t>
  </si>
  <si>
    <t>Dinning Table</t>
  </si>
  <si>
    <t>6 Seater</t>
  </si>
  <si>
    <t>Chair</t>
  </si>
  <si>
    <t>Study chair</t>
  </si>
  <si>
    <t>Samars's &amp; Ranbeer</t>
  </si>
  <si>
    <t xml:space="preserve">Additional Items </t>
  </si>
  <si>
    <t>Lights</t>
  </si>
  <si>
    <t>Ls</t>
  </si>
  <si>
    <t>wall Tiles</t>
  </si>
  <si>
    <t>@120Rs</t>
  </si>
  <si>
    <t>1300</t>
  </si>
  <si>
    <t>Kitchen &amp; Toilet Walls</t>
  </si>
  <si>
    <t>Living Room Marble</t>
  </si>
  <si>
    <t>Granite/quartz</t>
  </si>
  <si>
    <t>@400 Rs</t>
  </si>
  <si>
    <t>2 slabs</t>
  </si>
  <si>
    <t>100</t>
  </si>
  <si>
    <t>Kitchen platform</t>
  </si>
  <si>
    <t>Granite</t>
  </si>
  <si>
    <t>@ 400/per sqft</t>
  </si>
  <si>
    <t>Toilet vanity</t>
  </si>
  <si>
    <t xml:space="preserve">Sqft </t>
  </si>
  <si>
    <t>Toilet vanity+Ledge</t>
  </si>
  <si>
    <t>Cp fittings</t>
  </si>
  <si>
    <t>Ceiling shower +body jet ++1 small sink +1 big sink+1 fabric sink</t>
  </si>
  <si>
    <t>Toilets &amp; kitchen</t>
  </si>
  <si>
    <t>VRV</t>
  </si>
  <si>
    <t xml:space="preserve">7 Indoor </t>
  </si>
  <si>
    <t>Living Dinning</t>
  </si>
  <si>
    <t>Bedrooms</t>
  </si>
  <si>
    <t>Mattress</t>
  </si>
  <si>
    <t>Touch panel Switch boards</t>
  </si>
  <si>
    <t>Curtains automatic</t>
  </si>
  <si>
    <t>New window installation</t>
  </si>
  <si>
    <t>Alumimiun windows with 10mm glass</t>
  </si>
  <si>
    <t>sqft</t>
  </si>
  <si>
    <t>62</t>
  </si>
  <si>
    <t>New window in utility area</t>
  </si>
  <si>
    <t>Cc t.v camera</t>
  </si>
  <si>
    <t>Out side,kitchen &amp; living room</t>
  </si>
  <si>
    <t xml:space="preserve">Artifacts </t>
  </si>
  <si>
    <t>Planters</t>
  </si>
  <si>
    <t xml:space="preserve">Items not there in quote </t>
  </si>
  <si>
    <t xml:space="preserve">MR ply+ internal laminate + external laminate + 2 nos openable shutters </t>
  </si>
  <si>
    <t xml:space="preserve">Mothers toilet </t>
  </si>
  <si>
    <t>all doors</t>
  </si>
  <si>
    <t>Ply margin</t>
  </si>
  <si>
    <t>MR ply 6mm adding on all doors to bear door weight capacity for door closers</t>
  </si>
  <si>
    <t>Total RA-1- Value</t>
  </si>
  <si>
    <t>95</t>
  </si>
  <si>
    <t>Wing 15 - 702</t>
  </si>
  <si>
    <t>WO-1</t>
  </si>
  <si>
    <t>AWDESH</t>
  </si>
  <si>
    <t>awdesh rates</t>
  </si>
  <si>
    <t>Amount awdesh</t>
  </si>
  <si>
    <t>Remarks</t>
  </si>
  <si>
    <t>38</t>
  </si>
  <si>
    <t>Dhaar</t>
  </si>
  <si>
    <t>PU- ICA ROYAL ASIAN</t>
  </si>
  <si>
    <t>all areas</t>
  </si>
  <si>
    <t xml:space="preserve">Dhaar </t>
  </si>
  <si>
    <t>QTY</t>
  </si>
  <si>
    <t>VENDOR RATES-Mehta CNC</t>
  </si>
  <si>
    <t>OUR RATES</t>
  </si>
  <si>
    <t>artist amount</t>
  </si>
  <si>
    <t>ply panelling rate</t>
  </si>
  <si>
    <t>panelling amt</t>
  </si>
  <si>
    <t>VENDOR AMOUNT</t>
  </si>
  <si>
    <t xml:space="preserve">stone finish </t>
  </si>
  <si>
    <t xml:space="preserve">Samars bedroom </t>
  </si>
  <si>
    <t xml:space="preserve">our rate </t>
  </si>
  <si>
    <t>less artist amt</t>
  </si>
  <si>
    <t>less ply panelling amt</t>
  </si>
  <si>
    <t>les cnc vendor amt</t>
  </si>
  <si>
    <t>OUR MARGIN 42%</t>
  </si>
  <si>
    <t>Task</t>
  </si>
  <si>
    <t>Column 2</t>
  </si>
  <si>
    <t>Dur</t>
  </si>
  <si>
    <t>Start date</t>
  </si>
  <si>
    <t>End date</t>
  </si>
  <si>
    <t>Milestone</t>
  </si>
  <si>
    <t xml:space="preserve">Timeline milestone </t>
  </si>
  <si>
    <t xml:space="preserve">Design remarks </t>
  </si>
  <si>
    <t xml:space="preserve">Execution remarks </t>
  </si>
  <si>
    <t>Wk 2</t>
  </si>
  <si>
    <t>Wk 3</t>
  </si>
  <si>
    <t>Wk 4</t>
  </si>
  <si>
    <t>Wk 5</t>
  </si>
  <si>
    <t>Wk 6</t>
  </si>
  <si>
    <t>Wk 7</t>
  </si>
  <si>
    <t>Wk 8</t>
  </si>
  <si>
    <t>Wk 9</t>
  </si>
  <si>
    <t>Wk 10</t>
  </si>
  <si>
    <t>Wk 11</t>
  </si>
  <si>
    <t>Wk 12</t>
  </si>
  <si>
    <t>Wk 13</t>
  </si>
  <si>
    <t>Wk 14</t>
  </si>
  <si>
    <t>Wk 15</t>
  </si>
  <si>
    <t>Wk 16</t>
  </si>
  <si>
    <t>Wk 17</t>
  </si>
  <si>
    <t>Wk 18</t>
  </si>
  <si>
    <t>Wk 19</t>
  </si>
  <si>
    <t>Wk 20</t>
  </si>
  <si>
    <t>Wk 21</t>
  </si>
  <si>
    <t>Wk 22</t>
  </si>
  <si>
    <t>Wk 23</t>
  </si>
  <si>
    <t>Wk 24</t>
  </si>
  <si>
    <t>Wk 25</t>
  </si>
  <si>
    <t>Wk 26</t>
  </si>
  <si>
    <t>Wk 27</t>
  </si>
  <si>
    <t xml:space="preserve">Civil &amp; plumbing </t>
  </si>
  <si>
    <t>In progress</t>
  </si>
  <si>
    <t>Civil completed (90%)</t>
  </si>
  <si>
    <t xml:space="preserve">Month 1 </t>
  </si>
  <si>
    <t>Demolition &amp; making of structure</t>
  </si>
  <si>
    <t>Completed</t>
  </si>
  <si>
    <t xml:space="preserve">Civil - 10% </t>
  </si>
  <si>
    <t>Plumbing + waterproofing</t>
  </si>
  <si>
    <t xml:space="preserve">Civil - 25% </t>
  </si>
  <si>
    <t xml:space="preserve">Start date </t>
  </si>
  <si>
    <t xml:space="preserve">Kitchen and utility counter </t>
  </si>
  <si>
    <t>Civil 65%</t>
  </si>
  <si>
    <t xml:space="preserve">Bathrooms tiling </t>
  </si>
  <si>
    <t xml:space="preserve">Living italian cladding </t>
  </si>
  <si>
    <t>Not started</t>
  </si>
  <si>
    <t xml:space="preserve">Living onyx cladiing </t>
  </si>
  <si>
    <t xml:space="preserve">HVAC </t>
  </si>
  <si>
    <t xml:space="preserve">End date </t>
  </si>
  <si>
    <t xml:space="preserve">Piping </t>
  </si>
  <si>
    <t>HVAC 30%</t>
  </si>
  <si>
    <t>Machines installation</t>
  </si>
  <si>
    <t>HVAC 100%</t>
  </si>
  <si>
    <t>Carpentry - Phase 1</t>
  </si>
  <si>
    <t xml:space="preserve">Carpentry on site (70%) </t>
  </si>
  <si>
    <t xml:space="preserve">Month 1 &amp; 2 </t>
  </si>
  <si>
    <t xml:space="preserve">Wall Panelling Living - framing </t>
  </si>
  <si>
    <t xml:space="preserve">Carpentry on site (15%) </t>
  </si>
  <si>
    <t xml:space="preserve">Reduce wall panneling </t>
  </si>
  <si>
    <t xml:space="preserve">Parallel teams </t>
  </si>
  <si>
    <t xml:space="preserve">Wall Panelling bedrooms  framing </t>
  </si>
  <si>
    <t xml:space="preserve">Carpentry on site (25%) </t>
  </si>
  <si>
    <t>Wall panelling - Ply+veneer+mirror</t>
  </si>
  <si>
    <t xml:space="preserve">Carpentry on site (45%) </t>
  </si>
  <si>
    <t xml:space="preserve">Carcass - making </t>
  </si>
  <si>
    <t xml:space="preserve">Carpentry on site (60%) </t>
  </si>
  <si>
    <t xml:space="preserve">Lamintes/ veneer pasting </t>
  </si>
  <si>
    <t xml:space="preserve">Electricals - phase 1 </t>
  </si>
  <si>
    <t xml:space="preserve">Electrical completed (70%) </t>
  </si>
  <si>
    <t xml:space="preserve">Jari work </t>
  </si>
  <si>
    <t>Electrical (15%)</t>
  </si>
  <si>
    <t>In house team</t>
  </si>
  <si>
    <t>Conduiting</t>
  </si>
  <si>
    <t>Electrical (40%)</t>
  </si>
  <si>
    <t xml:space="preserve">Wiring </t>
  </si>
  <si>
    <t>Electrical (70%)</t>
  </si>
  <si>
    <t xml:space="preserve">Parallel electric </t>
  </si>
  <si>
    <t>False ceiling &amp; POP</t>
  </si>
  <si>
    <t>False ceiling completed (95%)</t>
  </si>
  <si>
    <t>Month 1 &amp; 2</t>
  </si>
  <si>
    <t>False ceiling (15%)</t>
  </si>
  <si>
    <t xml:space="preserve">More MP </t>
  </si>
  <si>
    <t xml:space="preserve">Framing </t>
  </si>
  <si>
    <t>False ceiling (35%)</t>
  </si>
  <si>
    <t xml:space="preserve">bathrooms framing </t>
  </si>
  <si>
    <t xml:space="preserve">Board closing </t>
  </si>
  <si>
    <t>False ceiling (75%)</t>
  </si>
  <si>
    <t xml:space="preserve">Finishing </t>
  </si>
  <si>
    <t>False ceiling (95%)</t>
  </si>
  <si>
    <t xml:space="preserve">Carpentry - modular </t>
  </si>
  <si>
    <t xml:space="preserve">Modular installation (95%) </t>
  </si>
  <si>
    <t>Order placing wardrobes</t>
  </si>
  <si>
    <t xml:space="preserve">Order Placed </t>
  </si>
  <si>
    <t>Modular (30%)</t>
  </si>
  <si>
    <t xml:space="preserve">Place orders basis false ceiling framing </t>
  </si>
  <si>
    <t>Vendor to be finalized in month 1</t>
  </si>
  <si>
    <t>order placing loose items</t>
  </si>
  <si>
    <t xml:space="preserve">Order delivery </t>
  </si>
  <si>
    <t>Modular (80%)</t>
  </si>
  <si>
    <t xml:space="preserve">order placing kitchen </t>
  </si>
  <si>
    <t>Installation</t>
  </si>
  <si>
    <t>Modular (95%)</t>
  </si>
  <si>
    <t xml:space="preserve">Finishing phase </t>
  </si>
  <si>
    <t>Finishing completed (95%)</t>
  </si>
  <si>
    <t xml:space="preserve">Month 2 </t>
  </si>
  <si>
    <t xml:space="preserve">Laminate  finishing </t>
  </si>
  <si>
    <t xml:space="preserve">Mix of teams : In house &amp; external </t>
  </si>
  <si>
    <t xml:space="preserve">Grooves, T patti, mirrors </t>
  </si>
  <si>
    <t xml:space="preserve">Veneer finishing </t>
  </si>
  <si>
    <t xml:space="preserve">Civil finishing </t>
  </si>
  <si>
    <t>Electricals - phase 2</t>
  </si>
  <si>
    <t>Electricals (95%)</t>
  </si>
  <si>
    <t xml:space="preserve">Light fixing </t>
  </si>
  <si>
    <t xml:space="preserve">Hanging/ decor lights </t>
  </si>
  <si>
    <t xml:space="preserve">Order to be made in Month 2 </t>
  </si>
  <si>
    <t xml:space="preserve">Paint &amp; Polish </t>
  </si>
  <si>
    <t>Paint &amp; polish (95%)</t>
  </si>
  <si>
    <t xml:space="preserve">Month 2 &amp; 3 </t>
  </si>
  <si>
    <t xml:space="preserve">Strictly no PU </t>
  </si>
  <si>
    <t xml:space="preserve">No Melamine </t>
  </si>
  <si>
    <t>Wall paints</t>
  </si>
  <si>
    <t xml:space="preserve">Texture paint </t>
  </si>
  <si>
    <t>melamine spray - veneer</t>
  </si>
  <si>
    <t xml:space="preserve">PU works </t>
  </si>
  <si>
    <t xml:space="preserve">Cleaning snags decor </t>
  </si>
  <si>
    <t>Snags/ decor/ photoshoot</t>
  </si>
  <si>
    <t xml:space="preserve">Month 3 &amp; 4 </t>
  </si>
  <si>
    <t xml:space="preserve">Deep cleaning </t>
  </si>
  <si>
    <t xml:space="preserve">Buffer &amp; snags </t>
  </si>
  <si>
    <t xml:space="preserve">Decor &amp; photoshoot </t>
  </si>
  <si>
    <t xml:space="preserve">Rahul Dhanawat- schedule </t>
  </si>
  <si>
    <t>sr no</t>
  </si>
  <si>
    <t xml:space="preserve">agency </t>
  </si>
  <si>
    <t xml:space="preserve">duration </t>
  </si>
  <si>
    <t xml:space="preserve">start date </t>
  </si>
  <si>
    <t xml:space="preserve">end date </t>
  </si>
  <si>
    <t>carpentry</t>
  </si>
  <si>
    <t xml:space="preserve">50 days </t>
  </si>
  <si>
    <t xml:space="preserve">20 days </t>
  </si>
  <si>
    <t xml:space="preserve">plumbing </t>
  </si>
  <si>
    <t xml:space="preserve">10 days </t>
  </si>
  <si>
    <t>electrical</t>
  </si>
  <si>
    <t>pop</t>
  </si>
  <si>
    <t xml:space="preserve">painting </t>
  </si>
  <si>
    <t xml:space="preserve">60 days </t>
  </si>
  <si>
    <t xml:space="preserve">deep cleaning </t>
  </si>
  <si>
    <t>Rate vendor</t>
  </si>
  <si>
    <t>amount vendor</t>
  </si>
  <si>
    <t>MR ply + Inside laminate + finish laminate (1 Drawer)</t>
  </si>
  <si>
    <t>Nos</t>
  </si>
  <si>
    <t>vanity above storage</t>
  </si>
  <si>
    <t>Quantity</t>
  </si>
  <si>
    <t>Vendor Rate</t>
  </si>
  <si>
    <t>D2</t>
  </si>
  <si>
    <t>Kitchen &amp; common toilet</t>
  </si>
  <si>
    <t>Brickwall - 4"</t>
  </si>
  <si>
    <t>Providing and laying 4" (100 MM) brick partition wall with good quality bricks well burnt 1st class in cement mortar 1:4 (1 cement : 4 coarse sand) including providing 2 nos of 6mm dia MS round bars at every IV course including scaffolding, curing, raking out joints etc. complete.</t>
  </si>
  <si>
    <t>24</t>
  </si>
  <si>
    <t>Kitchen wall tiles</t>
  </si>
  <si>
    <t>Upto( 4' x 2' ) tiles laying</t>
  </si>
  <si>
    <t>140</t>
  </si>
  <si>
    <t>184</t>
  </si>
  <si>
    <t>Common toilet wall</t>
  </si>
  <si>
    <t>Bathroom wall tiles</t>
  </si>
  <si>
    <t>1930</t>
  </si>
  <si>
    <t>C23</t>
  </si>
  <si>
    <t>36</t>
  </si>
  <si>
    <t>Kitchen</t>
  </si>
  <si>
    <t>Utility platfrom</t>
  </si>
  <si>
    <t>utility</t>
  </si>
  <si>
    <t>Floor Tiles</t>
  </si>
  <si>
    <t>Laying of floor tiles of approved colour and size as per drawing, over 20 mm thick cement mortar 1 : 4 ( 1 cement : 4 coarse sand ) and jointed with white cement slurry admixed with matching pigment to match the shade of tile &amp; Grouting and spacer to be included.</t>
  </si>
  <si>
    <t>C14</t>
  </si>
  <si>
    <t>C13</t>
  </si>
  <si>
    <t>Wall Skirting</t>
  </si>
  <si>
    <t>450</t>
  </si>
  <si>
    <t>C15</t>
  </si>
  <si>
    <t>Living ,kitchen bed rooms &amp; Toilets</t>
  </si>
  <si>
    <t>C27</t>
  </si>
  <si>
    <t>226</t>
  </si>
  <si>
    <t>toilets</t>
  </si>
  <si>
    <t>C30</t>
  </si>
  <si>
    <t>Floor &amp; walls</t>
  </si>
  <si>
    <t>C45</t>
  </si>
  <si>
    <t>CP fitting work (1 WC+ 1Shower and divertor + 1 Basin + 1 Geyser)</t>
  </si>
  <si>
    <t>cp fiting and sanitary ware fixing in a bathroom  (only fitting charges)</t>
  </si>
  <si>
    <t xml:space="preserve">All Toilets, </t>
  </si>
  <si>
    <t>4500</t>
  </si>
  <si>
    <t>All areas - wall punning</t>
  </si>
  <si>
    <t>FC 12</t>
  </si>
  <si>
    <t>600</t>
  </si>
  <si>
    <t xml:space="preserve">All areas - Patch works and wall levelling purpose </t>
  </si>
  <si>
    <t>safety door panelling</t>
  </si>
  <si>
    <t xml:space="preserve">shoerack </t>
  </si>
  <si>
    <t>Pelmet</t>
  </si>
  <si>
    <t>Moulding &amp; Mirror</t>
  </si>
  <si>
    <t>L.s</t>
  </si>
  <si>
    <t>Wall Panel on dinning wall</t>
  </si>
  <si>
    <t>75</t>
  </si>
  <si>
    <t>Panel in Passage above shoe rack</t>
  </si>
  <si>
    <t>Panel in Passage</t>
  </si>
  <si>
    <t>42</t>
  </si>
  <si>
    <t>28</t>
  </si>
  <si>
    <t>Pantry Storage, next to fridge</t>
  </si>
  <si>
    <t>Scope added</t>
  </si>
  <si>
    <t>21</t>
  </si>
  <si>
    <t>110</t>
  </si>
  <si>
    <t>Storage</t>
  </si>
  <si>
    <t>Bedroom 1</t>
  </si>
  <si>
    <t>Queen size Bed</t>
  </si>
  <si>
    <t>TV unit + Dresser</t>
  </si>
  <si>
    <t>45</t>
  </si>
  <si>
    <t>69</t>
  </si>
  <si>
    <t>Bedroom 2</t>
  </si>
  <si>
    <t>86</t>
  </si>
  <si>
    <t>Wardrobe both</t>
  </si>
  <si>
    <t>Bedroom 3</t>
  </si>
  <si>
    <t>58</t>
  </si>
  <si>
    <t>47</t>
  </si>
  <si>
    <t>Toilet Bedroom 1</t>
  </si>
  <si>
    <t>Toilet Bedroom 2</t>
  </si>
  <si>
    <t>Toilet Bedroom 3</t>
  </si>
  <si>
    <t>Servant Toilet</t>
  </si>
  <si>
    <t>New doors</t>
  </si>
  <si>
    <t>New Door  Frame</t>
  </si>
  <si>
    <t>Door and Door frame laminate change</t>
  </si>
  <si>
    <t>180</t>
  </si>
  <si>
    <t>All doors</t>
  </si>
  <si>
    <t xml:space="preserve">New Door </t>
  </si>
  <si>
    <t>Side board</t>
  </si>
  <si>
    <t>No.</t>
  </si>
  <si>
    <t>Kids room</t>
  </si>
  <si>
    <t>Foot stool</t>
  </si>
  <si>
    <t>MAster bedroom</t>
  </si>
  <si>
    <t>Extra chairs in bedroom</t>
  </si>
  <si>
    <t xml:space="preserve">Master &amp; kid's bedroom </t>
  </si>
  <si>
    <t>@100Rs</t>
  </si>
  <si>
    <t>2115</t>
  </si>
  <si>
    <t>Casette ACs</t>
  </si>
  <si>
    <t>Split ACs</t>
  </si>
  <si>
    <t>Matress</t>
  </si>
  <si>
    <t>Curtains</t>
  </si>
  <si>
    <t xml:space="preserve">@650 /per meter </t>
  </si>
  <si>
    <t>Tiles behind Wardrobe</t>
  </si>
  <si>
    <t>Behind wardrobe</t>
  </si>
  <si>
    <t xml:space="preserve">Add / modify </t>
  </si>
  <si>
    <t xml:space="preserve">Note </t>
  </si>
  <si>
    <t xml:space="preserve">1. Balcony </t>
  </si>
  <si>
    <t xml:space="preserve">2. Utility tiles </t>
  </si>
  <si>
    <t xml:space="preserve">3. Water outlets </t>
  </si>
  <si>
    <t xml:space="preserve">4. Kitchen flooring </t>
  </si>
  <si>
    <t xml:space="preserve">5. Smart lock at the entrace </t>
  </si>
  <si>
    <t xml:space="preserve">6. Exhaust fans </t>
  </si>
  <si>
    <t xml:space="preserve">7. Rubber bidding </t>
  </si>
  <si>
    <t xml:space="preserve">8. Shaft closing </t>
  </si>
  <si>
    <t>Kitchen wall</t>
  </si>
  <si>
    <t>Bathroom walls</t>
  </si>
  <si>
    <t>Bathroom floor &amp; wall tiles</t>
  </si>
  <si>
    <t>kitchen &amp; Toilets</t>
  </si>
  <si>
    <t>25000</t>
  </si>
  <si>
    <t xml:space="preserve">Patch works and wall levelling purpose </t>
  </si>
  <si>
    <t>MR ply + ply framing + finish Veneer</t>
  </si>
  <si>
    <t>Mirror +Laminate+ledge in marble</t>
  </si>
  <si>
    <t xml:space="preserve">Panelling in Passage above </t>
  </si>
  <si>
    <t>Ledge behind sofa</t>
  </si>
  <si>
    <t>Toilet door</t>
  </si>
  <si>
    <t>Door Laminate change</t>
  </si>
  <si>
    <t>NON BOQ</t>
  </si>
  <si>
    <t>Onyx Finish</t>
  </si>
  <si>
    <t>Onyx Panel</t>
  </si>
  <si>
    <t>Onyx with acrylic base</t>
  </si>
  <si>
    <t>Excluding Marble</t>
  </si>
  <si>
    <t>Above kitchen PLatform</t>
  </si>
  <si>
    <t>Kitchen BAck Painted Glass</t>
  </si>
  <si>
    <t>Non Boq items</t>
  </si>
  <si>
    <t xml:space="preserve">Quantity
</t>
  </si>
  <si>
    <t xml:space="preserve">Wall &amp; floor tiles </t>
  </si>
  <si>
    <t>Master bathroom</t>
  </si>
  <si>
    <t>C1</t>
  </si>
  <si>
    <t>Ledge wall</t>
  </si>
  <si>
    <t>Mother's bathroom</t>
  </si>
  <si>
    <t>Ranbeer's  bathroom</t>
  </si>
  <si>
    <t>32</t>
  </si>
  <si>
    <t>Samar's bathroom</t>
  </si>
  <si>
    <t>Mother's bedroom</t>
  </si>
  <si>
    <t>C44</t>
  </si>
  <si>
    <t>Marble/tile on bed wall</t>
  </si>
  <si>
    <t>Furniture</t>
  </si>
  <si>
    <t xml:space="preserve">Carpentry </t>
  </si>
  <si>
    <t>Drawer</t>
  </si>
  <si>
    <t>Inside laminate+finish limainate</t>
  </si>
  <si>
    <t>Shelf</t>
  </si>
  <si>
    <t>Finish limainate</t>
  </si>
  <si>
    <t>Mirror on shutter</t>
  </si>
  <si>
    <t>Master bedroom</t>
  </si>
  <si>
    <t>PVD on Bed back</t>
  </si>
  <si>
    <t>Ranbeer Bedroom</t>
  </si>
  <si>
    <t>TV Wall panel</t>
  </si>
  <si>
    <t xml:space="preserve">Kitchen </t>
  </si>
  <si>
    <t>Balcony</t>
  </si>
  <si>
    <t>Marble</t>
  </si>
  <si>
    <t>Quantity
18.06.2025</t>
  </si>
  <si>
    <t>Amount
18.06.2025</t>
  </si>
  <si>
    <t xml:space="preserve">Kitchen &amp; common toilet+Samar toilet+Master bed room </t>
  </si>
  <si>
    <t>Qty ⬆️</t>
  </si>
  <si>
    <t>Kitchen,samar toilet,master toilet</t>
  </si>
  <si>
    <t>52</t>
  </si>
  <si>
    <t>185</t>
  </si>
  <si>
    <t>Qty ⬇️</t>
  </si>
  <si>
    <t>186</t>
  </si>
  <si>
    <t>500</t>
  </si>
  <si>
    <t>Scope removed</t>
  </si>
  <si>
    <t>400</t>
  </si>
  <si>
    <t>Scope changed</t>
  </si>
  <si>
    <t>Tap 
overhead shower
wc 
body jets 
Diverter</t>
  </si>
  <si>
    <t>Normal shower 
Diverter</t>
  </si>
  <si>
    <t>Dryer
Dishwasher
two sink</t>
  </si>
  <si>
    <t>Refurbishment</t>
  </si>
  <si>
    <t>0</t>
  </si>
  <si>
    <t>Panelling in Passage</t>
  </si>
  <si>
    <t>Veneer + Mirror + Tile</t>
  </si>
  <si>
    <t>Remove Onyx</t>
  </si>
  <si>
    <t>Gypsum</t>
  </si>
  <si>
    <t>Mr Ply+ply framing+ Gypsum</t>
  </si>
  <si>
    <t>Texture Paint</t>
  </si>
  <si>
    <t>120</t>
  </si>
  <si>
    <t>108</t>
  </si>
  <si>
    <t>220</t>
  </si>
  <si>
    <t>MR ply + Inside laminate + finish Gypsum</t>
  </si>
  <si>
    <t>Remove item</t>
  </si>
  <si>
    <t>175</t>
  </si>
  <si>
    <t>Changed to Veneer not sure how to add need to add t patti as well</t>
  </si>
  <si>
    <t>82</t>
  </si>
  <si>
    <t>81</t>
  </si>
  <si>
    <t>Utility+common bathroom</t>
  </si>
  <si>
    <t>Seating ledge</t>
  </si>
  <si>
    <t>In shower area</t>
  </si>
  <si>
    <t>W.c</t>
  </si>
  <si>
    <t>W.c &amp; basin</t>
  </si>
  <si>
    <t xml:space="preserve">Fixing Onyx for passage wall </t>
  </si>
  <si>
    <t>Shoe rack</t>
  </si>
  <si>
    <t>Passage area ceiling</t>
  </si>
  <si>
    <t>300</t>
  </si>
  <si>
    <t xml:space="preserve">RAMDIN </t>
  </si>
  <si>
    <t>RAMDIN RATES</t>
  </si>
  <si>
    <t>RAMDIN AMOUNT</t>
  </si>
  <si>
    <t>550</t>
  </si>
  <si>
    <t>375</t>
  </si>
  <si>
    <t>325</t>
  </si>
  <si>
    <t>Beds</t>
  </si>
  <si>
    <t>Bed</t>
  </si>
  <si>
    <t xml:space="preserve">Internal laminate </t>
  </si>
  <si>
    <t xml:space="preserve">MR ply+ply framing + internal laminate +hydrolic opening on top </t>
  </si>
  <si>
    <t xml:space="preserve">Kick off date : 8th Aug </t>
  </si>
  <si>
    <t xml:space="preserve">Stages </t>
  </si>
  <si>
    <t xml:space="preserve">Tentative dates </t>
  </si>
  <si>
    <t xml:space="preserve">Amt </t>
  </si>
  <si>
    <t xml:space="preserve">% </t>
  </si>
  <si>
    <t xml:space="preserve">Milestone </t>
  </si>
  <si>
    <t>Revised dates</t>
  </si>
  <si>
    <t>Total amt</t>
  </si>
  <si>
    <t xml:space="preserve">Phase 1 </t>
  </si>
  <si>
    <t xml:space="preserve">Stage 1 </t>
  </si>
  <si>
    <t>Procurement, kick off</t>
  </si>
  <si>
    <t>Stage 2</t>
  </si>
  <si>
    <t xml:space="preserve">Civil 30%, electric POP starts </t>
  </si>
  <si>
    <t>Stage 3</t>
  </si>
  <si>
    <t xml:space="preserve">Civil 60% Electric POP 30% </t>
  </si>
  <si>
    <t xml:space="preserve">Phase 2 </t>
  </si>
  <si>
    <t>Stage 4</t>
  </si>
  <si>
    <t xml:space="preserve">Carpentry 10% </t>
  </si>
  <si>
    <t>Stage 5</t>
  </si>
  <si>
    <t xml:space="preserve">Modular order placement </t>
  </si>
  <si>
    <t>Stage 6</t>
  </si>
  <si>
    <t xml:space="preserve">Carpentry 60% </t>
  </si>
  <si>
    <t>Stage 7</t>
  </si>
  <si>
    <t xml:space="preserve">Carpentry 80% </t>
  </si>
  <si>
    <t xml:space="preserve">Phase 3 </t>
  </si>
  <si>
    <t>Stage 8</t>
  </si>
  <si>
    <t xml:space="preserve">Modular order delivery </t>
  </si>
  <si>
    <t>Stage 9</t>
  </si>
  <si>
    <t xml:space="preserve">Installation, carpentry finishing, glass </t>
  </si>
  <si>
    <t>Stage 10</t>
  </si>
  <si>
    <t xml:space="preserve">Painting 1 </t>
  </si>
  <si>
    <t>Stage 11</t>
  </si>
  <si>
    <t xml:space="preserve">Painting 2, cleaning </t>
  </si>
  <si>
    <t>Stage 12</t>
  </si>
  <si>
    <t xml:space="preserve">Completion </t>
  </si>
  <si>
    <t xml:space="preserve">REV 1 </t>
  </si>
  <si>
    <t>Kick off date : 20th -25th Sep</t>
  </si>
  <si>
    <t>Ranbeer Dhanawat</t>
  </si>
  <si>
    <t>D13</t>
  </si>
  <si>
    <t>252</t>
  </si>
  <si>
    <t>Kitchen Floor tiles</t>
  </si>
  <si>
    <t>Floor tiles</t>
  </si>
  <si>
    <t>70</t>
  </si>
  <si>
    <t>Laying of tiles with adhesive</t>
  </si>
  <si>
    <t>New platfrom</t>
  </si>
  <si>
    <t>New work</t>
  </si>
  <si>
    <t>(1x1 upto  2x 4 ft tiles)</t>
  </si>
  <si>
    <t>Plumbing for rain shower</t>
  </si>
  <si>
    <t>748</t>
  </si>
  <si>
    <t>573</t>
  </si>
  <si>
    <t>89</t>
  </si>
  <si>
    <t>main door  refurbishment</t>
  </si>
  <si>
    <t xml:space="preserve">Crockery unit </t>
  </si>
  <si>
    <t>Marine ply + Inside laminate + Laminate Finish</t>
  </si>
  <si>
    <t>Ply frame</t>
  </si>
  <si>
    <t>King size Bed</t>
  </si>
  <si>
    <t>65</t>
  </si>
  <si>
    <t>Common Toilet</t>
  </si>
  <si>
    <t xml:space="preserve">Glass </t>
  </si>
  <si>
    <t>740</t>
  </si>
  <si>
    <t xml:space="preserve"> 3 seater</t>
  </si>
  <si>
    <t>Living area &amp; kid's</t>
  </si>
  <si>
    <t>Arm Chair</t>
  </si>
  <si>
    <t>Pouffee</t>
  </si>
  <si>
    <t xml:space="preserve">Doesnt include decor lights </t>
  </si>
  <si>
    <t>Kitchen floor</t>
  </si>
  <si>
    <t>Kitchen Walls</t>
  </si>
  <si>
    <t>Kitchen outer wall</t>
  </si>
  <si>
    <t>Uplifting of toilets</t>
  </si>
  <si>
    <t>Tile on tile+hanging /wall lights+Niches</t>
  </si>
  <si>
    <t>Rain Shower</t>
  </si>
  <si>
    <t>Switch boards</t>
  </si>
  <si>
    <t xml:space="preserve">ACs </t>
  </si>
  <si>
    <t xml:space="preserve">No safety door </t>
  </si>
  <si>
    <t xml:space="preserve">MBR plan change </t>
  </si>
  <si>
    <t xml:space="preserve">No Arches/ mouldings </t>
  </si>
  <si>
    <t xml:space="preserve">Changes in kitchen - open, glass, light </t>
  </si>
  <si>
    <t xml:space="preserve">Provision for Chimney with exhaust </t>
  </si>
  <si>
    <t xml:space="preserve">Sliding door kitchen </t>
  </si>
  <si>
    <t xml:space="preserve">Glass partitions </t>
  </si>
  <si>
    <t xml:space="preserve">Door + frame - laminate change </t>
  </si>
  <si>
    <t xml:space="preserve">Mirror wall - dining </t>
  </si>
  <si>
    <t xml:space="preserve">Low height bed + sofa - Bed (2 pull drawers ) </t>
  </si>
  <si>
    <t xml:space="preserve">Kitchen outer wall </t>
  </si>
  <si>
    <t xml:space="preserve">Uplifting of all washrooms </t>
  </si>
  <si>
    <t xml:space="preserve">Rain shower in both washrooms </t>
  </si>
  <si>
    <t>Tile behind wardrobe</t>
  </si>
  <si>
    <t>aa</t>
  </si>
  <si>
    <t>ID</t>
  </si>
  <si>
    <t>Vendor Rates</t>
  </si>
  <si>
    <t>Elemantra Rate</t>
  </si>
  <si>
    <t>udaan rate</t>
  </si>
  <si>
    <t>udaan vendor rate</t>
  </si>
  <si>
    <t>FC 1</t>
  </si>
  <si>
    <t>False Ceiling</t>
  </si>
  <si>
    <t>Removal of Existing false ceiling</t>
  </si>
  <si>
    <t>FC 2</t>
  </si>
  <si>
    <t>Gypsum Board Ceiling</t>
  </si>
  <si>
    <r>
      <rPr>
        <rFont val="Times New Roman"/>
        <color theme="1"/>
        <sz val="10.0"/>
      </rPr>
      <t xml:space="preserve">IGL -Saint Gobain Board/Gyproc+ </t>
    </r>
    <r>
      <rPr>
        <rFont val="Times New Roman"/>
        <color theme="1"/>
        <sz val="10.0"/>
      </rPr>
      <t>India Gypsum GI Frame</t>
    </r>
  </si>
  <si>
    <t>12.5mm thick gypsum board, with Saint Gobain or India Gyspum Channel including all material, labour, transportation etc | Ceiling Channel and Intermediate Channel at 900mm c/c &amp; Ceiling Section at 450mm c/c</t>
  </si>
  <si>
    <t>Saint Gobain/Gyproc Board + local A Grade  channel</t>
  </si>
  <si>
    <t>12.5mm thick gypsum board, with local A Grade Channel including all material, labour, transportation etc | Ceiling Channel and Intermediate Channel at 900mm c/c &amp; Ceiling Section at 450mm c/c</t>
  </si>
  <si>
    <t>Gypsum Board Cove</t>
  </si>
  <si>
    <t>Gypsum cove</t>
  </si>
  <si>
    <t>Hilux Board ceiling</t>
  </si>
  <si>
    <r>
      <rPr>
        <rFont val="Times New Roman"/>
        <color theme="1"/>
        <sz val="10.0"/>
      </rPr>
      <t>Hilux Board +</t>
    </r>
    <r>
      <rPr>
        <rFont val="Times New Roman"/>
        <color theme="1"/>
        <sz val="10.0"/>
      </rPr>
      <t xml:space="preserve"> local A Grade  channel</t>
    </r>
  </si>
  <si>
    <t>8mm Ramco hilux board, with local A Grade Channel including all material, labour, transportation etc | Ceiling Channel and Intermediate Channel at 900mm c/c &amp; Ceiling Section at 450mm c/c</t>
  </si>
  <si>
    <t>FC 6</t>
  </si>
  <si>
    <t>PVC ceiling</t>
  </si>
  <si>
    <t>PVC ceiling + local A grade channel</t>
  </si>
  <si>
    <t>FC 7</t>
  </si>
  <si>
    <t>POP Partition</t>
  </si>
  <si>
    <t>Gypsum Board + local A Grade channel</t>
  </si>
  <si>
    <t>12.5mm thick gypsum board, with local A Grade Channel including all material, labour, transportation etc</t>
  </si>
  <si>
    <t>FC 8</t>
  </si>
  <si>
    <t>POP Partition dhar</t>
  </si>
  <si>
    <t>FC 9</t>
  </si>
  <si>
    <t>Hilux Partition</t>
  </si>
  <si>
    <t>Hilux Board + local A Grade  channel</t>
  </si>
  <si>
    <t>8mm thick Ramco Hilux, with local A Grade Channel including all material, labour, transportation etc</t>
  </si>
  <si>
    <t>FC 10</t>
  </si>
  <si>
    <t>Hilux Partition dhar</t>
  </si>
  <si>
    <t>POP Punning</t>
  </si>
  <si>
    <t>POP Punning (Plum) 12-25mm thick</t>
  </si>
  <si>
    <t>Providing and applying 12-25  mm thick POP punning on wall /ceiling including scrapping and hacking the existing finished surface and applying plaster of paris in proper line and levels etc. complete.</t>
  </si>
  <si>
    <t>POP Punning dhar</t>
  </si>
  <si>
    <t>FC 13</t>
  </si>
  <si>
    <t>FC 14</t>
  </si>
  <si>
    <t>FC 15</t>
  </si>
  <si>
    <t>Skirting groove</t>
  </si>
  <si>
    <t>FC 16</t>
  </si>
  <si>
    <t>Wall Groove</t>
  </si>
  <si>
    <t>Light Gala cutting</t>
  </si>
  <si>
    <t>D1</t>
  </si>
  <si>
    <t>Brickwall - 6"</t>
  </si>
  <si>
    <t>D3</t>
  </si>
  <si>
    <t>Brickwall - 9"</t>
  </si>
  <si>
    <t>D4</t>
  </si>
  <si>
    <t>RCC</t>
  </si>
  <si>
    <t>D5</t>
  </si>
  <si>
    <t>D6</t>
  </si>
  <si>
    <t>Wall tiles</t>
  </si>
  <si>
    <t>D7</t>
  </si>
  <si>
    <t>D8</t>
  </si>
  <si>
    <t>Floor PCC</t>
  </si>
  <si>
    <t>D9</t>
  </si>
  <si>
    <t>Granite frames</t>
  </si>
  <si>
    <t>D10</t>
  </si>
  <si>
    <t>Floor marble/granite</t>
  </si>
  <si>
    <t>D11</t>
  </si>
  <si>
    <t>Wall marble/granite</t>
  </si>
  <si>
    <t>D12</t>
  </si>
  <si>
    <t>Wall skirting</t>
  </si>
  <si>
    <t>D14</t>
  </si>
  <si>
    <t xml:space="preserve">Brickbat </t>
  </si>
  <si>
    <t>D15</t>
  </si>
  <si>
    <t>Tancha work</t>
  </si>
  <si>
    <t>D16</t>
  </si>
  <si>
    <t>Additional Labor</t>
  </si>
  <si>
    <t>C2</t>
  </si>
  <si>
    <t>Providing and laying 6" (150 MM) brick partition wall with good quality bricks well burnt 1st class in cement mortar 1:4 (1 cement : 4 coarse sand) including providing 2 nos of 6mm dia MS round bars at every IV course including scaffolding, curing, raking out joints etc. complete.</t>
  </si>
  <si>
    <t>C3</t>
  </si>
  <si>
    <t>Providing and laying 9" (250 MM) brick partition wall with good quality bricks well burnt 1st class in cement mortar 1:4 (1 cement : 4 coarse sand) including providing 2 nos of 6mm dia MS round bars at every IV course including scaffolding, curing, raking out joints etc. complete.</t>
  </si>
  <si>
    <t>C4</t>
  </si>
  <si>
    <t>Siporex wall - 4"</t>
  </si>
  <si>
    <t>Providing and laying 4" (100 MM) Siporex partition wall with good quality  blocks 1st class in cement mortar 1:4 (1 cement : 4 coarse sand) including providing 2 nos of 6mm dia MS round bars at every IV course including scaffolding, curing, raking out joints etc. complete.</t>
  </si>
  <si>
    <t>C5</t>
  </si>
  <si>
    <t>Siporex wall - 6"</t>
  </si>
  <si>
    <t>Providing and laying 6" (150 MM) Siporex partition wall with good quality  blocks 1st class in cement mortar 1:4 (1 cement : 4 coarse sand) including providing 2 nos of 6mm dia MS round bars at every IV course including scaffolding, curing, raking out joints etc. complete.</t>
  </si>
  <si>
    <t>C6</t>
  </si>
  <si>
    <t>Siporex wall - 9"</t>
  </si>
  <si>
    <t>Providing and laying 9" (250 MM) Siporex partition wall with good quality  blocks 1st class in cement mortar 1:4 (1 cement : 4 coarse sand) including providing 2 nos of 6mm dia MS round bars at every IV course including scaffolding, curing, raking out joints etc. complete.</t>
  </si>
  <si>
    <t>C7</t>
  </si>
  <si>
    <t>C8</t>
  </si>
  <si>
    <t>C9</t>
  </si>
  <si>
    <t>Above ( 4' x 2' ) tiles laying</t>
  </si>
  <si>
    <t>C10</t>
  </si>
  <si>
    <t>As per Design</t>
  </si>
  <si>
    <t>C11</t>
  </si>
  <si>
    <t>C12</t>
  </si>
  <si>
    <t>Wall tile Skirting</t>
  </si>
  <si>
    <t>P / L  50-75mm average thickness Plain Cement Concrete  1:2:4 (1 cement : 2 coarse sand : 4 aggregate, 20mm  and down gauge) , tamped, spaded, trowelled  and smooth finish.</t>
  </si>
  <si>
    <t>Single patti</t>
  </si>
  <si>
    <t>C16</t>
  </si>
  <si>
    <t>Double Patti</t>
  </si>
  <si>
    <t>C17</t>
  </si>
  <si>
    <t>Marble frames</t>
  </si>
  <si>
    <t>Marble Frame – up to 6 Inches width
{Including Bevelling+ Cutting+ Polishing}. Excludes Granite cost</t>
  </si>
  <si>
    <t>C18</t>
  </si>
  <si>
    <t>Marble Frame – up to 6 to 12 Inches width
{Including Bevelling+ Cutting+ Polishing}. Excludes Granite cost</t>
  </si>
  <si>
    <t>C19</t>
  </si>
  <si>
    <t>Wall marble/granite / Tiles</t>
  </si>
  <si>
    <t>Laying marble (18mm thk) of approved colour, shade and size on the wall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</si>
  <si>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C20</t>
  </si>
  <si>
    <t>Laying marble (18mm thk) of approved colour, shade and size in the flooring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</si>
  <si>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C21</t>
  </si>
  <si>
    <t>C22</t>
  </si>
  <si>
    <t>Wall marble skirting</t>
  </si>
  <si>
    <t>Fully Modular Kitchen - Granite/Marble</t>
  </si>
  <si>
    <t>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</si>
  <si>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C24</t>
  </si>
  <si>
    <t>Fully Modular Kitchen - Quartz</t>
  </si>
  <si>
    <t>C25</t>
  </si>
  <si>
    <t xml:space="preserve">Semi - Modular </t>
  </si>
  <si>
    <t>C26</t>
  </si>
  <si>
    <t>Providing &amp; laying brickbat coba (4") with PCC</t>
  </si>
  <si>
    <t>Providing &amp; laying brickbat coba (6") with PCC</t>
  </si>
  <si>
    <t>C28</t>
  </si>
  <si>
    <t>Providing &amp; laying brickbat coba (9") with PCC</t>
  </si>
  <si>
    <t>C29</t>
  </si>
  <si>
    <t>Providing &amp; laying brickbat coba (12") with PCC</t>
  </si>
  <si>
    <t>Waterproofing</t>
  </si>
  <si>
    <t xml:space="preserve">Waterproofing with 2 coats </t>
  </si>
  <si>
    <t>C31</t>
  </si>
  <si>
    <t>Floor Marble Polishing</t>
  </si>
  <si>
    <t>Polishing of existing marble flooring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(office and bath room area)</t>
  </si>
  <si>
    <t>C32</t>
  </si>
  <si>
    <t>Daimond Floor Marble Polishing</t>
  </si>
  <si>
    <t xml:space="preserve">Polishing of existing marble flooring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</si>
  <si>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C33</t>
  </si>
  <si>
    <t>Wall Marble Polishing</t>
  </si>
  <si>
    <t xml:space="preserve">Polishing of existing wall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</si>
  <si>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C34</t>
  </si>
  <si>
    <t xml:space="preserve">Polishing of existing marble wall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</si>
  <si>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C35</t>
  </si>
  <si>
    <t>Skrirting Marble Polishing</t>
  </si>
  <si>
    <t>C36</t>
  </si>
  <si>
    <t>C37</t>
  </si>
  <si>
    <t>Marble Cutting works</t>
  </si>
  <si>
    <t>Marble/Granite</t>
  </si>
  <si>
    <t xml:space="preserve">Marble cutting works with all machinery and tools </t>
  </si>
  <si>
    <t>C38</t>
  </si>
  <si>
    <t>Marble Chemical Coating</t>
  </si>
  <si>
    <t>C39</t>
  </si>
  <si>
    <t>White marble sealer coating (Inside)</t>
  </si>
  <si>
    <t>C40</t>
  </si>
  <si>
    <t>White marble sealer coating (outside)</t>
  </si>
  <si>
    <t>C41</t>
  </si>
  <si>
    <t>Floor tiles Joint</t>
  </si>
  <si>
    <t>C42</t>
  </si>
  <si>
    <t>Tiles top Chemical Coating</t>
  </si>
  <si>
    <t>C43</t>
  </si>
  <si>
    <t>Box making</t>
  </si>
  <si>
    <t>Erecting marble partitions (Single) vertical and horizontal shelves</t>
  </si>
  <si>
    <t>SFT</t>
  </si>
  <si>
    <t>Marble fixing on Walls</t>
  </si>
  <si>
    <t>Fixing marble on walls</t>
  </si>
  <si>
    <t>Vanity counter</t>
  </si>
  <si>
    <t>Granite/Marble</t>
  </si>
  <si>
    <t>CP 2</t>
  </si>
  <si>
    <t>MR ply + ply framing + 5mm clear mirror</t>
  </si>
  <si>
    <t>CP 4</t>
  </si>
  <si>
    <t>Backpainted glass</t>
  </si>
  <si>
    <t>MR ply + ply framing + 5mm toughned backpainted extra clear glass</t>
  </si>
  <si>
    <t>CP 5</t>
  </si>
  <si>
    <t>Gypsum Board Finish</t>
  </si>
  <si>
    <t>MR ply + ply framing + 12.5mm Gypsum sheet</t>
  </si>
  <si>
    <t>MDF</t>
  </si>
  <si>
    <t>MR ply + ply framing + 12mm MDF</t>
  </si>
  <si>
    <t>CP 7</t>
  </si>
  <si>
    <t>ACP</t>
  </si>
  <si>
    <t>MR ply + ply framing + 3mm ACP Sheet</t>
  </si>
  <si>
    <t>CP 8</t>
  </si>
  <si>
    <t>Partition</t>
  </si>
  <si>
    <t>CP 9</t>
  </si>
  <si>
    <t>CP 10</t>
  </si>
  <si>
    <t>CP 11</t>
  </si>
  <si>
    <t>CP 12</t>
  </si>
  <si>
    <t>Ply ceiling</t>
  </si>
  <si>
    <t>CP 13</t>
  </si>
  <si>
    <t>CP 14</t>
  </si>
  <si>
    <t>CP 15</t>
  </si>
  <si>
    <t>Rafter Ceiling</t>
  </si>
  <si>
    <t>CP 16</t>
  </si>
  <si>
    <t>MR ply + Inside laminate + finish laminate. (Includes 4 pencil drawers, Handles of base rate Rs.1000/pc)</t>
  </si>
  <si>
    <t>CP 18</t>
  </si>
  <si>
    <t>MR ply + Inside laminate + finish Veneer (Includes 4 pencil drawers, Handles of base rate Rs.1000/pc)</t>
  </si>
  <si>
    <t>CP 19</t>
  </si>
  <si>
    <t>MR ply + Inside laminate + Profile section for glass+ 5mm toughned backpainted extra clear glass(Includes 4 pencil drawers, Handles of base rate Rs.1000/pc)</t>
  </si>
  <si>
    <t>MR ply + Inside laminate + finish laminate</t>
  </si>
  <si>
    <t>CP 22</t>
  </si>
  <si>
    <t>CP 23</t>
  </si>
  <si>
    <t>MR ply + Inside laminate + 12mm MDF</t>
  </si>
  <si>
    <t>CP 24</t>
  </si>
  <si>
    <t>MR ply + Inside laminate + foaming material and labor. Excludes Fabric cost</t>
  </si>
  <si>
    <t>Carcass Storage</t>
  </si>
  <si>
    <t>CP 26</t>
  </si>
  <si>
    <t>Prelam finish</t>
  </si>
  <si>
    <t>Prelam ply+Inside laminate+Finish laminate</t>
  </si>
  <si>
    <t>CP 27</t>
  </si>
  <si>
    <t>CP 28</t>
  </si>
  <si>
    <t>CP 29</t>
  </si>
  <si>
    <t>MR ply + Inside laminate + Profile section for glass+ 5mm toughned backpainted extra clear glass</t>
  </si>
  <si>
    <t>CP 30</t>
  </si>
  <si>
    <t>New Door</t>
  </si>
  <si>
    <t>MR ply + finish laminate from both sides</t>
  </si>
  <si>
    <t>CP 31</t>
  </si>
  <si>
    <t>CP 32</t>
  </si>
  <si>
    <t>MR ply + 4mm MDF from both sides</t>
  </si>
  <si>
    <t>CP 33</t>
  </si>
  <si>
    <t>CP 34</t>
  </si>
  <si>
    <t>CP 35</t>
  </si>
  <si>
    <t>CP 36</t>
  </si>
  <si>
    <t>Teakwood Door Frame</t>
  </si>
  <si>
    <t>Saalwood/Redwood + Finish laminate</t>
  </si>
  <si>
    <t>CP 37</t>
  </si>
  <si>
    <t>Saalwood/Redwood + Finish Veneer</t>
  </si>
  <si>
    <t>CP 38</t>
  </si>
  <si>
    <t>Melamine Polish</t>
  </si>
  <si>
    <t xml:space="preserve">Saalwood/Redwood </t>
  </si>
  <si>
    <t>CP 39</t>
  </si>
  <si>
    <t>Sliding door</t>
  </si>
  <si>
    <t>CP 40</t>
  </si>
  <si>
    <t>CP 41</t>
  </si>
  <si>
    <t>CP 42</t>
  </si>
  <si>
    <t>Sliding folding door</t>
  </si>
  <si>
    <t>CP 43</t>
  </si>
  <si>
    <t>CP 44</t>
  </si>
  <si>
    <t>Bed Side table</t>
  </si>
  <si>
    <t>CP 47</t>
  </si>
  <si>
    <t>MR ply + Inside laminate + finish Veneer(1 Drawer)</t>
  </si>
  <si>
    <t>CP 48</t>
  </si>
  <si>
    <t>MR ply + Inside laminate + 12mm MDF(1 Drawer)</t>
  </si>
  <si>
    <t>Study Table</t>
  </si>
  <si>
    <t>MR ply + Inside laminate + finish laminate (2 pencil drawers)</t>
  </si>
  <si>
    <t>CP 50</t>
  </si>
  <si>
    <t>MR ply + Inside laminate + finish Veneer (2 Pencil Drawers)</t>
  </si>
  <si>
    <t>CP 51</t>
  </si>
  <si>
    <t>MR ply + Inside laminate + 12mm MDF (2 Pencil Drawers)</t>
  </si>
  <si>
    <t>CP 52</t>
  </si>
  <si>
    <t>Wall Shelves</t>
  </si>
  <si>
    <t>CP 53</t>
  </si>
  <si>
    <t>CP 54</t>
  </si>
  <si>
    <t>CP 55</t>
  </si>
  <si>
    <t>Only Shutters</t>
  </si>
  <si>
    <t>CP 56</t>
  </si>
  <si>
    <t>CP 57</t>
  </si>
  <si>
    <t>CP 58</t>
  </si>
  <si>
    <t>backpainted glass</t>
  </si>
  <si>
    <t>CP 59</t>
  </si>
  <si>
    <t>Inside Drawers</t>
  </si>
  <si>
    <t>Inside laminate</t>
  </si>
  <si>
    <t>MR ply + Inside laminate</t>
  </si>
  <si>
    <t>CP 60</t>
  </si>
  <si>
    <t>MR ply + finish veneer</t>
  </si>
  <si>
    <t xml:space="preserve">Kitchen Basket </t>
  </si>
  <si>
    <t>SS Perforated</t>
  </si>
  <si>
    <t>Basket + Channel+Fitting charges</t>
  </si>
  <si>
    <t>CP 62</t>
  </si>
  <si>
    <t>SS Jali</t>
  </si>
  <si>
    <t>CP 63</t>
  </si>
  <si>
    <t>Tandom box</t>
  </si>
  <si>
    <t>Wicker basket</t>
  </si>
  <si>
    <t>CP 65</t>
  </si>
  <si>
    <t>Glass Partiton</t>
  </si>
  <si>
    <t xml:space="preserve">8mm Toughned glass </t>
  </si>
  <si>
    <t>8mm toughned glass + Fitting labour + loading, unloading + All fitting hardware + Silicon etc</t>
  </si>
  <si>
    <t>CP 66</t>
  </si>
  <si>
    <t>10mm toughned glass</t>
  </si>
  <si>
    <t>10mm toughned glass + Fitting labour + loading, unloading + All fitting hardware + Silicon etc</t>
  </si>
  <si>
    <t>12mm toughned glass</t>
  </si>
  <si>
    <t>12mm toughned glass + Fitting labour + loading, unloading + All fitting hardware + Silicon etc</t>
  </si>
  <si>
    <t>CP 68</t>
  </si>
  <si>
    <t>Glass Doors</t>
  </si>
  <si>
    <t>CP 69</t>
  </si>
  <si>
    <t>CP 70</t>
  </si>
  <si>
    <t>CP 71</t>
  </si>
  <si>
    <t>Glass + Aluminium Partition</t>
  </si>
  <si>
    <t>CP 72</t>
  </si>
  <si>
    <t>CP 73</t>
  </si>
  <si>
    <t>CP 74</t>
  </si>
  <si>
    <t>Director Table</t>
  </si>
  <si>
    <t>Prelam Board</t>
  </si>
  <si>
    <t>25mm board + All Hardware + 2 drawers</t>
  </si>
  <si>
    <t>CP 75</t>
  </si>
  <si>
    <t>18mm board + All Hardware + 2 drawers</t>
  </si>
  <si>
    <t>CP 76</t>
  </si>
  <si>
    <t>CP 77</t>
  </si>
  <si>
    <t>CP 78</t>
  </si>
  <si>
    <t>Corian Finish</t>
  </si>
  <si>
    <t>CP 79</t>
  </si>
  <si>
    <t>Table tops</t>
  </si>
  <si>
    <t>One side finish laminate and one side inside laminate</t>
  </si>
  <si>
    <t>CP 80</t>
  </si>
  <si>
    <t>CP 81</t>
  </si>
  <si>
    <t>One side finishVeneer and one side inside laminate</t>
  </si>
  <si>
    <t>CP 82</t>
  </si>
  <si>
    <t>One side finish MDF and one side inside laminate</t>
  </si>
  <si>
    <t>CP 83</t>
  </si>
  <si>
    <t>One side finish corian and one side inside laminate</t>
  </si>
  <si>
    <t>CP 84</t>
  </si>
  <si>
    <t>Stone Finish</t>
  </si>
  <si>
    <t>CP 85</t>
  </si>
  <si>
    <t>Free standing workstation with keyboard trays</t>
  </si>
  <si>
    <t>25mm board + All Hardware +Keyboard tray</t>
  </si>
  <si>
    <t>CP 86</t>
  </si>
  <si>
    <t>18mm board + All Hardware + keyboard tray</t>
  </si>
  <si>
    <t>CP 87</t>
  </si>
  <si>
    <t>CP 88</t>
  </si>
  <si>
    <t>CP 89</t>
  </si>
  <si>
    <t>CP/MDF Moulding</t>
  </si>
  <si>
    <t>CP Wood/MDF</t>
  </si>
  <si>
    <t>CP 90</t>
  </si>
  <si>
    <t>Change shutters only</t>
  </si>
  <si>
    <t>CP 91</t>
  </si>
  <si>
    <t>MR ply + Inside laminate + finish MDF</t>
  </si>
  <si>
    <t>CP 92</t>
  </si>
  <si>
    <t>Textured/patterned MDF Finish</t>
  </si>
  <si>
    <t>CP 93</t>
  </si>
  <si>
    <t>CP 94</t>
  </si>
  <si>
    <t>Change finish only</t>
  </si>
  <si>
    <t>Finish laminate</t>
  </si>
  <si>
    <t>CP 95</t>
  </si>
  <si>
    <t>Finish MDF</t>
  </si>
  <si>
    <t>CP 96</t>
  </si>
  <si>
    <t>Finish textured/patterned MDF</t>
  </si>
  <si>
    <t>CP 97</t>
  </si>
  <si>
    <t>Finish veneer</t>
  </si>
  <si>
    <t>CP 98</t>
  </si>
  <si>
    <t xml:space="preserve">Bed laminate change </t>
  </si>
  <si>
    <t>CP 99</t>
  </si>
  <si>
    <t>MDF finish</t>
  </si>
  <si>
    <t>CP 100</t>
  </si>
  <si>
    <t>Bed add fabric only</t>
  </si>
  <si>
    <t>Fabric finish</t>
  </si>
  <si>
    <t>CP 101</t>
  </si>
  <si>
    <t>Metal skirting profile</t>
  </si>
  <si>
    <t>SS finish</t>
  </si>
  <si>
    <t>CP 102</t>
  </si>
  <si>
    <t>CP 103</t>
  </si>
  <si>
    <t>CP 104</t>
  </si>
  <si>
    <t>MEtal skirting profile</t>
  </si>
  <si>
    <t>CP 105</t>
  </si>
  <si>
    <t>Acoustic panels</t>
  </si>
  <si>
    <t>Mirror finish</t>
  </si>
  <si>
    <t>MRply + ply framing + finish mirror</t>
  </si>
  <si>
    <t>CP 107</t>
  </si>
  <si>
    <t>Bunker Bed</t>
  </si>
  <si>
    <t>MRply + Inside laminate + finish laminate</t>
  </si>
  <si>
    <t xml:space="preserve">MRply + Inside laminate + finish laminate </t>
  </si>
  <si>
    <t>CP 109</t>
  </si>
  <si>
    <t>Bed+ Headboard</t>
  </si>
  <si>
    <t>CP 110</t>
  </si>
  <si>
    <t>MRply + Inside laminate + finish laminate+accents of gold in pvd coated metal members</t>
  </si>
  <si>
    <t>Main Door+Safety door</t>
  </si>
  <si>
    <t>MRply + finish laminate from both sides</t>
  </si>
  <si>
    <t>CP 112</t>
  </si>
  <si>
    <t>Bar unit</t>
  </si>
  <si>
    <t>MRply + Inside laminate + finish laminate (without accessories)</t>
  </si>
  <si>
    <t>CP 113</t>
  </si>
  <si>
    <t>Vanity</t>
  </si>
  <si>
    <t>MRply + Inside laminate + finish laminate /mirror door</t>
  </si>
  <si>
    <t>CP 114</t>
  </si>
  <si>
    <t>Window</t>
  </si>
  <si>
    <t>CP 115</t>
  </si>
  <si>
    <t xml:space="preserve">Carcass Storage </t>
  </si>
  <si>
    <t>CP 116</t>
  </si>
  <si>
    <t>Safety door</t>
  </si>
  <si>
    <t>MRply + Inside laminate + finish laminate+ Corian jaali on back + Veneer jali door/Corian jaali door+accents of gold in pvd coated metal members</t>
  </si>
  <si>
    <t>CP 118</t>
  </si>
  <si>
    <t>Wall mounted bed</t>
  </si>
  <si>
    <t>CP 119</t>
  </si>
  <si>
    <t>sofa cum bed</t>
  </si>
  <si>
    <t>CP 120</t>
  </si>
  <si>
    <t>MD 1</t>
  </si>
  <si>
    <t>MD 2</t>
  </si>
  <si>
    <t>MD 3</t>
  </si>
  <si>
    <t>HDHMR+ PU finish</t>
  </si>
  <si>
    <t>MR ply + Inside laminate + 12mm MDF(Includes 4 pencil drawers, Handles of base rate Rs.1000/pc)</t>
  </si>
  <si>
    <t>MD 4</t>
  </si>
  <si>
    <t>MD 5</t>
  </si>
  <si>
    <t>MD 6</t>
  </si>
  <si>
    <t>MD 7</t>
  </si>
  <si>
    <t>MD 8</t>
  </si>
  <si>
    <t>MD 9</t>
  </si>
  <si>
    <t>MD 10</t>
  </si>
  <si>
    <t>MD 11</t>
  </si>
  <si>
    <t>MD 12</t>
  </si>
  <si>
    <t>MD 13</t>
  </si>
  <si>
    <t>MD 14</t>
  </si>
  <si>
    <t>MD 15</t>
  </si>
  <si>
    <t>MD 16</t>
  </si>
  <si>
    <t>MD 17</t>
  </si>
  <si>
    <t>MD 18</t>
  </si>
  <si>
    <t>MD 19</t>
  </si>
  <si>
    <t>5A Switch &amp; Socket - New</t>
  </si>
  <si>
    <t xml:space="preserve">new 5A Switch &amp; Socket from DB on wall include the price for wire and conduits, chipping and replastering on wall is included </t>
  </si>
  <si>
    <t>per point</t>
  </si>
  <si>
    <t>E 2</t>
  </si>
  <si>
    <t>Light Point</t>
  </si>
  <si>
    <r>
      <rPr>
        <rFont val="Times New Roman"/>
        <color theme="1"/>
        <sz val="10.0"/>
      </rPr>
      <t>new</t>
    </r>
    <r>
      <rPr>
        <rFont val="Times New Roman"/>
        <color theme="1"/>
        <sz val="10.0"/>
      </rPr>
      <t xml:space="preserve"> 5A Switch (Light)  points from DB on wall include the price for wire and conduits, chipping and replastering on wall is included </t>
    </r>
  </si>
  <si>
    <t>E 3</t>
  </si>
  <si>
    <t>15 A Switch &amp; Socket - New</t>
  </si>
  <si>
    <r>
      <rPr>
        <rFont val="Times New Roman"/>
        <color theme="1"/>
        <sz val="10.0"/>
      </rPr>
      <t>new</t>
    </r>
    <r>
      <rPr>
        <rFont val="Times New Roman"/>
        <color theme="1"/>
        <sz val="10.0"/>
      </rPr>
      <t xml:space="preserve"> 15A Switch &amp; Socket from DB on wall include the price for wire and conduits, chipping and replastering on wall is included </t>
    </r>
  </si>
  <si>
    <t>E 4</t>
  </si>
  <si>
    <t>Fan Point</t>
  </si>
  <si>
    <t xml:space="preserve">new fan point. include the price for wire and conduits, chipping and replastering on wall is included </t>
  </si>
  <si>
    <t>NOTE - The rates include fixingof fan in position, effecting proper connections testing and commissioning of lighting fixtures and fans including lamps, control gear, power factor improvement capacitor and all fixing accessories that may be required to check.</t>
  </si>
  <si>
    <t>E 5</t>
  </si>
  <si>
    <t>AC Point</t>
  </si>
  <si>
    <t xml:space="preserve">new AC  point. include the price for wire and conduits, chipping and replastering on wall is included </t>
  </si>
  <si>
    <r>
      <rPr>
        <rFont val="Times New Roman"/>
        <color theme="1"/>
        <sz val="10.0"/>
      </rPr>
      <t xml:space="preserve">NOTE - The rates </t>
    </r>
    <r>
      <rPr>
        <rFont val="Times New Roman"/>
        <color theme="1"/>
        <sz val="10.0"/>
      </rPr>
      <t>does not</t>
    </r>
    <r>
      <rPr>
        <rFont val="Times New Roman"/>
        <color theme="1"/>
        <sz val="10.0"/>
      </rPr>
      <t xml:space="preserve"> include fixing of AC</t>
    </r>
  </si>
  <si>
    <t>E 6</t>
  </si>
  <si>
    <t>Secondary point</t>
  </si>
  <si>
    <t>secondary looping point</t>
  </si>
  <si>
    <t>Electrical Wiring</t>
  </si>
  <si>
    <t>E 7</t>
  </si>
  <si>
    <t>Circuit wiring</t>
  </si>
  <si>
    <t>Circuit Wiring 1.5 mm</t>
  </si>
  <si>
    <t>E 8</t>
  </si>
  <si>
    <t>Circuit Wiring 2.5 mm</t>
  </si>
  <si>
    <t>E 9</t>
  </si>
  <si>
    <t>Circuit Wiring 4 mm</t>
  </si>
  <si>
    <t>E 10</t>
  </si>
  <si>
    <t>Telephone wiring</t>
  </si>
  <si>
    <t>Telephone Wiring 4 pair (inlcudes wiring and conduits)</t>
  </si>
  <si>
    <t>E 11</t>
  </si>
  <si>
    <t>Internet wiring</t>
  </si>
  <si>
    <t>Internet Wiring CAT-6 (inlcudes wiring &amp; conduits) LAN cable</t>
  </si>
  <si>
    <t>E 12</t>
  </si>
  <si>
    <t>Cable wiring</t>
  </si>
  <si>
    <t>TV Cable Wiring RJ-6 (includes wiring and conduits )</t>
  </si>
  <si>
    <t>E 13</t>
  </si>
  <si>
    <t>Speaker wiring</t>
  </si>
  <si>
    <t>Speaker Cabling of Oxygen Make</t>
  </si>
  <si>
    <t>E 14</t>
  </si>
  <si>
    <t>Light fixing</t>
  </si>
  <si>
    <t>Standard Light Fixing</t>
  </si>
  <si>
    <t>no.</t>
  </si>
  <si>
    <t>E 15</t>
  </si>
  <si>
    <t>Profile and strip lights fixing</t>
  </si>
  <si>
    <t>E 16</t>
  </si>
  <si>
    <t>Decorative lights fixing</t>
  </si>
  <si>
    <t>nos</t>
  </si>
  <si>
    <t>E 17</t>
  </si>
  <si>
    <t>DB Dressing</t>
  </si>
  <si>
    <t xml:space="preserve">Includes wire, DB Box and labor. Excludes MCB </t>
  </si>
  <si>
    <t>P 1</t>
  </si>
  <si>
    <t>Paint</t>
  </si>
  <si>
    <t>Premium Emulsion (Plastic Paint)</t>
  </si>
  <si>
    <t>2 Primer + 1 Putty + 2 PE</t>
  </si>
  <si>
    <t>Painting with acrylic emulsion on ceiling, to give an even shade – Two or more coats on new work including preparation of surface. (_putty+_primer+_paint) as per requirement</t>
  </si>
  <si>
    <t>P 2</t>
  </si>
  <si>
    <t>Interior Finish Lustre</t>
  </si>
  <si>
    <t>2 Primer + 2 Putty + 2 PE</t>
  </si>
  <si>
    <t>Painting with interior finish Luster on walls , to give an even shade – Two or more coats on new work including preparation of surface. (_putty+_primer+_paint) as per requirement</t>
  </si>
  <si>
    <t>P 3</t>
  </si>
  <si>
    <t>Royal Matt</t>
  </si>
  <si>
    <t>2 Primer + 1 Putty + 2 RLE</t>
  </si>
  <si>
    <t>Painting with royal luxury emulsion on walls, to give an even shade – Two or more coats on new work including preparation of surface. (_putty+_primer+_paint) as per requirement</t>
  </si>
  <si>
    <t>P 4</t>
  </si>
  <si>
    <t>Royal Aspira</t>
  </si>
  <si>
    <t>2 Primer + 3 Putty + 3 RA</t>
  </si>
  <si>
    <t>Painting with royal Aspira on walls, to give an even shade – Two or more coats on new work including preparation of surface. (_putty+_primer+_paint) as per requirement</t>
  </si>
  <si>
    <t>Royal Shyne</t>
  </si>
  <si>
    <t>Painting with royal Shyne on walls, to give an even shade – Two or more coats on new work including preparation of surface. (_putty+_primer+_paint) as per requirement</t>
  </si>
  <si>
    <t>P 6</t>
  </si>
  <si>
    <t>Zinc</t>
  </si>
  <si>
    <t>P 7</t>
  </si>
  <si>
    <t>Jotun</t>
  </si>
  <si>
    <t>P 8</t>
  </si>
  <si>
    <t>Epoxy</t>
  </si>
  <si>
    <t>P 9</t>
  </si>
  <si>
    <t>Clear</t>
  </si>
  <si>
    <t>P 10</t>
  </si>
  <si>
    <t>Colour</t>
  </si>
  <si>
    <t>P 11</t>
  </si>
  <si>
    <t>Metallic</t>
  </si>
  <si>
    <t>Polish</t>
  </si>
  <si>
    <t>Melamine</t>
  </si>
  <si>
    <t>P 13</t>
  </si>
  <si>
    <t>French</t>
  </si>
  <si>
    <t>P 14</t>
  </si>
  <si>
    <t>Duco</t>
  </si>
  <si>
    <t>Matt</t>
  </si>
  <si>
    <t>P 15</t>
  </si>
  <si>
    <t>P 16</t>
  </si>
  <si>
    <t>Lamination</t>
  </si>
  <si>
    <t>P 17</t>
  </si>
  <si>
    <t>P 18</t>
  </si>
  <si>
    <t>Marble finish</t>
  </si>
  <si>
    <t>Painting with royal Shyne on ceiling, to give an even shade – Two or more coats on new work including preparation of surface. (_putty+_primer+_paint) as per requirement</t>
  </si>
  <si>
    <t>PL 1</t>
  </si>
  <si>
    <t>Internal Concealed work (1 WC+ 1Shower and divertor + 1 Basin + 1 Geyser)</t>
  </si>
  <si>
    <t xml:space="preserve">all plumbing concealed wall and floor CPVC and UPVC pipes and chipping and replastering work </t>
  </si>
  <si>
    <t>Kitchen Plumbing</t>
  </si>
  <si>
    <t>Internal Concealed work (1 Basin + 1 Geyser)</t>
  </si>
  <si>
    <t>per kitchen</t>
  </si>
  <si>
    <t>PL 4</t>
  </si>
  <si>
    <t>CP fitting work (1 Basin + 1 Geyser)</t>
  </si>
  <si>
    <t>cp fiting and sanitary ware fixing (only fitting charges)</t>
  </si>
  <si>
    <t>PL 5</t>
  </si>
  <si>
    <t>Removal of Sanitary Fittings  and Concealed Supply and drainage lines from given locations</t>
  </si>
  <si>
    <t>PL 6</t>
  </si>
  <si>
    <t>CLEANING</t>
  </si>
  <si>
    <t>DEBRIS REMOVAL</t>
  </si>
  <si>
    <t>MISCELLENIOUS</t>
  </si>
  <si>
    <t>Floor Covering, Doors and Windows Covering</t>
  </si>
  <si>
    <t>SR NO</t>
  </si>
  <si>
    <t>MEETING AGENDA - 02/01/2026</t>
  </si>
  <si>
    <t>ACCOUNTIBILITY</t>
  </si>
  <si>
    <t>VENDOR/ORDERS</t>
  </si>
  <si>
    <t>BALCONY DESIGN</t>
  </si>
  <si>
    <t>SONAM /POOJA</t>
  </si>
  <si>
    <t>MAIN DOOR DESIGN</t>
  </si>
  <si>
    <t xml:space="preserve">VANITIES TOP MATERIAL </t>
  </si>
  <si>
    <t xml:space="preserve">FULL BODY TILE / QUARTZ </t>
  </si>
  <si>
    <t xml:space="preserve">MASTER BED BACK </t>
  </si>
  <si>
    <t>SUNAY</t>
  </si>
  <si>
    <t xml:space="preserve">NEED TO FIND VENDOR </t>
  </si>
  <si>
    <t xml:space="preserve">ENTRANCE CONSOLE PLANTER </t>
  </si>
  <si>
    <t xml:space="preserve">SONAM WILL SHARE DESIGN </t>
  </si>
  <si>
    <t>KITCHEN FINAL DISCUSSION  TO PUNCH ORDER</t>
  </si>
  <si>
    <t xml:space="preserve">LIGHTS SAMPLE FOR GALA CUTTING </t>
  </si>
  <si>
    <t>SUNAY SIR WILL SHARE CONTACT</t>
  </si>
  <si>
    <t xml:space="preserve">BATHROOMS VANITY BELOW DRAWERS CHANGE TO SHUTTER </t>
  </si>
  <si>
    <t xml:space="preserve">SONAM WILL SEND MESSAGE </t>
  </si>
  <si>
    <t xml:space="preserve">LAMINATES NEED TO ORDER </t>
  </si>
  <si>
    <t xml:space="preserve">RADHE </t>
  </si>
  <si>
    <t xml:space="preserve">MASTER WALKIN DOOR VENEER NEED TO APPROVE </t>
  </si>
  <si>
    <t xml:space="preserve">BEDS FABRIC NEED TO SELECT </t>
  </si>
  <si>
    <t xml:space="preserve">SHABIR TO SEND CATELOG TO SONAM HOUSE </t>
  </si>
  <si>
    <t xml:space="preserve">HEADBOARD FABRIC NEED TO SELECT </t>
  </si>
  <si>
    <t xml:space="preserve">ONYX PIPES NEED TO ORDER </t>
  </si>
  <si>
    <t xml:space="preserve">SUNAY </t>
  </si>
  <si>
    <t xml:space="preserve">NEED TO FINALISED PAINTER </t>
  </si>
  <si>
    <t xml:space="preserve">RAMESH/AWDESH </t>
  </si>
  <si>
    <t xml:space="preserve">SUNAY SIR WILL SHARE PAINTER </t>
  </si>
  <si>
    <t xml:space="preserve">NEED TO FINALISE SHOWER PARTITION WIDTH </t>
  </si>
  <si>
    <t xml:space="preserve">CNC ORDER TO BE PLACE </t>
  </si>
  <si>
    <t xml:space="preserve">SHOES RACK ROOM TO BE START </t>
  </si>
  <si>
    <t xml:space="preserve">CASH FLOW TO BE SHARED TO SUNAY </t>
  </si>
  <si>
    <t xml:space="preserve">TEXTURE SAMPLE TO BE APPROVED </t>
  </si>
  <si>
    <t xml:space="preserve">SOFA FABRIC AND DESIGN NEED TO FINALISED </t>
  </si>
  <si>
    <t xml:space="preserve">SONAM </t>
  </si>
  <si>
    <t xml:space="preserve">SCHEDULE TO BE DISCUSS WITH CLIENT </t>
  </si>
  <si>
    <t xml:space="preserve">SR NO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</si>
</sst>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numFmt numFmtId="165" formatCode="dd/mm/yyyy"/>
    <numFmt numFmtId="166" formatCode="[&gt;9999999]##\,##\,##\,##0;[&gt;99999]##\,##\,##0;##,##0"/>
    <numFmt numFmtId="167" formatCode="dd/MM/yyyy"/>
    <numFmt numFmtId="168" formatCode="dd/mm/yy"/>
    <numFmt numFmtId="169" formatCode="[$₹]#,##0.00"/>
    <numFmt numFmtId="170" formatCode="d-mmm"/>
    <numFmt numFmtId="171" formatCode="d-mmm-yyyy"/>
  </numFmts>
  <fonts count="29">
    <font>
      <sz val="10.0"/>
      <color rgb="FF000000"/>
      <name val="Arial"/>
      <scheme val="minor"/>
    </font>
    <font>
      <color theme="1"/>
      <name val="Times New Roman"/>
    </font>
    <font>
      <b/>
      <sz val="10.0"/>
      <color theme="1"/>
      <name val="Times New Roman"/>
    </font>
    <font/>
    <font>
      <b/>
      <color theme="1"/>
      <name val="Times New Roman"/>
    </font>
    <font>
      <b/>
      <u/>
      <color rgb="FF1155CC"/>
      <name val="Times New Roman"/>
    </font>
    <font>
      <color theme="1"/>
      <name val="Arial"/>
      <scheme val="minor"/>
    </font>
    <font>
      <color rgb="FFFF0000"/>
      <name val="Times New Roman"/>
    </font>
    <font>
      <b/>
      <u/>
      <color rgb="FF1155CC"/>
      <name val="Times New Roman"/>
    </font>
    <font>
      <color theme="1"/>
      <name val="Arial"/>
    </font>
    <font>
      <color rgb="FF000000"/>
      <name val="Times New Roman"/>
    </font>
    <font>
      <b/>
      <u/>
      <color rgb="FF1155CC"/>
      <name val="Times New Roman"/>
    </font>
    <font>
      <b/>
      <u/>
      <color rgb="FF1155CC"/>
      <name val="Times New Roman"/>
    </font>
    <font>
      <b/>
      <color theme="1"/>
      <name val="Arial"/>
      <scheme val="minor"/>
    </font>
    <font>
      <color theme="1"/>
      <name val="Roboto"/>
    </font>
    <font>
      <b/>
      <color rgb="FF434343"/>
      <name val="Roboto"/>
    </font>
    <font>
      <color rgb="FF434343"/>
      <name val="Roboto"/>
    </font>
    <font>
      <b/>
      <u/>
      <color rgb="FF1155CC"/>
      <name val="Times New Roman"/>
    </font>
    <font>
      <color theme="1"/>
      <name val="&quot;Times New Roman&quot;"/>
    </font>
    <font>
      <b/>
      <color theme="1"/>
      <name val="&quot;Times New Roman&quot;"/>
    </font>
    <font>
      <b/>
      <color rgb="FFFFFFFF"/>
      <name val="Arial"/>
      <scheme val="minor"/>
    </font>
    <font>
      <color rgb="FFFFFFFF"/>
      <name val="Arial"/>
      <scheme val="minor"/>
    </font>
    <font>
      <b/>
      <sz val="10.0"/>
      <color rgb="FF000000"/>
      <name val="Times New Roman"/>
    </font>
    <font>
      <sz val="10.0"/>
      <color rgb="FF000000"/>
      <name val="Times New Roman"/>
    </font>
    <font>
      <sz val="12.0"/>
      <color rgb="FFFF0000"/>
      <name val="&quot;Times New Roman&quot;"/>
    </font>
    <font>
      <sz val="10.0"/>
      <color rgb="FF000000"/>
      <name val="&quot;Times New Roman&quot;"/>
    </font>
    <font>
      <sz val="11.0"/>
      <color theme="1"/>
      <name val="&quot;Times New Roman&quot;"/>
    </font>
    <font>
      <color rgb="FFFF0000"/>
      <name val="&quot;Times New Roman&quot;"/>
    </font>
    <font>
      <color rgb="FF000000"/>
      <name val="&quot;Times New Roman&quot;"/>
    </font>
  </fonts>
  <fills count="15">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9900"/>
        <bgColor rgb="FFFF9900"/>
      </patternFill>
    </fill>
    <fill>
      <patternFill patternType="solid">
        <fgColor theme="0"/>
        <bgColor theme="0"/>
      </patternFill>
    </fill>
    <fill>
      <patternFill patternType="solid">
        <fgColor rgb="FFFF0000"/>
        <bgColor rgb="FFFF0000"/>
      </patternFill>
    </fill>
    <fill>
      <patternFill patternType="solid">
        <fgColor rgb="FFB6D7A8"/>
        <bgColor rgb="FFB6D7A8"/>
      </patternFill>
    </fill>
    <fill>
      <patternFill patternType="solid">
        <fgColor rgb="FFFFFF00"/>
        <bgColor rgb="FFFFFF00"/>
      </patternFill>
    </fill>
    <fill>
      <patternFill patternType="solid">
        <fgColor rgb="FFFFF2CC"/>
        <bgColor rgb="FFFFF2CC"/>
      </patternFill>
    </fill>
    <fill>
      <patternFill patternType="solid">
        <fgColor rgb="FFF6F8F9"/>
        <bgColor rgb="FFF6F8F9"/>
      </patternFill>
    </fill>
    <fill>
      <patternFill patternType="solid">
        <fgColor rgb="FFD9EAD3"/>
        <bgColor rgb="FFD9EAD3"/>
      </patternFill>
    </fill>
    <fill>
      <patternFill patternType="solid">
        <fgColor rgb="FFF9CB9C"/>
        <bgColor rgb="FFF9CB9C"/>
      </patternFill>
    </fill>
    <fill>
      <patternFill patternType="solid">
        <fgColor rgb="FF434343"/>
        <bgColor rgb="FF434343"/>
      </patternFill>
    </fill>
    <fill>
      <patternFill patternType="solid">
        <fgColor rgb="FFB7B7B7"/>
        <bgColor rgb="FFB7B7B7"/>
      </patternFill>
    </fill>
  </fills>
  <borders count="3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2CC"/>
      </left>
      <right style="thin">
        <color rgb="FFFFF2CC"/>
      </right>
      <top style="thin">
        <color rgb="FFFFF2CC"/>
      </top>
      <bottom style="thin">
        <color rgb="FFFFF2CC"/>
      </bottom>
    </border>
    <border>
      <left style="thin">
        <color rgb="FFFFFFFF"/>
      </left>
      <right style="thin">
        <color rgb="FF000000"/>
      </right>
      <top style="thin">
        <color rgb="FFFFFFFF"/>
      </top>
      <bottom style="thin">
        <color rgb="FFFFFFFF"/>
      </bottom>
    </border>
    <border>
      <left style="thin">
        <color rgb="FF000000"/>
      </left>
      <right style="thin">
        <color rgb="FF000000"/>
      </right>
      <top style="thin">
        <color rgb="FFFFFFFF"/>
      </top>
      <bottom style="thin">
        <color rgb="FFFFFFFF"/>
      </bottom>
    </border>
    <border>
      <left style="thin">
        <color rgb="FFFFFFFF"/>
      </left>
      <right style="thin">
        <color rgb="FF374139"/>
      </right>
      <top style="thin">
        <color rgb="FFFFFFFF"/>
      </top>
      <bottom style="thin">
        <color rgb="FFFFFFFF"/>
      </bottom>
    </border>
    <border>
      <left style="thin">
        <color rgb="FF000000"/>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000000"/>
      </right>
      <top style="thin">
        <color rgb="FFF6F8F9"/>
      </top>
      <bottom style="thin">
        <color rgb="FFF6F8F9"/>
      </bottom>
    </border>
    <border>
      <left style="thin">
        <color rgb="FF000000"/>
      </left>
      <right style="thin">
        <color rgb="FF000000"/>
      </right>
      <top style="thin">
        <color rgb="FFF6F8F9"/>
      </top>
      <bottom style="thin">
        <color rgb="FFF6F8F9"/>
      </bottom>
    </border>
    <border>
      <left style="thin">
        <color rgb="FFF6F8F9"/>
      </left>
      <right style="thin">
        <color rgb="FF374139"/>
      </right>
      <top style="thin">
        <color rgb="FFF6F8F9"/>
      </top>
      <bottom style="thin">
        <color rgb="FFF6F8F9"/>
      </bottom>
    </border>
    <border>
      <left style="thin">
        <color rgb="FF000000"/>
      </left>
      <right style="thin">
        <color rgb="FF000000"/>
      </right>
    </border>
    <border>
      <right style="thin">
        <color rgb="FF374139"/>
      </right>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thin">
        <color rgb="FF000000"/>
      </left>
      <right style="thin">
        <color rgb="FF000000"/>
      </right>
      <top style="thin">
        <color rgb="FFFFFFFF"/>
      </top>
      <bottom style="thin">
        <color rgb="FF000000"/>
      </bottom>
    </border>
    <border>
      <left style="thin">
        <color rgb="FFFFFFFF"/>
      </left>
      <right style="thin">
        <color rgb="FFFFFFFF"/>
      </right>
      <top style="thin">
        <color rgb="FFFFFFFF"/>
      </top>
      <bottom style="thin">
        <color rgb="FF374139"/>
      </bottom>
    </border>
    <border>
      <left style="thin">
        <color rgb="FFFFFFFF"/>
      </left>
      <right style="thin">
        <color rgb="FF374139"/>
      </right>
      <top style="thin">
        <color rgb="FFFFFFFF"/>
      </top>
      <bottom style="thin">
        <color rgb="FF37413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80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164" xfId="0" applyAlignment="1" applyFont="1" applyNumberFormat="1">
      <alignment horizontal="center" shrinkToFit="0" vertical="center" wrapText="1"/>
    </xf>
    <xf borderId="0" fillId="0" fontId="1" numFmtId="49" xfId="0" applyAlignment="1" applyFont="1" applyNumberFormat="1">
      <alignment horizontal="center" shrinkToFit="0" vertical="center" wrapText="1"/>
    </xf>
    <xf borderId="0" fillId="0" fontId="1" numFmtId="10" xfId="0" applyAlignment="1" applyFont="1" applyNumberFormat="1">
      <alignment horizontal="center"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1" numFmtId="0" xfId="0" applyAlignment="1" applyFont="1">
      <alignment horizontal="center" readingOrder="0" shrinkToFit="0" vertical="center" wrapText="1"/>
    </xf>
    <xf borderId="9" fillId="2" fontId="1" numFmtId="0" xfId="0" applyAlignment="1" applyBorder="1" applyFont="1">
      <alignment horizontal="center" shrinkToFit="0" vertical="center" wrapText="1"/>
    </xf>
    <xf borderId="10" fillId="3" fontId="4" numFmtId="165" xfId="0" applyAlignment="1" applyBorder="1" applyFill="1" applyFont="1" applyNumberFormat="1">
      <alignment horizontal="center" readingOrder="0" shrinkToFit="0" vertical="center" wrapText="1"/>
    </xf>
    <xf borderId="11" fillId="0" fontId="3" numFmtId="0" xfId="0" applyBorder="1" applyFont="1"/>
    <xf borderId="12" fillId="0" fontId="3" numFmtId="0" xfId="0" applyBorder="1" applyFont="1"/>
    <xf borderId="10" fillId="3" fontId="4" numFmtId="0" xfId="0" applyAlignment="1" applyBorder="1" applyFont="1">
      <alignment horizontal="center" readingOrder="0" shrinkToFit="0" vertical="center" wrapText="1"/>
    </xf>
    <xf borderId="10" fillId="3" fontId="4" numFmtId="0" xfId="0" applyAlignment="1" applyBorder="1" applyFont="1">
      <alignment horizontal="center" shrinkToFit="0" vertical="center" wrapText="1"/>
    </xf>
    <xf borderId="0" fillId="0" fontId="4" numFmtId="10"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1"/>
    </xf>
    <xf borderId="10" fillId="4" fontId="4" numFmtId="0" xfId="0" applyAlignment="1" applyBorder="1" applyFill="1" applyFont="1">
      <alignment horizontal="center" readingOrder="0" shrinkToFit="0" vertical="center" wrapText="1"/>
    </xf>
    <xf borderId="9" fillId="4" fontId="5" numFmtId="0" xfId="0" applyAlignment="1" applyBorder="1" applyFont="1">
      <alignment horizontal="center" shrinkToFit="0" vertical="center" wrapText="1"/>
    </xf>
    <xf borderId="9" fillId="4" fontId="4" numFmtId="0" xfId="0" applyAlignment="1" applyBorder="1" applyFont="1">
      <alignment horizontal="center" shrinkToFit="0" vertical="center" wrapText="1"/>
    </xf>
    <xf borderId="9" fillId="4" fontId="4" numFmtId="49" xfId="0" applyAlignment="1" applyBorder="1" applyFont="1" applyNumberFormat="1">
      <alignment horizontal="center" shrinkToFit="0" vertical="center" wrapText="1"/>
    </xf>
    <xf borderId="0" fillId="0" fontId="6" numFmtId="0" xfId="0" applyAlignment="1" applyFont="1">
      <alignment horizontal="center" shrinkToFit="0" wrapText="1"/>
    </xf>
    <xf borderId="0" fillId="0" fontId="1" numFmtId="10" xfId="0" applyAlignment="1" applyFont="1" applyNumberFormat="1">
      <alignment horizontal="center" readingOrder="0" shrinkToFit="0" vertical="center" wrapText="1"/>
    </xf>
    <xf borderId="9" fillId="4" fontId="1" numFmtId="0" xfId="0" applyAlignment="1" applyBorder="1" applyFont="1">
      <alignment horizontal="center" shrinkToFit="0" vertical="center" wrapText="1"/>
    </xf>
    <xf borderId="10" fillId="4" fontId="4" numFmtId="0" xfId="0" applyAlignment="1" applyBorder="1" applyFont="1">
      <alignment horizontal="center" shrinkToFit="0" vertical="center" wrapText="1"/>
    </xf>
    <xf borderId="9" fillId="4" fontId="4" numFmtId="0" xfId="0" applyAlignment="1" applyBorder="1" applyFont="1">
      <alignment horizontal="center" readingOrder="0" shrinkToFit="0" vertical="center" wrapText="1"/>
    </xf>
    <xf borderId="9" fillId="3" fontId="1" numFmtId="49" xfId="0" applyAlignment="1" applyBorder="1" applyFont="1" applyNumberFormat="1">
      <alignment horizontal="center" readingOrder="0" shrinkToFit="0" vertical="center" wrapText="1"/>
    </xf>
    <xf borderId="9" fillId="3" fontId="1" numFmtId="164" xfId="0" applyAlignment="1" applyBorder="1" applyFont="1" applyNumberFormat="1">
      <alignment horizontal="center" readingOrder="0" shrinkToFit="0" vertical="center" wrapText="1"/>
    </xf>
    <xf borderId="9" fillId="3" fontId="1" numFmtId="49" xfId="0" applyAlignment="1" applyBorder="1" applyFont="1" applyNumberFormat="1">
      <alignment horizontal="center" shrinkToFit="0" vertical="center" wrapText="1"/>
    </xf>
    <xf borderId="10" fillId="3" fontId="1" numFmtId="0" xfId="0" applyAlignment="1" applyBorder="1" applyFont="1">
      <alignment horizontal="center" readingOrder="0" shrinkToFit="0" vertical="center" wrapText="1"/>
    </xf>
    <xf borderId="9" fillId="3" fontId="1" numFmtId="3" xfId="0" applyAlignment="1" applyBorder="1" applyFont="1" applyNumberFormat="1">
      <alignment horizontal="center" shrinkToFit="0" vertical="center" wrapText="1"/>
    </xf>
    <xf borderId="0" fillId="0" fontId="6" numFmtId="0" xfId="0" applyAlignment="1" applyFont="1">
      <alignment horizontal="center" readingOrder="0"/>
    </xf>
    <xf borderId="0" fillId="0" fontId="6" numFmtId="0" xfId="0" applyAlignment="1" applyFont="1">
      <alignment readingOrder="0"/>
    </xf>
    <xf borderId="0" fillId="0" fontId="6" numFmtId="0" xfId="0" applyAlignment="1" applyFont="1">
      <alignment horizontal="center"/>
    </xf>
    <xf borderId="0" fillId="3" fontId="1" numFmtId="164" xfId="0" applyAlignment="1" applyFont="1" applyNumberFormat="1">
      <alignment horizontal="center" shrinkToFit="0" vertical="center" wrapText="1"/>
    </xf>
    <xf borderId="9" fillId="4" fontId="1" numFmtId="49" xfId="0" applyAlignment="1" applyBorder="1" applyFont="1" applyNumberFormat="1">
      <alignment horizontal="center" shrinkToFit="0" vertical="center" wrapText="1"/>
    </xf>
    <xf borderId="0" fillId="3" fontId="4" numFmtId="164" xfId="0" applyAlignment="1" applyFont="1" applyNumberFormat="1">
      <alignment horizontal="center" shrinkToFit="0" vertical="center" wrapText="1"/>
    </xf>
    <xf borderId="10" fillId="4" fontId="4" numFmtId="0" xfId="0" applyAlignment="1" applyBorder="1" applyFont="1">
      <alignment horizontal="center" shrinkToFit="0" vertical="center" wrapText="1"/>
    </xf>
    <xf borderId="9" fillId="4" fontId="4" numFmtId="166" xfId="0" applyAlignment="1" applyBorder="1" applyFont="1" applyNumberFormat="1">
      <alignment horizontal="center" shrinkToFit="0" vertical="center" wrapText="1"/>
    </xf>
    <xf borderId="0" fillId="3" fontId="7" numFmtId="164" xfId="0" applyAlignment="1" applyFont="1" applyNumberFormat="1">
      <alignment horizontal="center" shrinkToFit="0" vertical="center" wrapText="1"/>
    </xf>
    <xf borderId="0" fillId="3" fontId="1" numFmtId="3"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10" fillId="3" fontId="1" numFmtId="0" xfId="0" applyAlignment="1" applyBorder="1" applyFont="1">
      <alignment horizontal="center" shrinkToFit="0" vertical="center" wrapText="1"/>
    </xf>
    <xf borderId="0" fillId="3" fontId="1" numFmtId="4" xfId="0" applyAlignment="1" applyFont="1" applyNumberFormat="1">
      <alignment horizontal="center" readingOrder="0" shrinkToFit="0" vertical="center" wrapText="1"/>
    </xf>
    <xf borderId="10" fillId="5" fontId="1" numFmtId="0" xfId="0" applyAlignment="1" applyBorder="1" applyFill="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9" fillId="4" fontId="4" numFmtId="1" xfId="0" applyAlignment="1" applyBorder="1" applyFont="1" applyNumberFormat="1">
      <alignment horizontal="center" shrinkToFit="0" vertical="center" wrapText="1"/>
    </xf>
    <xf borderId="0" fillId="3" fontId="1" numFmtId="0" xfId="0" applyAlignment="1" applyFont="1">
      <alignment horizontal="center" shrinkToFit="0" vertical="center" wrapText="1"/>
    </xf>
    <xf borderId="0" fillId="3" fontId="1" numFmtId="164" xfId="0" applyAlignment="1" applyFont="1" applyNumberFormat="1">
      <alignment horizontal="center" readingOrder="0" shrinkToFit="0" vertical="center" wrapText="1"/>
    </xf>
    <xf borderId="0" fillId="3" fontId="1" numFmtId="49" xfId="0" applyAlignment="1" applyFont="1" applyNumberFormat="1">
      <alignment horizontal="center" shrinkToFit="0" vertical="center" wrapText="1"/>
    </xf>
    <xf borderId="9" fillId="2" fontId="8" numFmtId="0" xfId="0" applyAlignment="1" applyBorder="1" applyFont="1">
      <alignment horizontal="center" shrinkToFit="0" vertical="center" wrapText="1"/>
    </xf>
    <xf borderId="9" fillId="2" fontId="4" numFmtId="0" xfId="0" applyAlignment="1" applyBorder="1" applyFont="1">
      <alignment horizontal="center" readingOrder="0" shrinkToFit="0" vertical="center" wrapText="1"/>
    </xf>
    <xf borderId="9" fillId="2" fontId="4" numFmtId="0" xfId="0" applyAlignment="1" applyBorder="1" applyFont="1">
      <alignment horizontal="center" shrinkToFit="0" vertical="center" wrapText="1"/>
    </xf>
    <xf borderId="9" fillId="2" fontId="4" numFmtId="164" xfId="0" applyAlignment="1" applyBorder="1" applyFont="1" applyNumberFormat="1">
      <alignment horizontal="center" shrinkToFit="0" vertical="center" wrapText="1"/>
    </xf>
    <xf borderId="9" fillId="2" fontId="4" numFmtId="49" xfId="0" applyAlignment="1" applyBorder="1" applyFont="1" applyNumberFormat="1">
      <alignment horizontal="center" readingOrder="0" shrinkToFit="0" vertical="center" wrapText="1"/>
    </xf>
    <xf borderId="9" fillId="2" fontId="4" numFmtId="164" xfId="0" applyAlignment="1" applyBorder="1" applyFont="1" applyNumberFormat="1">
      <alignment horizontal="center" readingOrder="0" shrinkToFit="0" vertical="center" wrapText="1"/>
    </xf>
    <xf borderId="9" fillId="2" fontId="4" numFmtId="10" xfId="0" applyAlignment="1" applyBorder="1" applyFont="1" applyNumberFormat="1">
      <alignment horizontal="center" readingOrder="0" shrinkToFit="0" vertical="center" wrapText="1"/>
    </xf>
    <xf borderId="9" fillId="0" fontId="1" numFmtId="0" xfId="0" applyAlignment="1" applyBorder="1" applyFont="1">
      <alignment horizontal="center" readingOrder="0" shrinkToFit="0" vertical="center" wrapText="1"/>
    </xf>
    <xf borderId="9" fillId="4" fontId="4" numFmtId="49" xfId="0" applyAlignment="1" applyBorder="1" applyFont="1" applyNumberFormat="1">
      <alignment horizontal="center" readingOrder="0" shrinkToFit="0" vertical="center" wrapText="1"/>
    </xf>
    <xf borderId="9" fillId="4" fontId="1" numFmtId="164" xfId="0" applyAlignment="1" applyBorder="1" applyFont="1" applyNumberFormat="1">
      <alignment horizontal="center" shrinkToFit="0" vertical="center" wrapText="1"/>
    </xf>
    <xf borderId="9" fillId="4" fontId="1" numFmtId="10" xfId="0" applyAlignment="1" applyBorder="1" applyFont="1" applyNumberFormat="1">
      <alignment horizontal="center" readingOrder="0" shrinkToFit="0" vertical="center" wrapText="1"/>
    </xf>
    <xf borderId="9" fillId="4" fontId="1" numFmtId="0" xfId="0" applyAlignment="1" applyBorder="1" applyFont="1">
      <alignment horizontal="center" readingOrder="0" shrinkToFit="0" vertical="center" wrapText="1"/>
    </xf>
    <xf borderId="9" fillId="0" fontId="1" numFmtId="0" xfId="0" applyAlignment="1" applyBorder="1" applyFont="1">
      <alignment horizontal="center" shrinkToFit="0" vertical="center" wrapText="1"/>
    </xf>
    <xf borderId="9" fillId="3" fontId="1" numFmtId="1" xfId="0" applyAlignment="1" applyBorder="1" applyFont="1" applyNumberFormat="1">
      <alignment horizontal="center" shrinkToFit="0" vertical="center" wrapText="1"/>
    </xf>
    <xf borderId="9" fillId="3" fontId="1" numFmtId="164" xfId="0" applyAlignment="1" applyBorder="1" applyFont="1" applyNumberFormat="1">
      <alignment horizontal="center" shrinkToFit="0" vertical="center" wrapText="1"/>
    </xf>
    <xf borderId="9" fillId="3" fontId="1" numFmtId="10" xfId="0" applyAlignment="1" applyBorder="1" applyFont="1" applyNumberFormat="1">
      <alignment horizontal="center" readingOrder="0" shrinkToFit="0" vertical="center" wrapText="1"/>
    </xf>
    <xf borderId="9" fillId="3" fontId="1" numFmtId="0" xfId="0" applyAlignment="1" applyBorder="1" applyFont="1">
      <alignment horizontal="center" shrinkToFit="0" wrapText="1"/>
    </xf>
    <xf borderId="9" fillId="3" fontId="1" numFmtId="0" xfId="0" applyAlignment="1" applyBorder="1" applyFont="1">
      <alignment horizontal="center" readingOrder="0" shrinkToFit="0" wrapText="1"/>
    </xf>
    <xf borderId="9" fillId="3" fontId="9" numFmtId="0" xfId="0" applyAlignment="1" applyBorder="1" applyFont="1">
      <alignment horizontal="center" shrinkToFit="0" wrapText="1"/>
    </xf>
    <xf borderId="0" fillId="3" fontId="9" numFmtId="0" xfId="0" applyAlignment="1" applyFont="1">
      <alignment horizontal="center" shrinkToFit="0" wrapText="1"/>
    </xf>
    <xf borderId="9" fillId="3" fontId="1" numFmtId="0" xfId="0" applyAlignment="1" applyBorder="1" applyFont="1">
      <alignment horizontal="center" readingOrder="0" shrinkToFit="0" vertical="center" wrapText="1"/>
    </xf>
    <xf borderId="9" fillId="3" fontId="1" numFmtId="0" xfId="0" applyAlignment="1" applyBorder="1" applyFont="1">
      <alignment horizontal="center" shrinkToFit="0" vertical="center" wrapText="1"/>
    </xf>
    <xf borderId="9" fillId="0" fontId="1" numFmtId="49" xfId="0" applyAlignment="1" applyBorder="1" applyFont="1" applyNumberFormat="1">
      <alignment horizontal="center" shrinkToFit="0" vertical="center" wrapText="1"/>
    </xf>
    <xf borderId="9" fillId="0" fontId="1" numFmtId="49" xfId="0" applyAlignment="1" applyBorder="1" applyFont="1" applyNumberFormat="1">
      <alignment horizontal="center" readingOrder="0" shrinkToFit="0" vertical="center" wrapText="1"/>
    </xf>
    <xf borderId="9" fillId="0" fontId="1" numFmtId="164" xfId="0" applyAlignment="1" applyBorder="1" applyFont="1" applyNumberFormat="1">
      <alignment horizontal="center" shrinkToFit="0" vertical="center" wrapText="1"/>
    </xf>
    <xf borderId="9" fillId="0" fontId="1" numFmtId="164" xfId="0" applyAlignment="1" applyBorder="1" applyFont="1" applyNumberFormat="1">
      <alignment horizontal="center" readingOrder="0" shrinkToFit="0" vertical="center" wrapText="1"/>
    </xf>
    <xf borderId="9" fillId="3" fontId="1" numFmtId="10" xfId="0" applyAlignment="1" applyBorder="1" applyFont="1" applyNumberFormat="1">
      <alignment horizontal="center" shrinkToFit="0" vertical="center" wrapText="1"/>
    </xf>
    <xf borderId="9" fillId="0" fontId="1" numFmtId="10" xfId="0" applyAlignment="1" applyBorder="1" applyFont="1" applyNumberFormat="1">
      <alignment horizontal="center" shrinkToFit="0" vertical="center" wrapText="1"/>
    </xf>
    <xf borderId="9" fillId="0" fontId="4" numFmtId="49" xfId="0" applyAlignment="1" applyBorder="1" applyFont="1" applyNumberFormat="1">
      <alignment horizontal="center" shrinkToFit="0" vertical="center" wrapText="1"/>
    </xf>
    <xf borderId="9" fillId="3" fontId="4" numFmtId="164" xfId="0" applyAlignment="1" applyBorder="1" applyFont="1" applyNumberFormat="1">
      <alignment horizontal="center" shrinkToFit="0" vertical="center" wrapText="1"/>
    </xf>
    <xf borderId="9" fillId="0" fontId="1" numFmtId="10" xfId="0" applyAlignment="1" applyBorder="1" applyFont="1" applyNumberFormat="1">
      <alignment horizontal="center" readingOrder="0" shrinkToFit="0" vertical="center" wrapText="1"/>
    </xf>
    <xf borderId="9" fillId="3" fontId="4" numFmtId="49" xfId="0" applyAlignment="1" applyBorder="1" applyFont="1" applyNumberFormat="1">
      <alignment horizontal="center" readingOrder="0" shrinkToFit="0" vertical="center" wrapText="1"/>
    </xf>
    <xf borderId="9" fillId="4" fontId="1" numFmtId="49" xfId="0" applyAlignment="1" applyBorder="1" applyFont="1" applyNumberFormat="1">
      <alignment horizontal="center" readingOrder="0" shrinkToFit="0" vertical="center" wrapText="1"/>
    </xf>
    <xf borderId="9" fillId="4" fontId="1" numFmtId="10" xfId="0" applyAlignment="1" applyBorder="1" applyFont="1" applyNumberFormat="1">
      <alignment horizontal="center" shrinkToFit="0" vertical="center" wrapText="1"/>
    </xf>
    <xf borderId="9" fillId="3" fontId="4" numFmtId="49" xfId="0" applyAlignment="1" applyBorder="1" applyFont="1" applyNumberFormat="1">
      <alignment horizontal="center" shrinkToFit="0" vertical="center" wrapText="1"/>
    </xf>
    <xf borderId="9" fillId="3" fontId="4" numFmtId="164" xfId="0" applyAlignment="1" applyBorder="1" applyFont="1" applyNumberFormat="1">
      <alignment horizontal="center" readingOrder="0" shrinkToFit="0" vertical="center" wrapText="1"/>
    </xf>
    <xf borderId="9" fillId="0" fontId="4" numFmtId="0" xfId="0" applyAlignment="1" applyBorder="1" applyFont="1">
      <alignment horizontal="center" shrinkToFit="0" vertical="center" wrapText="1"/>
    </xf>
    <xf borderId="9" fillId="0" fontId="4" numFmtId="164" xfId="0" applyAlignment="1" applyBorder="1" applyFont="1" applyNumberFormat="1">
      <alignment horizontal="center" shrinkToFit="0" vertical="center" wrapText="1"/>
    </xf>
    <xf borderId="9" fillId="0" fontId="4" numFmtId="164" xfId="0" applyAlignment="1" applyBorder="1" applyFont="1" applyNumberFormat="1">
      <alignment horizontal="center" readingOrder="0" shrinkToFit="0" vertical="center" wrapText="1"/>
    </xf>
    <xf borderId="9" fillId="0" fontId="1" numFmtId="0" xfId="0" applyAlignment="1" applyBorder="1" applyFont="1">
      <alignment horizontal="center" shrinkToFit="0" vertical="center" wrapText="1"/>
    </xf>
    <xf borderId="9" fillId="3" fontId="1" numFmtId="0" xfId="0" applyAlignment="1" applyBorder="1" applyFont="1">
      <alignment horizontal="center" shrinkToFit="0" vertical="center" wrapText="1"/>
    </xf>
    <xf borderId="9" fillId="3" fontId="7" numFmtId="164" xfId="0" applyAlignment="1" applyBorder="1" applyFont="1" applyNumberFormat="1">
      <alignment horizontal="center" shrinkToFit="0" vertical="center" wrapText="1"/>
    </xf>
    <xf borderId="9" fillId="6" fontId="1" numFmtId="49" xfId="0" applyAlignment="1" applyBorder="1" applyFill="1" applyFont="1" applyNumberFormat="1">
      <alignment horizontal="center" readingOrder="0" shrinkToFit="0" vertical="center" wrapText="1"/>
    </xf>
    <xf borderId="9" fillId="4" fontId="4" numFmtId="164" xfId="0" applyAlignment="1" applyBorder="1" applyFont="1" applyNumberFormat="1">
      <alignment horizontal="center" shrinkToFit="0" vertical="center" wrapText="1"/>
    </xf>
    <xf borderId="9" fillId="6" fontId="1" numFmtId="49" xfId="0" applyAlignment="1" applyBorder="1" applyFont="1" applyNumberFormat="1">
      <alignment horizontal="center" shrinkToFit="0" vertical="center" wrapText="1"/>
    </xf>
    <xf borderId="9" fillId="5" fontId="1" numFmtId="0" xfId="0" applyAlignment="1" applyBorder="1" applyFont="1">
      <alignment horizontal="center" shrinkToFit="0" vertical="center" wrapText="1"/>
    </xf>
    <xf borderId="9" fillId="0" fontId="7" numFmtId="49" xfId="0" applyAlignment="1" applyBorder="1" applyFont="1" applyNumberFormat="1">
      <alignment horizontal="center" shrinkToFit="0" vertical="center" wrapText="1"/>
    </xf>
    <xf borderId="9" fillId="0" fontId="10" numFmtId="49" xfId="0" applyAlignment="1" applyBorder="1" applyFont="1" applyNumberFormat="1">
      <alignment horizontal="center" shrinkToFit="0" vertical="center" wrapText="1"/>
    </xf>
    <xf borderId="9" fillId="5" fontId="1" numFmtId="0" xfId="0" applyAlignment="1" applyBorder="1" applyFont="1">
      <alignment horizontal="center" readingOrder="0" shrinkToFit="0" vertical="center" wrapText="1"/>
    </xf>
    <xf borderId="9" fillId="0" fontId="1" numFmtId="0" xfId="0" applyBorder="1" applyFont="1"/>
    <xf borderId="9" fillId="5" fontId="1" numFmtId="10" xfId="0" applyAlignment="1" applyBorder="1" applyFont="1" applyNumberFormat="1">
      <alignment horizontal="center" shrinkToFit="0" vertical="center" wrapText="1"/>
    </xf>
    <xf borderId="9" fillId="5" fontId="1" numFmtId="164" xfId="0" applyAlignment="1" applyBorder="1" applyFont="1" applyNumberFormat="1">
      <alignment horizontal="center" shrinkToFit="0" vertical="center" wrapText="1"/>
    </xf>
    <xf borderId="0" fillId="5" fontId="1" numFmtId="0" xfId="0" applyAlignment="1" applyFont="1">
      <alignment horizontal="center" shrinkToFit="0" vertical="center" wrapText="1"/>
    </xf>
    <xf borderId="9" fillId="4" fontId="1" numFmtId="164" xfId="0" applyAlignment="1" applyBorder="1" applyFont="1" applyNumberFormat="1">
      <alignment horizontal="center" readingOrder="0" shrinkToFit="0" vertical="center" wrapText="1"/>
    </xf>
    <xf borderId="9" fillId="0" fontId="1" numFmtId="1" xfId="0" applyAlignment="1" applyBorder="1" applyFont="1" applyNumberFormat="1">
      <alignment horizontal="center" readingOrder="0" shrinkToFit="0" vertical="center" wrapText="1"/>
    </xf>
    <xf borderId="9" fillId="0" fontId="1" numFmtId="1" xfId="0" applyAlignment="1" applyBorder="1" applyFont="1" applyNumberFormat="1">
      <alignment horizontal="center" shrinkToFit="0" vertical="center" wrapText="1"/>
    </xf>
    <xf borderId="9" fillId="0" fontId="1" numFmtId="1" xfId="0" applyAlignment="1" applyBorder="1" applyFont="1" applyNumberFormat="1">
      <alignment horizontal="center" readingOrder="0" shrinkToFit="0" vertical="center" wrapText="1"/>
    </xf>
    <xf borderId="0" fillId="4" fontId="4" numFmtId="0" xfId="0" applyAlignment="1" applyFont="1">
      <alignment horizontal="center" shrinkToFit="0" vertical="center" wrapText="1"/>
    </xf>
    <xf borderId="0" fillId="4" fontId="1" numFmtId="0" xfId="0" applyAlignment="1" applyFont="1">
      <alignment horizontal="center" shrinkToFit="0" vertical="center" wrapText="1"/>
    </xf>
    <xf borderId="0" fillId="4" fontId="1" numFmtId="164" xfId="0" applyAlignment="1" applyFont="1" applyNumberFormat="1">
      <alignment horizontal="center" shrinkToFit="0" vertical="center" wrapText="1"/>
    </xf>
    <xf borderId="0" fillId="4" fontId="4" numFmtId="49" xfId="0" applyAlignment="1" applyFont="1" applyNumberFormat="1">
      <alignment horizontal="center" shrinkToFit="0" vertical="center" wrapText="1"/>
    </xf>
    <xf borderId="0" fillId="4" fontId="4" numFmtId="164" xfId="0" applyAlignment="1" applyFont="1" applyNumberFormat="1">
      <alignment horizontal="center" shrinkToFit="0" vertical="center" wrapText="1"/>
    </xf>
    <xf borderId="0" fillId="4" fontId="1" numFmtId="49" xfId="0" applyAlignment="1" applyFont="1" applyNumberFormat="1">
      <alignment horizontal="center" shrinkToFit="0" vertical="center" wrapText="1"/>
    </xf>
    <xf borderId="0" fillId="0" fontId="4" numFmtId="0" xfId="0" applyAlignment="1" applyFont="1">
      <alignment horizontal="center" shrinkToFit="0" vertical="center" wrapText="1"/>
    </xf>
    <xf borderId="0" fillId="0" fontId="1" numFmtId="1" xfId="0" applyAlignment="1" applyFont="1" applyNumberFormat="1">
      <alignment horizontal="center" shrinkToFit="0" vertical="center" wrapText="1"/>
    </xf>
    <xf borderId="0" fillId="0" fontId="11" numFmtId="0" xfId="0" applyAlignment="1" applyFont="1">
      <alignment horizontal="center" shrinkToFit="0" vertical="center" wrapText="1"/>
    </xf>
    <xf borderId="0" fillId="0" fontId="4" numFmtId="164" xfId="0" applyAlignment="1" applyFont="1" applyNumberFormat="1">
      <alignment horizontal="center" shrinkToFit="0" vertical="center" wrapText="1"/>
    </xf>
    <xf borderId="0" fillId="0" fontId="4" numFmtId="49" xfId="0" applyAlignment="1" applyFont="1" applyNumberForma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3" fontId="1" numFmtId="0" xfId="0" applyAlignment="1" applyFont="1">
      <alignment horizontal="center" readingOrder="0" shrinkToFit="0" vertical="center" wrapText="1"/>
    </xf>
    <xf borderId="0" fillId="0" fontId="4" numFmtId="49" xfId="0" applyAlignment="1" applyFont="1" applyNumberFormat="1">
      <alignment horizontal="center" shrinkToFit="0" vertical="center" wrapText="1"/>
    </xf>
    <xf borderId="9" fillId="5" fontId="1" numFmtId="164" xfId="0" applyAlignment="1" applyBorder="1" applyFont="1" applyNumberFormat="1">
      <alignment horizontal="center" readingOrder="0" shrinkToFit="0" vertical="center" wrapText="1"/>
    </xf>
    <xf borderId="9" fillId="7" fontId="1" numFmtId="49" xfId="0" applyAlignment="1" applyBorder="1" applyFill="1" applyFont="1" applyNumberFormat="1">
      <alignment horizontal="center" readingOrder="0" shrinkToFit="0" vertical="center" wrapText="1"/>
    </xf>
    <xf borderId="13" fillId="8" fontId="1" numFmtId="164" xfId="0" applyAlignment="1" applyBorder="1" applyFill="1" applyFont="1" applyNumberFormat="1">
      <alignment horizontal="center" readingOrder="0" shrinkToFit="0" vertical="center" wrapText="1"/>
    </xf>
    <xf borderId="14" fillId="0" fontId="3" numFmtId="0" xfId="0" applyBorder="1" applyFont="1"/>
    <xf borderId="0" fillId="4" fontId="1" numFmtId="10" xfId="0" applyAlignment="1" applyFont="1" applyNumberFormat="1">
      <alignment horizontal="center" shrinkToFit="0" vertical="center" wrapText="1"/>
    </xf>
    <xf borderId="10" fillId="0" fontId="1" numFmtId="0" xfId="0" applyAlignment="1" applyBorder="1" applyFont="1">
      <alignment horizontal="center" readingOrder="0" shrinkToFit="0" vertical="center" wrapText="1"/>
    </xf>
    <xf borderId="11" fillId="0" fontId="1" numFmtId="0" xfId="0" applyAlignment="1" applyBorder="1" applyFont="1">
      <alignment horizontal="center" shrinkToFit="0" vertical="center" wrapText="1"/>
    </xf>
    <xf borderId="11" fillId="3" fontId="1" numFmtId="0" xfId="0" applyAlignment="1" applyBorder="1" applyFont="1">
      <alignment horizontal="center" shrinkToFit="0" vertical="center" wrapText="1"/>
    </xf>
    <xf borderId="11" fillId="0" fontId="1" numFmtId="164" xfId="0" applyAlignment="1" applyBorder="1" applyFont="1" applyNumberFormat="1">
      <alignment horizontal="center" shrinkToFit="0" vertical="center" wrapText="1"/>
    </xf>
    <xf borderId="11" fillId="0" fontId="1" numFmtId="49" xfId="0" applyAlignment="1" applyBorder="1" applyFont="1" applyNumberFormat="1">
      <alignment horizontal="center" shrinkToFit="0" vertical="center" wrapText="1"/>
    </xf>
    <xf borderId="11" fillId="0" fontId="1" numFmtId="49" xfId="0" applyAlignment="1" applyBorder="1" applyFont="1" applyNumberFormat="1">
      <alignment horizontal="center" readingOrder="0" shrinkToFit="0" vertical="center" wrapText="1"/>
    </xf>
    <xf borderId="12" fillId="0" fontId="1" numFmtId="0" xfId="0" applyAlignment="1" applyBorder="1" applyFont="1">
      <alignment horizontal="center" shrinkToFit="0" vertical="center" wrapText="1"/>
    </xf>
    <xf borderId="9" fillId="0" fontId="4" numFmtId="0" xfId="0" applyAlignment="1" applyBorder="1" applyFont="1">
      <alignment horizontal="center" readingOrder="0" shrinkToFit="0" vertical="center" wrapText="1"/>
    </xf>
    <xf borderId="9" fillId="4" fontId="4" numFmtId="0" xfId="0" applyAlignment="1" applyBorder="1" applyFont="1">
      <alignment horizontal="center" shrinkToFit="0" wrapText="1"/>
    </xf>
    <xf borderId="9" fillId="4" fontId="9" numFmtId="0" xfId="0" applyBorder="1" applyFont="1"/>
    <xf borderId="9" fillId="4" fontId="9" numFmtId="0" xfId="0" applyBorder="1" applyFont="1"/>
    <xf borderId="9" fillId="4" fontId="9" numFmtId="164" xfId="0" applyBorder="1" applyFont="1" applyNumberFormat="1"/>
    <xf borderId="9" fillId="4" fontId="9" numFmtId="49" xfId="0" applyBorder="1" applyFont="1" applyNumberFormat="1"/>
    <xf borderId="9" fillId="4" fontId="9" numFmtId="10" xfId="0" applyBorder="1" applyFont="1" applyNumberFormat="1"/>
    <xf borderId="9" fillId="3" fontId="1" numFmtId="164" xfId="0" applyAlignment="1" applyBorder="1" applyFont="1" applyNumberFormat="1">
      <alignment horizontal="center" shrinkToFit="0" wrapText="1"/>
    </xf>
    <xf borderId="9" fillId="0" fontId="9" numFmtId="0" xfId="0" applyBorder="1" applyFont="1"/>
    <xf borderId="0" fillId="0" fontId="9" numFmtId="0" xfId="0" applyFont="1"/>
    <xf borderId="9" fillId="3" fontId="1" numFmtId="49" xfId="0" applyAlignment="1" applyBorder="1" applyFont="1" applyNumberFormat="1">
      <alignment horizontal="center" readingOrder="0" shrinkToFit="0" wrapText="1"/>
    </xf>
    <xf borderId="9" fillId="0" fontId="1" numFmtId="0" xfId="0" applyAlignment="1" applyBorder="1" applyFont="1">
      <alignment horizontal="center" shrinkToFit="0" wrapText="1"/>
    </xf>
    <xf borderId="9" fillId="0" fontId="1" numFmtId="0" xfId="0" applyAlignment="1" applyBorder="1" applyFont="1">
      <alignment horizontal="center" shrinkToFit="0" wrapText="1"/>
    </xf>
    <xf borderId="9" fillId="0" fontId="1" numFmtId="164" xfId="0" applyAlignment="1" applyBorder="1" applyFont="1" applyNumberFormat="1">
      <alignment horizontal="center" readingOrder="0" shrinkToFit="0" wrapText="1"/>
    </xf>
    <xf borderId="9" fillId="0" fontId="9" numFmtId="49" xfId="0" applyBorder="1" applyFont="1" applyNumberFormat="1"/>
    <xf borderId="9" fillId="0" fontId="1" numFmtId="49" xfId="0" applyAlignment="1" applyBorder="1" applyFont="1" applyNumberFormat="1">
      <alignment horizontal="center" shrinkToFit="0" wrapText="1"/>
    </xf>
    <xf borderId="9" fillId="0" fontId="1" numFmtId="164" xfId="0" applyAlignment="1" applyBorder="1" applyFont="1" applyNumberFormat="1">
      <alignment horizontal="center" shrinkToFit="0" wrapText="1"/>
    </xf>
    <xf borderId="9" fillId="0" fontId="1" numFmtId="49" xfId="0" applyAlignment="1" applyBorder="1" applyFont="1" applyNumberFormat="1">
      <alignment horizontal="center" readingOrder="0" shrinkToFit="0" wrapText="1"/>
    </xf>
    <xf borderId="9" fillId="0" fontId="9" numFmtId="164" xfId="0" applyBorder="1" applyFont="1" applyNumberFormat="1"/>
    <xf borderId="9" fillId="3" fontId="1" numFmtId="10" xfId="0" applyAlignment="1" applyBorder="1" applyFont="1" applyNumberFormat="1">
      <alignment horizontal="center" shrinkToFit="0" wrapText="1"/>
    </xf>
    <xf borderId="9" fillId="2" fontId="1" numFmtId="0" xfId="0" applyAlignment="1" applyBorder="1" applyFont="1">
      <alignment horizontal="center" readingOrder="0" shrinkToFit="0" vertical="center" wrapText="1"/>
    </xf>
    <xf borderId="9" fillId="2" fontId="12" numFmtId="0" xfId="0" applyAlignment="1" applyBorder="1" applyFont="1">
      <alignment horizontal="center" shrinkToFit="0" wrapText="1"/>
    </xf>
    <xf borderId="9" fillId="2" fontId="4" numFmtId="0" xfId="0" applyAlignment="1" applyBorder="1" applyFont="1">
      <alignment horizontal="center" shrinkToFit="0" wrapText="1"/>
    </xf>
    <xf borderId="9" fillId="2" fontId="4" numFmtId="164" xfId="0" applyAlignment="1" applyBorder="1" applyFont="1" applyNumberFormat="1">
      <alignment horizontal="center" shrinkToFit="0" wrapText="1"/>
    </xf>
    <xf borderId="9" fillId="2" fontId="4" numFmtId="49" xfId="0" applyAlignment="1" applyBorder="1" applyFont="1" applyNumberFormat="1">
      <alignment horizontal="center" readingOrder="0" shrinkToFit="0" wrapText="1"/>
    </xf>
    <xf borderId="9" fillId="2" fontId="4" numFmtId="164" xfId="0" applyAlignment="1" applyBorder="1" applyFont="1" applyNumberFormat="1">
      <alignment horizontal="center" readingOrder="0" shrinkToFit="0" wrapText="1"/>
    </xf>
    <xf borderId="9" fillId="2" fontId="4" numFmtId="0" xfId="0" applyAlignment="1" applyBorder="1" applyFont="1">
      <alignment horizontal="center" readingOrder="0" shrinkToFit="0" wrapText="1"/>
    </xf>
    <xf borderId="9" fillId="4" fontId="9" numFmtId="0" xfId="0" applyAlignment="1" applyBorder="1" applyFont="1">
      <alignment horizontal="center"/>
    </xf>
    <xf borderId="9" fillId="4" fontId="9" numFmtId="49" xfId="0" applyAlignment="1" applyBorder="1" applyFont="1" applyNumberFormat="1">
      <alignment horizontal="center"/>
    </xf>
    <xf borderId="9" fillId="4" fontId="1" numFmtId="164" xfId="0" applyAlignment="1" applyBorder="1" applyFont="1" applyNumberFormat="1">
      <alignment horizontal="center" shrinkToFit="0" wrapText="1"/>
    </xf>
    <xf borderId="9" fillId="4" fontId="4" numFmtId="164" xfId="0" applyAlignment="1" applyBorder="1" applyFont="1" applyNumberFormat="1">
      <alignment horizontal="center" shrinkToFit="0" wrapText="1"/>
    </xf>
    <xf borderId="9" fillId="3" fontId="1" numFmtId="49" xfId="0" applyAlignment="1" applyBorder="1" applyFont="1" applyNumberFormat="1">
      <alignment horizontal="center" shrinkToFit="0" wrapText="1"/>
    </xf>
    <xf borderId="9" fillId="0" fontId="1" numFmtId="1" xfId="0" applyAlignment="1" applyBorder="1" applyFont="1" applyNumberFormat="1">
      <alignment horizontal="center" readingOrder="0" shrinkToFit="0" wrapText="1"/>
    </xf>
    <xf borderId="9" fillId="0" fontId="1" numFmtId="1" xfId="0" applyAlignment="1" applyBorder="1" applyFont="1" applyNumberFormat="1">
      <alignment horizontal="center" shrinkToFit="0" wrapText="1"/>
    </xf>
    <xf borderId="9" fillId="3" fontId="9" numFmtId="0" xfId="0" applyBorder="1" applyFont="1"/>
    <xf borderId="9" fillId="0" fontId="9" numFmtId="49" xfId="0" applyAlignment="1" applyBorder="1" applyFont="1" applyNumberFormat="1">
      <alignment horizontal="center"/>
    </xf>
    <xf borderId="9" fillId="3" fontId="9" numFmtId="49" xfId="0" applyBorder="1" applyFont="1" applyNumberFormat="1"/>
    <xf borderId="9" fillId="0" fontId="9" numFmtId="1" xfId="0" applyAlignment="1" applyBorder="1" applyFont="1" applyNumberFormat="1">
      <alignment horizontal="center" readingOrder="0"/>
    </xf>
    <xf borderId="9" fillId="0" fontId="1" numFmtId="1" xfId="0" applyAlignment="1" applyBorder="1" applyFont="1" applyNumberFormat="1">
      <alignment horizontal="center" shrinkToFit="0" wrapText="1"/>
    </xf>
    <xf borderId="9" fillId="0" fontId="9" numFmtId="0" xfId="0" applyAlignment="1" applyBorder="1" applyFont="1">
      <alignment horizontal="center" readingOrder="0"/>
    </xf>
    <xf borderId="0" fillId="3" fontId="9" numFmtId="0" xfId="0" applyFont="1"/>
    <xf borderId="9" fillId="0" fontId="9" numFmtId="49" xfId="0" applyAlignment="1" applyBorder="1" applyFont="1" applyNumberFormat="1">
      <alignment horizontal="center" readingOrder="0"/>
    </xf>
    <xf borderId="9" fillId="0" fontId="1" numFmtId="1" xfId="0" applyAlignment="1" applyBorder="1" applyFont="1" applyNumberFormat="1">
      <alignment horizontal="center" readingOrder="0" shrinkToFit="0" wrapText="1"/>
    </xf>
    <xf borderId="9" fillId="0" fontId="9" numFmtId="0" xfId="0" applyAlignment="1" applyBorder="1" applyFont="1">
      <alignment horizontal="center"/>
    </xf>
    <xf borderId="9" fillId="0" fontId="4" numFmtId="49" xfId="0" applyAlignment="1" applyBorder="1" applyFont="1" applyNumberFormat="1">
      <alignment horizontal="center" shrinkToFit="0" wrapText="1"/>
    </xf>
    <xf borderId="9" fillId="0" fontId="4" numFmtId="164" xfId="0" applyAlignment="1" applyBorder="1" applyFont="1" applyNumberFormat="1">
      <alignment horizontal="center" shrinkToFit="0" wrapText="1"/>
    </xf>
    <xf borderId="9" fillId="0" fontId="1" numFmtId="0" xfId="0" applyAlignment="1" applyBorder="1" applyFont="1">
      <alignment horizontal="center" readingOrder="0" shrinkToFit="0" wrapText="1"/>
    </xf>
    <xf borderId="9" fillId="0" fontId="9" numFmtId="164" xfId="0" applyAlignment="1" applyBorder="1" applyFont="1" applyNumberFormat="1">
      <alignment readingOrder="0"/>
    </xf>
    <xf borderId="9" fillId="4" fontId="4" numFmtId="0" xfId="0" applyAlignment="1" applyBorder="1" applyFont="1">
      <alignment horizontal="center" readingOrder="0" shrinkToFit="0" wrapText="1"/>
    </xf>
    <xf borderId="9" fillId="0" fontId="6" numFmtId="0" xfId="0" applyAlignment="1" applyBorder="1" applyFont="1">
      <alignment readingOrder="0"/>
    </xf>
    <xf borderId="9" fillId="0" fontId="6" numFmtId="0" xfId="0" applyBorder="1" applyFont="1"/>
    <xf borderId="9" fillId="0" fontId="6" numFmtId="0" xfId="0" applyAlignment="1" applyBorder="1" applyFont="1">
      <alignment horizontal="center" readingOrder="0"/>
    </xf>
    <xf borderId="9" fillId="0" fontId="13" numFmtId="0" xfId="0" applyAlignment="1" applyBorder="1" applyFont="1">
      <alignment readingOrder="0"/>
    </xf>
    <xf borderId="9" fillId="0" fontId="6" numFmtId="0" xfId="0" applyAlignment="1" applyBorder="1" applyFont="1">
      <alignment horizontal="center"/>
    </xf>
    <xf borderId="9" fillId="0" fontId="6" numFmtId="164" xfId="0" applyBorder="1" applyFont="1" applyNumberFormat="1"/>
    <xf borderId="9" fillId="0" fontId="6" numFmtId="164" xfId="0" applyAlignment="1" applyBorder="1" applyFont="1" applyNumberFormat="1">
      <alignment horizontal="center"/>
    </xf>
    <xf borderId="9" fillId="0" fontId="13" numFmtId="164" xfId="0" applyAlignment="1" applyBorder="1" applyFont="1" applyNumberFormat="1">
      <alignment horizontal="center"/>
    </xf>
    <xf borderId="0" fillId="0" fontId="6" numFmtId="164" xfId="0" applyAlignment="1" applyFont="1" applyNumberFormat="1">
      <alignment horizontal="center"/>
    </xf>
    <xf borderId="0" fillId="0" fontId="14" numFmtId="0" xfId="0" applyAlignment="1" applyFont="1">
      <alignment horizontal="left" readingOrder="0" shrinkToFit="0" vertical="center" wrapText="1"/>
    </xf>
    <xf borderId="0" fillId="0" fontId="14" numFmtId="0" xfId="0" applyAlignment="1" applyFont="1">
      <alignment horizontal="center" readingOrder="0" shrinkToFit="0" vertical="center" wrapText="1"/>
    </xf>
    <xf borderId="0" fillId="0" fontId="14" numFmtId="0" xfId="0" applyAlignment="1" applyFont="1">
      <alignment horizontal="left" readingOrder="0" shrinkToFit="0" vertical="center" wrapText="0"/>
    </xf>
    <xf borderId="0" fillId="0" fontId="14" numFmtId="0" xfId="0" applyAlignment="1" applyFont="1">
      <alignment horizontal="center" readingOrder="0" shrinkToFit="0" vertical="center" wrapText="0"/>
    </xf>
    <xf borderId="15" fillId="3" fontId="15" numFmtId="49" xfId="0" applyAlignment="1" applyBorder="1" applyFont="1" applyNumberFormat="1">
      <alignment shrinkToFit="0" vertical="center" wrapText="0"/>
    </xf>
    <xf borderId="16" fillId="3" fontId="9" numFmtId="0" xfId="0" applyAlignment="1" applyBorder="1" applyFont="1">
      <alignment readingOrder="0" shrinkToFit="0" vertical="center" wrapText="0"/>
    </xf>
    <xf borderId="16" fillId="3" fontId="15" numFmtId="0" xfId="0" applyAlignment="1" applyBorder="1" applyFont="1">
      <alignment horizontal="center" shrinkToFit="0" vertical="center" wrapText="0"/>
    </xf>
    <xf borderId="17" fillId="9" fontId="15" numFmtId="167" xfId="0" applyAlignment="1" applyBorder="1" applyFill="1" applyFont="1" applyNumberFormat="1">
      <alignment horizontal="right" shrinkToFit="0" vertical="center" wrapText="0"/>
    </xf>
    <xf borderId="16" fillId="3" fontId="15" numFmtId="167" xfId="0" applyAlignment="1" applyBorder="1" applyFont="1" applyNumberFormat="1">
      <alignment horizontal="right" shrinkToFit="0" vertical="center" wrapText="0"/>
    </xf>
    <xf borderId="18" fillId="3" fontId="15" numFmtId="49" xfId="0" applyAlignment="1" applyBorder="1" applyFont="1" applyNumberFormat="1">
      <alignment shrinkToFit="0" vertical="center" wrapText="0"/>
    </xf>
    <xf borderId="18" fillId="3" fontId="15" numFmtId="0" xfId="0" applyAlignment="1" applyBorder="1" applyFont="1">
      <alignment horizontal="center" shrinkToFit="0" vertical="center" wrapText="1"/>
    </xf>
    <xf borderId="18" fillId="3" fontId="9" numFmtId="0" xfId="0" applyAlignment="1" applyBorder="1" applyFont="1">
      <alignment shrinkToFit="0" vertical="center" wrapText="0"/>
    </xf>
    <xf borderId="19" fillId="3" fontId="15" numFmtId="0" xfId="0" applyAlignment="1" applyBorder="1" applyFont="1">
      <alignment horizontal="center" shrinkToFit="0" vertical="center" wrapText="0"/>
    </xf>
    <xf borderId="16" fillId="3" fontId="9" numFmtId="0" xfId="0" applyAlignment="1" applyBorder="1" applyFont="1">
      <alignment shrinkToFit="0" vertical="center" wrapText="0"/>
    </xf>
    <xf borderId="20" fillId="3" fontId="9" numFmtId="0" xfId="0" applyAlignment="1" applyBorder="1" applyFont="1">
      <alignment shrinkToFit="0" vertical="center" wrapText="0"/>
    </xf>
    <xf borderId="21" fillId="10" fontId="16" numFmtId="49" xfId="0" applyAlignment="1" applyBorder="1" applyFill="1" applyFont="1" applyNumberFormat="1">
      <alignment shrinkToFit="0" vertical="center" wrapText="0"/>
    </xf>
    <xf borderId="22" fillId="10" fontId="9" numFmtId="0" xfId="0" applyAlignment="1" applyBorder="1" applyFont="1">
      <alignment readingOrder="0" shrinkToFit="0" vertical="center" wrapText="0"/>
    </xf>
    <xf borderId="22" fillId="10" fontId="16" numFmtId="0" xfId="0" applyAlignment="1" applyBorder="1" applyFont="1">
      <alignment horizontal="center" shrinkToFit="0" vertical="center" wrapText="0"/>
    </xf>
    <xf borderId="22" fillId="10" fontId="16" numFmtId="167" xfId="0" applyAlignment="1" applyBorder="1" applyFont="1" applyNumberFormat="1">
      <alignment horizontal="right" shrinkToFit="0" vertical="center" wrapText="0"/>
    </xf>
    <xf borderId="23" fillId="10" fontId="16" numFmtId="49" xfId="0" applyAlignment="1" applyBorder="1" applyFont="1" applyNumberFormat="1">
      <alignment shrinkToFit="0" vertical="center" wrapText="0"/>
    </xf>
    <xf borderId="23" fillId="10" fontId="9" numFmtId="0" xfId="0" applyAlignment="1" applyBorder="1" applyFont="1">
      <alignment shrinkToFit="0" vertical="center" wrapText="0"/>
    </xf>
    <xf borderId="24" fillId="10" fontId="9" numFmtId="0" xfId="0" applyAlignment="1" applyBorder="1" applyFont="1">
      <alignment shrinkToFit="0" vertical="center" wrapText="0"/>
    </xf>
    <xf borderId="22" fillId="10" fontId="9" numFmtId="0" xfId="0" applyAlignment="1" applyBorder="1" applyFont="1">
      <alignment shrinkToFit="0" vertical="center" wrapText="0"/>
    </xf>
    <xf borderId="25" fillId="10" fontId="9" numFmtId="0" xfId="0" applyAlignment="1" applyBorder="1" applyFont="1">
      <alignment shrinkToFit="0" vertical="center" wrapText="0"/>
    </xf>
    <xf borderId="15" fillId="3" fontId="16" numFmtId="49" xfId="0" applyAlignment="1" applyBorder="1" applyFont="1" applyNumberFormat="1">
      <alignment shrinkToFit="0" vertical="center" wrapText="0"/>
    </xf>
    <xf borderId="16" fillId="3" fontId="16" numFmtId="0" xfId="0" applyAlignment="1" applyBorder="1" applyFont="1">
      <alignment horizontal="center" shrinkToFit="0" vertical="center" wrapText="0"/>
    </xf>
    <xf borderId="16" fillId="3" fontId="16" numFmtId="167" xfId="0" applyAlignment="1" applyBorder="1" applyFont="1" applyNumberFormat="1">
      <alignment horizontal="right" shrinkToFit="0" vertical="center" wrapText="0"/>
    </xf>
    <xf borderId="18" fillId="3" fontId="16" numFmtId="49" xfId="0" applyAlignment="1" applyBorder="1" applyFont="1" applyNumberFormat="1">
      <alignment shrinkToFit="0" vertical="center" wrapText="0"/>
    </xf>
    <xf borderId="19" fillId="3" fontId="16" numFmtId="0" xfId="0" applyAlignment="1" applyBorder="1" applyFont="1">
      <alignment horizontal="center" shrinkToFit="0" vertical="center" wrapText="0"/>
    </xf>
    <xf borderId="21" fillId="10" fontId="16" numFmtId="49" xfId="0" applyAlignment="1" applyBorder="1" applyFont="1" applyNumberFormat="1">
      <alignment readingOrder="0" shrinkToFit="0" vertical="center" wrapText="0"/>
    </xf>
    <xf borderId="24" fillId="10" fontId="16" numFmtId="167" xfId="0" applyAlignment="1" applyBorder="1" applyFont="1" applyNumberFormat="1">
      <alignment horizontal="center" shrinkToFit="0" vertical="center" wrapText="0"/>
    </xf>
    <xf borderId="4" fillId="10" fontId="16" numFmtId="49" xfId="0" applyAlignment="1" applyBorder="1" applyFont="1" applyNumberFormat="1">
      <alignment readingOrder="0" shrinkToFit="0" vertical="center" wrapText="0"/>
    </xf>
    <xf borderId="0" fillId="10" fontId="9" numFmtId="0" xfId="0" applyAlignment="1" applyFont="1">
      <alignment readingOrder="0" shrinkToFit="0" vertical="center" wrapText="0"/>
    </xf>
    <xf borderId="0" fillId="10" fontId="16" numFmtId="0" xfId="0" applyAlignment="1" applyFont="1">
      <alignment horizontal="center" shrinkToFit="0" vertical="center" wrapText="0"/>
    </xf>
    <xf borderId="0" fillId="10" fontId="16" numFmtId="167" xfId="0" applyAlignment="1" applyFont="1" applyNumberFormat="1">
      <alignment horizontal="right" shrinkToFit="0" vertical="center" wrapText="0"/>
    </xf>
    <xf borderId="5" fillId="10" fontId="16" numFmtId="49" xfId="0" applyAlignment="1" applyBorder="1" applyFont="1" applyNumberFormat="1">
      <alignment shrinkToFit="0" vertical="center" wrapText="0"/>
    </xf>
    <xf borderId="5" fillId="10" fontId="9" numFmtId="0" xfId="0" applyAlignment="1" applyBorder="1" applyFont="1">
      <alignment shrinkToFit="0" vertical="center" wrapText="0"/>
    </xf>
    <xf borderId="26" fillId="10" fontId="16" numFmtId="167" xfId="0" applyAlignment="1" applyBorder="1" applyFont="1" applyNumberFormat="1">
      <alignment horizontal="center" shrinkToFit="0" vertical="center" wrapText="0"/>
    </xf>
    <xf borderId="0" fillId="10" fontId="9" numFmtId="0" xfId="0" applyAlignment="1" applyFont="1">
      <alignment shrinkToFit="0" vertical="center" wrapText="0"/>
    </xf>
    <xf borderId="27" fillId="10" fontId="9" numFmtId="0" xfId="0" applyAlignment="1" applyBorder="1" applyFont="1">
      <alignment shrinkToFit="0" vertical="center" wrapText="0"/>
    </xf>
    <xf borderId="18" fillId="3" fontId="9" numFmtId="49" xfId="0" applyAlignment="1" applyBorder="1" applyFont="1" applyNumberFormat="1">
      <alignment shrinkToFit="0" vertical="center" wrapText="0"/>
    </xf>
    <xf borderId="19" fillId="3" fontId="9" numFmtId="0" xfId="0" applyAlignment="1" applyBorder="1" applyFont="1">
      <alignment shrinkToFit="0" vertical="center" wrapText="0"/>
    </xf>
    <xf borderId="21" fillId="10" fontId="15" numFmtId="49" xfId="0" applyAlignment="1" applyBorder="1" applyFont="1" applyNumberFormat="1">
      <alignment shrinkToFit="0" vertical="center" wrapText="0"/>
    </xf>
    <xf borderId="22" fillId="10" fontId="15" numFmtId="0" xfId="0" applyAlignment="1" applyBorder="1" applyFont="1">
      <alignment horizontal="center" shrinkToFit="0" vertical="center" wrapText="0"/>
    </xf>
    <xf borderId="22" fillId="10" fontId="15" numFmtId="167" xfId="0" applyAlignment="1" applyBorder="1" applyFont="1" applyNumberFormat="1">
      <alignment horizontal="right" shrinkToFit="0" vertical="center" wrapText="0"/>
    </xf>
    <xf borderId="23" fillId="10" fontId="15" numFmtId="49" xfId="0" applyAlignment="1" applyBorder="1" applyFont="1" applyNumberFormat="1">
      <alignment shrinkToFit="0" vertical="center" wrapText="0"/>
    </xf>
    <xf borderId="23" fillId="10" fontId="15" numFmtId="0" xfId="0" applyAlignment="1" applyBorder="1" applyFont="1">
      <alignment horizontal="center" shrinkToFit="0" vertical="center" wrapText="1"/>
    </xf>
    <xf borderId="18" fillId="3" fontId="16" numFmtId="0" xfId="0" applyAlignment="1" applyBorder="1" applyFont="1">
      <alignment shrinkToFit="0" vertical="center" wrapText="0"/>
    </xf>
    <xf borderId="23" fillId="10" fontId="16" numFmtId="0" xfId="0" applyAlignment="1" applyBorder="1" applyFont="1">
      <alignment shrinkToFit="0" vertical="center" wrapText="0"/>
    </xf>
    <xf borderId="15" fillId="3" fontId="16" numFmtId="49" xfId="0" applyAlignment="1" applyBorder="1" applyFont="1" applyNumberFormat="1">
      <alignment readingOrder="0" shrinkToFit="0" vertical="center" wrapText="0"/>
    </xf>
    <xf borderId="4" fillId="3" fontId="16" numFmtId="49" xfId="0" applyAlignment="1" applyBorder="1" applyFont="1" applyNumberFormat="1">
      <alignment readingOrder="0" shrinkToFit="0" vertical="center" wrapText="0"/>
    </xf>
    <xf borderId="0" fillId="3" fontId="9" numFmtId="0" xfId="0" applyAlignment="1" applyFont="1">
      <alignment readingOrder="0" shrinkToFit="0" vertical="center" wrapText="0"/>
    </xf>
    <xf borderId="0" fillId="3" fontId="16" numFmtId="0" xfId="0" applyAlignment="1" applyFont="1">
      <alignment horizontal="center" shrinkToFit="0" vertical="center" wrapText="0"/>
    </xf>
    <xf borderId="0" fillId="3" fontId="16" numFmtId="167" xfId="0" applyAlignment="1" applyFont="1" applyNumberFormat="1">
      <alignment horizontal="right" shrinkToFit="0" vertical="center" wrapText="0"/>
    </xf>
    <xf borderId="5" fillId="3" fontId="16" numFmtId="49" xfId="0" applyAlignment="1" applyBorder="1" applyFont="1" applyNumberFormat="1">
      <alignment shrinkToFit="0" vertical="center" wrapText="0"/>
    </xf>
    <xf borderId="5" fillId="3" fontId="9" numFmtId="0" xfId="0" applyAlignment="1" applyBorder="1" applyFont="1">
      <alignment shrinkToFit="0" vertical="center" wrapText="0"/>
    </xf>
    <xf borderId="26" fillId="3" fontId="9" numFmtId="0" xfId="0" applyAlignment="1" applyBorder="1" applyFont="1">
      <alignment shrinkToFit="0" vertical="center" wrapText="0"/>
    </xf>
    <xf borderId="0" fillId="3" fontId="9" numFmtId="0" xfId="0" applyAlignment="1" applyFont="1">
      <alignment shrinkToFit="0" vertical="center" wrapText="0"/>
    </xf>
    <xf borderId="27" fillId="3" fontId="9" numFmtId="0" xfId="0" applyAlignment="1" applyBorder="1" applyFont="1">
      <alignment shrinkToFit="0" vertical="center" wrapText="0"/>
    </xf>
    <xf borderId="23" fillId="10" fontId="16" numFmtId="0" xfId="0" applyAlignment="1" applyBorder="1" applyFont="1">
      <alignment shrinkToFit="0" vertical="center" wrapText="1"/>
    </xf>
    <xf borderId="5" fillId="10" fontId="16" numFmtId="0" xfId="0" applyAlignment="1" applyBorder="1" applyFont="1">
      <alignment shrinkToFit="0" vertical="center" wrapText="1"/>
    </xf>
    <xf borderId="26" fillId="10" fontId="9" numFmtId="0" xfId="0" applyAlignment="1" applyBorder="1" applyFont="1">
      <alignment shrinkToFit="0" vertical="center" wrapText="0"/>
    </xf>
    <xf borderId="23" fillId="10" fontId="9" numFmtId="49" xfId="0" applyAlignment="1" applyBorder="1" applyFont="1" applyNumberFormat="1">
      <alignment shrinkToFit="0" vertical="center" wrapText="0"/>
    </xf>
    <xf borderId="5" fillId="10" fontId="9" numFmtId="49" xfId="0" applyAlignment="1" applyBorder="1" applyFont="1" applyNumberFormat="1">
      <alignment shrinkToFit="0" vertical="center" wrapText="0"/>
    </xf>
    <xf borderId="5" fillId="3" fontId="9" numFmtId="49" xfId="0" applyAlignment="1" applyBorder="1" applyFont="1" applyNumberFormat="1">
      <alignment shrinkToFit="0" vertical="center" wrapText="0"/>
    </xf>
    <xf borderId="28" fillId="3" fontId="16" numFmtId="49" xfId="0" applyAlignment="1" applyBorder="1" applyFont="1" applyNumberFormat="1">
      <alignment shrinkToFit="0" vertical="center" wrapText="0"/>
    </xf>
    <xf borderId="29" fillId="3" fontId="16" numFmtId="0" xfId="0" applyAlignment="1" applyBorder="1" applyFont="1">
      <alignment horizontal="center" shrinkToFit="0" vertical="center" wrapText="0"/>
    </xf>
    <xf borderId="29" fillId="3" fontId="16" numFmtId="167" xfId="0" applyAlignment="1" applyBorder="1" applyFont="1" applyNumberFormat="1">
      <alignment horizontal="right" shrinkToFit="0" vertical="center" wrapText="0"/>
    </xf>
    <xf borderId="30" fillId="3" fontId="9" numFmtId="49" xfId="0" applyAlignment="1" applyBorder="1" applyFont="1" applyNumberFormat="1">
      <alignment shrinkToFit="0" vertical="center" wrapText="0"/>
    </xf>
    <xf borderId="30" fillId="3" fontId="9" numFmtId="0" xfId="0" applyAlignment="1" applyBorder="1" applyFont="1">
      <alignment shrinkToFit="0" vertical="center" wrapText="0"/>
    </xf>
    <xf borderId="31" fillId="3" fontId="9" numFmtId="0" xfId="0" applyAlignment="1" applyBorder="1" applyFont="1">
      <alignment shrinkToFit="0" vertical="center" wrapText="0"/>
    </xf>
    <xf borderId="32" fillId="3" fontId="9" numFmtId="0" xfId="0" applyAlignment="1" applyBorder="1" applyFont="1">
      <alignment shrinkToFit="0" vertical="center" wrapText="0"/>
    </xf>
    <xf borderId="33" fillId="3" fontId="9" numFmtId="0" xfId="0" applyAlignment="1" applyBorder="1" applyFont="1">
      <alignment shrinkToFit="0" vertical="center" wrapText="0"/>
    </xf>
    <xf borderId="9" fillId="0" fontId="6" numFmtId="168" xfId="0" applyAlignment="1" applyBorder="1" applyFont="1" applyNumberFormat="1">
      <alignment readingOrder="0"/>
    </xf>
    <xf borderId="9" fillId="2" fontId="9" numFmtId="49" xfId="0" applyBorder="1" applyFont="1" applyNumberFormat="1"/>
    <xf borderId="9" fillId="2" fontId="4" numFmtId="49" xfId="0" applyAlignment="1" applyBorder="1" applyFont="1" applyNumberFormat="1">
      <alignment horizontal="center" shrinkToFit="0" wrapText="1"/>
    </xf>
    <xf borderId="9" fillId="4" fontId="4" numFmtId="49" xfId="0" applyAlignment="1" applyBorder="1" applyFont="1" applyNumberFormat="1">
      <alignment horizontal="center" shrinkToFit="0" wrapText="1"/>
    </xf>
    <xf borderId="9" fillId="3" fontId="9" numFmtId="49" xfId="0" applyAlignment="1" applyBorder="1" applyFont="1" applyNumberFormat="1">
      <alignment horizontal="center"/>
    </xf>
    <xf borderId="0" fillId="0" fontId="9" numFmtId="0" xfId="0" applyAlignment="1" applyFont="1">
      <alignment readingOrder="0"/>
    </xf>
    <xf borderId="9" fillId="4" fontId="9" numFmtId="0" xfId="0" applyAlignment="1" applyBorder="1" applyFont="1">
      <alignment horizontal="center" readingOrder="0"/>
    </xf>
    <xf borderId="9" fillId="11" fontId="1" numFmtId="49" xfId="0" applyAlignment="1" applyBorder="1" applyFill="1" applyFont="1" applyNumberFormat="1">
      <alignment horizontal="center" shrinkToFit="0" wrapText="1"/>
    </xf>
    <xf borderId="9" fillId="4" fontId="1" numFmtId="49" xfId="0" applyAlignment="1" applyBorder="1" applyFont="1" applyNumberFormat="1">
      <alignment horizontal="center" shrinkToFit="0" wrapText="1"/>
    </xf>
    <xf borderId="9" fillId="0" fontId="13" numFmtId="0" xfId="0" applyBorder="1" applyFont="1"/>
    <xf borderId="0" fillId="0" fontId="6" numFmtId="0" xfId="0" applyFont="1"/>
    <xf borderId="0" fillId="0" fontId="1" numFmtId="0" xfId="0" applyAlignment="1" applyFont="1">
      <alignment horizontal="center" vertical="center"/>
    </xf>
    <xf borderId="0" fillId="0" fontId="1" numFmtId="164" xfId="0" applyAlignment="1" applyFont="1" applyNumberFormat="1">
      <alignment horizontal="center" vertical="center"/>
    </xf>
    <xf borderId="0" fillId="0" fontId="1" numFmtId="49" xfId="0" applyAlignment="1" applyFont="1" applyNumberFormat="1">
      <alignment horizontal="center" vertical="center"/>
    </xf>
    <xf borderId="0" fillId="2" fontId="2" numFmtId="0" xfId="0" applyAlignment="1" applyFont="1">
      <alignment horizontal="center" shrinkToFit="0" vertical="center" wrapText="1"/>
    </xf>
    <xf borderId="7" fillId="0" fontId="1" numFmtId="0" xfId="0" applyAlignment="1" applyBorder="1" applyFont="1">
      <alignment horizontal="center" vertical="center"/>
    </xf>
    <xf borderId="7" fillId="0" fontId="1" numFmtId="164" xfId="0" applyAlignment="1" applyBorder="1" applyFont="1" applyNumberFormat="1">
      <alignment horizontal="center" vertical="center"/>
    </xf>
    <xf borderId="7" fillId="0" fontId="1" numFmtId="49" xfId="0" applyAlignment="1" applyBorder="1" applyFont="1" applyNumberFormat="1">
      <alignment horizontal="center" vertical="center"/>
    </xf>
    <xf borderId="14" fillId="2" fontId="1" numFmtId="0" xfId="0" applyAlignment="1" applyBorder="1" applyFont="1">
      <alignment horizontal="center" shrinkToFit="0" vertical="center" wrapText="1"/>
    </xf>
    <xf borderId="7" fillId="3" fontId="4" numFmtId="165" xfId="0" applyAlignment="1" applyBorder="1" applyFont="1" applyNumberFormat="1">
      <alignment horizontal="center" readingOrder="0" shrinkToFit="0" vertical="center" wrapText="1"/>
    </xf>
    <xf borderId="8" fillId="2" fontId="1" numFmtId="0" xfId="0" applyAlignment="1" applyBorder="1" applyFont="1">
      <alignment horizontal="center" shrinkToFit="0" vertical="center" wrapText="1"/>
    </xf>
    <xf borderId="7" fillId="3" fontId="4" numFmtId="0" xfId="0" applyAlignment="1" applyBorder="1" applyFont="1">
      <alignment horizontal="center" readingOrder="0" shrinkToFit="0" vertical="center" wrapText="1"/>
    </xf>
    <xf borderId="7" fillId="3" fontId="4" numFmtId="0" xfId="0" applyAlignment="1" applyBorder="1" applyFont="1">
      <alignment horizontal="center" shrinkToFit="0" vertical="center" wrapText="1"/>
    </xf>
    <xf borderId="0" fillId="0" fontId="1" numFmtId="0" xfId="0" applyAlignment="1" applyFont="1">
      <alignment horizontal="center" readingOrder="0" vertical="center"/>
    </xf>
    <xf borderId="9" fillId="4" fontId="1" numFmtId="0" xfId="0" applyAlignment="1" applyBorder="1" applyFont="1">
      <alignment horizontal="center" vertical="center"/>
    </xf>
    <xf borderId="0" fillId="3" fontId="1" numFmtId="0" xfId="0" applyAlignment="1" applyFont="1">
      <alignment horizontal="center" readingOrder="0" vertical="center"/>
    </xf>
    <xf borderId="0" fillId="3" fontId="1" numFmtId="3" xfId="0" applyAlignment="1" applyFont="1" applyNumberFormat="1">
      <alignment horizontal="center" readingOrder="0" vertical="center"/>
    </xf>
    <xf borderId="0" fillId="3" fontId="1" numFmtId="0" xfId="0" applyAlignment="1" applyFont="1">
      <alignment horizontal="center" vertical="center"/>
    </xf>
    <xf borderId="9" fillId="4" fontId="1" numFmtId="49" xfId="0" applyAlignment="1" applyBorder="1" applyFont="1" applyNumberFormat="1">
      <alignment horizontal="center" vertical="center"/>
    </xf>
    <xf borderId="0" fillId="3" fontId="1" numFmtId="164" xfId="0" applyAlignment="1" applyFont="1" applyNumberFormat="1">
      <alignment horizontal="center" vertical="center"/>
    </xf>
    <xf borderId="0" fillId="0" fontId="1" numFmtId="9" xfId="0" applyAlignment="1" applyFont="1" applyNumberFormat="1">
      <alignment horizontal="center" readingOrder="0" vertical="center"/>
    </xf>
    <xf borderId="10" fillId="4" fontId="4" numFmtId="0" xfId="0" applyAlignment="1" applyBorder="1" applyFont="1">
      <alignment horizontal="center"/>
    </xf>
    <xf borderId="9" fillId="4" fontId="4" numFmtId="166" xfId="0" applyAlignment="1" applyBorder="1" applyFont="1" applyNumberFormat="1">
      <alignment horizontal="center"/>
    </xf>
    <xf borderId="10" fillId="4" fontId="4" numFmtId="0" xfId="0" applyAlignment="1" applyBorder="1" applyFont="1">
      <alignment horizontal="center" readingOrder="0" vertical="center"/>
    </xf>
    <xf borderId="0" fillId="3" fontId="4" numFmtId="0" xfId="0" applyAlignment="1" applyFont="1">
      <alignment horizontal="center" readingOrder="0" vertical="center"/>
    </xf>
    <xf borderId="0" fillId="3" fontId="1" numFmtId="4" xfId="0" applyAlignment="1" applyFont="1" applyNumberFormat="1">
      <alignment horizontal="center" readingOrder="0" vertical="center"/>
    </xf>
    <xf borderId="0" fillId="5" fontId="4" numFmtId="0" xfId="0" applyAlignment="1" applyFont="1">
      <alignment horizontal="center" readingOrder="0" vertical="center"/>
    </xf>
    <xf borderId="0" fillId="3" fontId="1" numFmtId="3" xfId="0" applyAlignment="1" applyFont="1" applyNumberFormat="1">
      <alignment horizontal="left" readingOrder="0" vertical="center"/>
    </xf>
    <xf borderId="0" fillId="0" fontId="6" numFmtId="49" xfId="0" applyAlignment="1" applyFont="1" applyNumberFormat="1">
      <alignment horizontal="center" vertical="center"/>
    </xf>
    <xf borderId="0" fillId="0" fontId="1" numFmtId="0" xfId="0" applyAlignment="1" applyFont="1">
      <alignment horizontal="left" readingOrder="0" vertical="center"/>
    </xf>
    <xf borderId="9" fillId="3" fontId="1" numFmtId="3" xfId="0" applyAlignment="1" applyBorder="1" applyFont="1" applyNumberFormat="1">
      <alignment horizontal="center"/>
    </xf>
    <xf borderId="9" fillId="4" fontId="4" numFmtId="166" xfId="0" applyAlignment="1" applyBorder="1" applyFont="1" applyNumberFormat="1">
      <alignment horizontal="center" shrinkToFit="0" wrapText="1"/>
    </xf>
    <xf borderId="0" fillId="0" fontId="6" numFmtId="49" xfId="0" applyAlignment="1" applyFont="1" applyNumberFormat="1">
      <alignment horizontal="center" readingOrder="0" vertical="center"/>
    </xf>
    <xf borderId="0" fillId="3" fontId="1" numFmtId="164" xfId="0" applyAlignment="1" applyFont="1" applyNumberFormat="1">
      <alignment horizontal="center" readingOrder="0" vertical="center"/>
    </xf>
    <xf borderId="0" fillId="3" fontId="1" numFmtId="49" xfId="0" applyAlignment="1" applyFont="1" applyNumberFormat="1">
      <alignment horizontal="center" vertical="center"/>
    </xf>
    <xf borderId="7" fillId="0" fontId="1" numFmtId="49" xfId="0" applyAlignment="1" applyBorder="1" applyFont="1" applyNumberFormat="1">
      <alignment horizontal="center" readingOrder="0" vertical="center"/>
    </xf>
    <xf borderId="14" fillId="2" fontId="17" numFmtId="0" xfId="0" applyAlignment="1" applyBorder="1" applyFont="1">
      <alignment horizontal="center" shrinkToFit="0" vertical="center" wrapText="1"/>
    </xf>
    <xf borderId="8" fillId="2" fontId="4" numFmtId="0" xfId="0" applyAlignment="1" applyBorder="1" applyFont="1">
      <alignment horizontal="center" readingOrder="0" shrinkToFit="0" vertical="center" wrapText="1"/>
    </xf>
    <xf borderId="8" fillId="2" fontId="4" numFmtId="0" xfId="0" applyAlignment="1" applyBorder="1" applyFont="1">
      <alignment horizontal="center" shrinkToFit="0" vertical="center" wrapText="1"/>
    </xf>
    <xf borderId="8" fillId="2" fontId="4" numFmtId="164" xfId="0" applyAlignment="1" applyBorder="1" applyFont="1" applyNumberFormat="1">
      <alignment horizontal="center" shrinkToFit="0" vertical="center" wrapText="1"/>
    </xf>
    <xf borderId="8" fillId="2" fontId="4" numFmtId="49" xfId="0" applyAlignment="1" applyBorder="1" applyFont="1" applyNumberFormat="1">
      <alignment horizontal="center" shrinkToFit="0" vertical="center" wrapText="1"/>
    </xf>
    <xf borderId="14" fillId="4" fontId="4" numFmtId="49" xfId="0" applyAlignment="1" applyBorder="1" applyFont="1" applyNumberFormat="1">
      <alignment horizontal="center" readingOrder="0" shrinkToFit="0" vertical="center" wrapText="1"/>
    </xf>
    <xf borderId="8" fillId="4" fontId="1" numFmtId="49" xfId="0" applyAlignment="1" applyBorder="1" applyFont="1" applyNumberFormat="1">
      <alignment horizontal="center" vertical="center"/>
    </xf>
    <xf borderId="8" fillId="4" fontId="1" numFmtId="0" xfId="0" applyAlignment="1" applyBorder="1" applyFont="1">
      <alignment horizontal="center" vertical="center"/>
    </xf>
    <xf borderId="8" fillId="4" fontId="1" numFmtId="164" xfId="0" applyAlignment="1" applyBorder="1" applyFont="1" applyNumberFormat="1">
      <alignment horizontal="center" vertical="center"/>
    </xf>
    <xf borderId="0" fillId="5" fontId="1" numFmtId="0" xfId="0" applyAlignment="1" applyFont="1">
      <alignment horizontal="center" vertical="center"/>
    </xf>
    <xf borderId="5" fillId="4" fontId="1" numFmtId="164" xfId="0" applyAlignment="1" applyBorder="1" applyFont="1" applyNumberFormat="1">
      <alignment horizontal="center" vertical="center"/>
    </xf>
    <xf borderId="5" fillId="4" fontId="1" numFmtId="0" xfId="0" applyAlignment="1" applyBorder="1" applyFont="1">
      <alignment horizontal="center" vertical="center"/>
    </xf>
    <xf borderId="14" fillId="3" fontId="1" numFmtId="49" xfId="0" applyAlignment="1" applyBorder="1" applyFont="1" applyNumberFormat="1">
      <alignment horizontal="center" readingOrder="0" shrinkToFit="0" vertical="bottom" wrapText="1"/>
    </xf>
    <xf borderId="9" fillId="3" fontId="1" numFmtId="49" xfId="0" applyAlignment="1" applyBorder="1" applyFont="1" applyNumberFormat="1">
      <alignment horizontal="center" shrinkToFit="0" vertical="bottom" wrapText="1"/>
    </xf>
    <xf borderId="9" fillId="3" fontId="1" numFmtId="164" xfId="0" applyAlignment="1" applyBorder="1" applyFont="1" applyNumberFormat="1">
      <alignment horizontal="center" shrinkToFit="0" vertical="bottom" wrapText="1"/>
    </xf>
    <xf borderId="9" fillId="3" fontId="1" numFmtId="49" xfId="0" applyAlignment="1" applyBorder="1" applyFont="1" applyNumberFormat="1">
      <alignment horizontal="center" readingOrder="0" shrinkToFit="0" vertical="bottom" wrapText="1"/>
    </xf>
    <xf borderId="14" fillId="3" fontId="1" numFmtId="164" xfId="0" applyAlignment="1" applyBorder="1" applyFont="1" applyNumberFormat="1">
      <alignment horizontal="center" vertical="bottom"/>
    </xf>
    <xf borderId="9" fillId="0" fontId="1" numFmtId="164" xfId="0" applyAlignment="1" applyBorder="1" applyFont="1" applyNumberFormat="1">
      <alignment horizontal="center" readingOrder="0" shrinkToFit="0" vertical="bottom" wrapText="1"/>
    </xf>
    <xf borderId="0" fillId="3" fontId="1" numFmtId="0" xfId="0" applyAlignment="1" applyFont="1">
      <alignment horizontal="center" readingOrder="0" shrinkToFit="0" vertical="bottom" wrapText="1"/>
    </xf>
    <xf borderId="0" fillId="3" fontId="9" numFmtId="0" xfId="0" applyAlignment="1" applyFont="1">
      <alignment vertical="bottom"/>
    </xf>
    <xf borderId="0" fillId="3" fontId="9" numFmtId="0" xfId="0" applyAlignment="1" applyFont="1">
      <alignment vertical="bottom"/>
    </xf>
    <xf borderId="0" fillId="0" fontId="1" numFmtId="0" xfId="0" applyAlignment="1" applyFont="1">
      <alignment horizontal="center" shrinkToFit="0" vertical="bottom" wrapText="1"/>
    </xf>
    <xf borderId="0" fillId="0" fontId="1" numFmtId="164" xfId="0" applyAlignment="1" applyFont="1" applyNumberFormat="1">
      <alignment horizontal="center" vertical="bottom"/>
    </xf>
    <xf borderId="8" fillId="3" fontId="1" numFmtId="0" xfId="0" applyAlignment="1" applyBorder="1" applyFont="1">
      <alignment horizontal="center" shrinkToFit="0" vertical="center" wrapText="1"/>
    </xf>
    <xf borderId="8" fillId="3" fontId="1" numFmtId="49" xfId="0" applyAlignment="1" applyBorder="1" applyFont="1" applyNumberFormat="1">
      <alignment horizontal="center" shrinkToFit="0" vertical="center" wrapText="1"/>
    </xf>
    <xf borderId="9" fillId="3" fontId="1" numFmtId="164" xfId="0" applyAlignment="1" applyBorder="1" applyFont="1" applyNumberFormat="1">
      <alignment horizontal="center" readingOrder="0" shrinkToFit="0" vertical="bottom" wrapText="1"/>
    </xf>
    <xf borderId="14" fillId="0" fontId="9" numFmtId="49" xfId="0" applyAlignment="1" applyBorder="1" applyFont="1" applyNumberFormat="1">
      <alignment vertical="bottom"/>
    </xf>
    <xf borderId="9" fillId="0" fontId="1" numFmtId="49" xfId="0" applyAlignment="1" applyBorder="1" applyFont="1" applyNumberFormat="1">
      <alignment horizontal="center" shrinkToFit="0" vertical="bottom" wrapText="1"/>
    </xf>
    <xf borderId="9" fillId="0" fontId="1" numFmtId="49" xfId="0" applyAlignment="1" applyBorder="1" applyFont="1" applyNumberFormat="1">
      <alignment horizontal="center" readingOrder="0" shrinkToFit="0" vertical="bottom" wrapText="1"/>
    </xf>
    <xf borderId="0" fillId="3" fontId="9" numFmtId="0" xfId="0" applyAlignment="1" applyFont="1">
      <alignment horizontal="center" readingOrder="0" vertical="bottom"/>
    </xf>
    <xf borderId="0" fillId="0" fontId="9" numFmtId="0" xfId="0" applyAlignment="1" applyFont="1">
      <alignment vertical="bottom"/>
    </xf>
    <xf borderId="14" fillId="3" fontId="1" numFmtId="49" xfId="0" applyAlignment="1" applyBorder="1" applyFont="1" applyNumberFormat="1">
      <alignment horizontal="center" shrinkToFit="0" vertical="bottom" wrapText="1"/>
    </xf>
    <xf borderId="0" fillId="3" fontId="1" numFmtId="0" xfId="0" applyAlignment="1" applyFont="1">
      <alignment horizontal="center" shrinkToFit="0" vertical="bottom" wrapText="1"/>
    </xf>
    <xf borderId="8" fillId="3" fontId="9" numFmtId="49" xfId="0" applyBorder="1" applyFont="1" applyNumberFormat="1"/>
    <xf borderId="8" fillId="3" fontId="1" numFmtId="49" xfId="0" applyAlignment="1" applyBorder="1" applyFont="1" applyNumberFormat="1">
      <alignment horizontal="center"/>
    </xf>
    <xf borderId="8" fillId="3" fontId="1" numFmtId="49" xfId="0" applyAlignment="1" applyBorder="1" applyFont="1" applyNumberFormat="1">
      <alignment horizontal="center" readingOrder="0"/>
    </xf>
    <xf borderId="8" fillId="3" fontId="1" numFmtId="164" xfId="0" applyAlignment="1" applyBorder="1" applyFont="1" applyNumberFormat="1">
      <alignment horizontal="center"/>
    </xf>
    <xf borderId="8" fillId="4" fontId="9" numFmtId="164" xfId="0" applyBorder="1" applyFont="1" applyNumberFormat="1"/>
    <xf borderId="8" fillId="4" fontId="9" numFmtId="0" xfId="0" applyBorder="1" applyFont="1"/>
    <xf borderId="0" fillId="0" fontId="9" numFmtId="164" xfId="0" applyFont="1" applyNumberFormat="1"/>
    <xf borderId="14" fillId="0" fontId="1" numFmtId="49" xfId="0" applyAlignment="1" applyBorder="1" applyFont="1" applyNumberFormat="1">
      <alignment horizontal="center" shrinkToFit="0" wrapText="1"/>
    </xf>
    <xf borderId="14" fillId="3" fontId="1" numFmtId="49" xfId="0" applyAlignment="1" applyBorder="1" applyFont="1" applyNumberFormat="1">
      <alignment horizontal="center" readingOrder="0"/>
    </xf>
    <xf borderId="8" fillId="0" fontId="1" numFmtId="164" xfId="0" applyAlignment="1" applyBorder="1" applyFont="1" applyNumberFormat="1">
      <alignment horizontal="center" shrinkToFit="0" wrapText="1"/>
    </xf>
    <xf borderId="0" fillId="3" fontId="9" numFmtId="10" xfId="0" applyFont="1" applyNumberFormat="1"/>
    <xf borderId="0" fillId="0" fontId="1" numFmtId="164" xfId="0" applyAlignment="1" applyFont="1" applyNumberFormat="1">
      <alignment horizontal="center"/>
    </xf>
    <xf borderId="0" fillId="3" fontId="9" numFmtId="164" xfId="0" applyFont="1" applyNumberFormat="1"/>
    <xf borderId="14" fillId="0" fontId="1" numFmtId="49" xfId="0" applyAlignment="1" applyBorder="1" applyFont="1" applyNumberFormat="1">
      <alignment horizontal="center" readingOrder="0" shrinkToFit="0" wrapText="1"/>
    </xf>
    <xf borderId="8" fillId="5" fontId="1" numFmtId="49" xfId="0" applyAlignment="1" applyBorder="1" applyFont="1" applyNumberFormat="1">
      <alignment horizontal="center" shrinkToFit="0" vertical="center" wrapText="1"/>
    </xf>
    <xf borderId="14" fillId="3" fontId="1" numFmtId="49" xfId="0" applyAlignment="1" applyBorder="1" applyFont="1" applyNumberFormat="1">
      <alignment horizontal="center"/>
    </xf>
    <xf borderId="9" fillId="3" fontId="1" numFmtId="164" xfId="0" applyAlignment="1" applyBorder="1" applyFont="1" applyNumberFormat="1">
      <alignment horizontal="center"/>
    </xf>
    <xf borderId="14" fillId="3" fontId="9" numFmtId="49" xfId="0" applyAlignment="1" applyBorder="1" applyFont="1" applyNumberFormat="1">
      <alignment vertical="bottom"/>
    </xf>
    <xf borderId="8" fillId="3" fontId="9" numFmtId="49" xfId="0" applyAlignment="1" applyBorder="1" applyFont="1" applyNumberFormat="1">
      <alignment vertical="bottom"/>
    </xf>
    <xf borderId="14" fillId="3" fontId="4" numFmtId="49" xfId="0" applyAlignment="1" applyBorder="1" applyFont="1" applyNumberFormat="1">
      <alignment horizontal="center" vertical="bottom"/>
    </xf>
    <xf borderId="8" fillId="0" fontId="4" numFmtId="49" xfId="0" applyAlignment="1" applyBorder="1" applyFont="1" applyNumberFormat="1">
      <alignment horizontal="center" shrinkToFit="0" vertical="center" wrapText="1"/>
    </xf>
    <xf borderId="9" fillId="3" fontId="4" numFmtId="164" xfId="0" applyAlignment="1" applyBorder="1" applyFont="1" applyNumberFormat="1">
      <alignment horizontal="center" shrinkToFit="0" vertical="bottom" wrapText="1"/>
    </xf>
    <xf borderId="0" fillId="0" fontId="9" numFmtId="164" xfId="0" applyAlignment="1" applyFont="1" applyNumberFormat="1">
      <alignment vertical="bottom"/>
    </xf>
    <xf borderId="0" fillId="4" fontId="1" numFmtId="164" xfId="0" applyAlignment="1" applyFont="1" applyNumberFormat="1">
      <alignment horizontal="center" vertical="center"/>
    </xf>
    <xf borderId="0" fillId="4" fontId="1" numFmtId="0" xfId="0" applyAlignment="1" applyFont="1">
      <alignment horizontal="center" vertical="center"/>
    </xf>
    <xf borderId="12" fillId="0" fontId="1" numFmtId="49" xfId="0" applyAlignment="1" applyBorder="1" applyFont="1" applyNumberFormat="1">
      <alignment horizontal="center" readingOrder="0" shrinkToFit="0" vertical="bottom" wrapText="1"/>
    </xf>
    <xf borderId="0" fillId="0" fontId="1" numFmtId="0" xfId="0" applyAlignment="1" applyFont="1">
      <alignment horizontal="center" shrinkToFit="0" wrapText="1"/>
    </xf>
    <xf borderId="0" fillId="0" fontId="1" numFmtId="0" xfId="0" applyAlignment="1" applyFont="1">
      <alignment horizontal="center"/>
    </xf>
    <xf borderId="8" fillId="3" fontId="1" numFmtId="164" xfId="0" applyAlignment="1" applyBorder="1" applyFont="1" applyNumberFormat="1">
      <alignment horizontal="center" shrinkToFit="0" wrapText="1"/>
    </xf>
    <xf borderId="12" fillId="0" fontId="1" numFmtId="164" xfId="0" applyAlignment="1" applyBorder="1" applyFont="1" applyNumberFormat="1">
      <alignment horizontal="center" readingOrder="0" shrinkToFit="0" wrapText="1"/>
    </xf>
    <xf borderId="8" fillId="3" fontId="4" numFmtId="49" xfId="0" applyAlignment="1" applyBorder="1" applyFont="1" applyNumberFormat="1">
      <alignment horizontal="center" vertical="bottom"/>
    </xf>
    <xf borderId="12" fillId="0" fontId="1" numFmtId="49" xfId="0" applyAlignment="1" applyBorder="1" applyFont="1" applyNumberFormat="1">
      <alignment horizontal="center" shrinkToFit="0" vertical="bottom" wrapText="1"/>
    </xf>
    <xf borderId="12" fillId="3" fontId="1" numFmtId="49" xfId="0" applyAlignment="1" applyBorder="1" applyFont="1" applyNumberFormat="1">
      <alignment horizontal="center" shrinkToFit="0" vertical="bottom" wrapText="1"/>
    </xf>
    <xf borderId="14" fillId="3" fontId="1" numFmtId="49" xfId="0" applyAlignment="1" applyBorder="1" applyFont="1" applyNumberFormat="1">
      <alignment horizontal="center" shrinkToFit="0" wrapText="1"/>
    </xf>
    <xf borderId="9" fillId="0" fontId="4" numFmtId="0" xfId="0" applyAlignment="1" applyBorder="1" applyFont="1">
      <alignment horizontal="center" shrinkToFit="0" wrapText="1"/>
    </xf>
    <xf borderId="8" fillId="0" fontId="4" numFmtId="164" xfId="0" applyAlignment="1" applyBorder="1" applyFont="1" applyNumberFormat="1">
      <alignment horizontal="center" shrinkToFit="0" vertical="center" wrapText="1"/>
    </xf>
    <xf borderId="0" fillId="3" fontId="1" numFmtId="0" xfId="0" applyAlignment="1" applyFont="1">
      <alignment horizontal="center" shrinkToFit="0" wrapText="1"/>
    </xf>
    <xf borderId="0" fillId="3" fontId="9" numFmtId="0" xfId="0" applyFont="1"/>
    <xf borderId="0" fillId="0" fontId="1" numFmtId="0" xfId="0" applyAlignment="1" applyFont="1">
      <alignment horizontal="center" shrinkToFit="0" wrapText="1"/>
    </xf>
    <xf borderId="14" fillId="4" fontId="4" numFmtId="49" xfId="0" applyAlignment="1" applyBorder="1" applyFont="1" applyNumberFormat="1">
      <alignment horizontal="center" shrinkToFit="0" vertical="bottom" wrapText="1"/>
    </xf>
    <xf borderId="8" fillId="4" fontId="9" numFmtId="49" xfId="0" applyAlignment="1" applyBorder="1" applyFont="1" applyNumberFormat="1">
      <alignment vertical="bottom"/>
    </xf>
    <xf borderId="8" fillId="4" fontId="9" numFmtId="164" xfId="0" applyAlignment="1" applyBorder="1" applyFont="1" applyNumberFormat="1">
      <alignment vertical="bottom"/>
    </xf>
    <xf borderId="9" fillId="4" fontId="9" numFmtId="49" xfId="0" applyAlignment="1" applyBorder="1" applyFont="1" applyNumberFormat="1">
      <alignment vertical="bottom"/>
    </xf>
    <xf borderId="9" fillId="4" fontId="9" numFmtId="0" xfId="0" applyAlignment="1" applyBorder="1" applyFont="1">
      <alignment vertical="bottom"/>
    </xf>
    <xf borderId="0" fillId="3" fontId="9" numFmtId="164" xfId="0" applyAlignment="1" applyFont="1" applyNumberFormat="1">
      <alignment vertical="bottom"/>
    </xf>
    <xf borderId="0" fillId="4" fontId="9" numFmtId="0" xfId="0" applyAlignment="1" applyFont="1">
      <alignment vertical="bottom"/>
    </xf>
    <xf borderId="9" fillId="0" fontId="1" numFmtId="0" xfId="0" applyAlignment="1" applyBorder="1" applyFont="1">
      <alignment horizontal="center" shrinkToFit="0" vertical="bottom" wrapText="1"/>
    </xf>
    <xf borderId="8" fillId="0" fontId="1" numFmtId="164" xfId="0" applyAlignment="1" applyBorder="1" applyFont="1" applyNumberFormat="1">
      <alignment horizontal="center" shrinkToFit="0" vertical="bottom" wrapText="1"/>
    </xf>
    <xf borderId="9" fillId="0" fontId="1" numFmtId="0" xfId="0" applyAlignment="1" applyBorder="1" applyFont="1">
      <alignment horizontal="center" shrinkToFit="0" vertical="bottom" wrapText="1"/>
    </xf>
    <xf borderId="0" fillId="0" fontId="9" numFmtId="0" xfId="0" applyAlignment="1" applyFont="1">
      <alignment vertical="bottom"/>
    </xf>
    <xf borderId="8" fillId="3" fontId="1" numFmtId="164" xfId="0" applyAlignment="1" applyBorder="1" applyFont="1" applyNumberFormat="1">
      <alignment horizontal="center" shrinkToFit="0" vertical="bottom" wrapText="1"/>
    </xf>
    <xf borderId="14" fillId="0" fontId="1" numFmtId="49" xfId="0" applyAlignment="1" applyBorder="1" applyFont="1" applyNumberFormat="1">
      <alignment horizontal="center" shrinkToFit="0" vertical="bottom" wrapText="1"/>
    </xf>
    <xf borderId="9" fillId="3" fontId="1" numFmtId="0" xfId="0" applyAlignment="1" applyBorder="1" applyFont="1">
      <alignment horizontal="center" shrinkToFit="0" vertical="bottom" wrapText="1"/>
    </xf>
    <xf borderId="14" fillId="0" fontId="1" numFmtId="49" xfId="0" applyAlignment="1" applyBorder="1" applyFont="1" applyNumberFormat="1">
      <alignment horizontal="center" readingOrder="0" shrinkToFit="0" vertical="bottom" wrapText="1"/>
    </xf>
    <xf borderId="9" fillId="0" fontId="1" numFmtId="0" xfId="0" applyAlignment="1" applyBorder="1" applyFont="1">
      <alignment horizontal="center" readingOrder="0" shrinkToFit="0" vertical="bottom" wrapText="1"/>
    </xf>
    <xf borderId="8" fillId="3" fontId="1" numFmtId="49" xfId="0" applyAlignment="1" applyBorder="1" applyFont="1" applyNumberFormat="1">
      <alignment horizontal="center" shrinkToFit="0" wrapText="1"/>
    </xf>
    <xf borderId="8" fillId="0" fontId="1" numFmtId="49" xfId="0" applyAlignment="1" applyBorder="1" applyFont="1" applyNumberFormat="1">
      <alignment horizontal="center" shrinkToFit="0" wrapText="1"/>
    </xf>
    <xf borderId="8" fillId="0" fontId="4" numFmtId="0" xfId="0" applyAlignment="1" applyBorder="1" applyFont="1">
      <alignment horizontal="center" shrinkToFit="0" wrapText="1"/>
    </xf>
    <xf borderId="14" fillId="4" fontId="4" numFmtId="49" xfId="0" applyAlignment="1" applyBorder="1" applyFont="1" applyNumberFormat="1">
      <alignment horizontal="center" shrinkToFit="0" vertical="center" wrapText="1"/>
    </xf>
    <xf borderId="14" fillId="3" fontId="18" numFmtId="49" xfId="0" applyAlignment="1" applyBorder="1" applyFont="1" applyNumberFormat="1">
      <alignment horizontal="center" readingOrder="0" shrinkToFit="0" vertical="center" wrapText="1"/>
    </xf>
    <xf borderId="8" fillId="0" fontId="18" numFmtId="0" xfId="0" applyAlignment="1" applyBorder="1" applyFont="1">
      <alignment horizontal="center" readingOrder="0" shrinkToFit="0" vertical="center" wrapText="1"/>
    </xf>
    <xf borderId="9" fillId="3" fontId="18" numFmtId="0" xfId="0" applyAlignment="1" applyBorder="1" applyFont="1">
      <alignment horizontal="center" shrinkToFit="0" vertical="center" wrapText="1"/>
    </xf>
    <xf borderId="9" fillId="3" fontId="18" numFmtId="0" xfId="0" applyAlignment="1" applyBorder="1" applyFont="1">
      <alignment horizontal="center" readingOrder="0" shrinkToFit="0" vertical="center" wrapText="1"/>
    </xf>
    <xf borderId="9" fillId="3" fontId="18" numFmtId="49" xfId="0" applyAlignment="1" applyBorder="1" applyFont="1" applyNumberFormat="1">
      <alignment horizontal="center" shrinkToFit="0" vertical="center" wrapText="1"/>
    </xf>
    <xf borderId="9" fillId="0" fontId="18" numFmtId="0" xfId="0" applyAlignment="1" applyBorder="1" applyFont="1">
      <alignment horizontal="center" readingOrder="0" shrinkToFit="0" vertical="center" wrapText="1"/>
    </xf>
    <xf borderId="14" fillId="0" fontId="18" numFmtId="49" xfId="0" applyAlignment="1" applyBorder="1" applyFont="1" applyNumberFormat="1">
      <alignment horizontal="center" readingOrder="0" shrinkToFit="0" vertical="center" wrapText="1"/>
    </xf>
    <xf borderId="8" fillId="0" fontId="1" numFmtId="164" xfId="0" applyAlignment="1" applyBorder="1" applyFont="1" applyNumberFormat="1">
      <alignment horizontal="center" shrinkToFit="0" vertical="center" wrapText="1"/>
    </xf>
    <xf borderId="0" fillId="0" fontId="18" numFmtId="0" xfId="0" applyAlignment="1" applyFont="1">
      <alignment horizontal="center" shrinkToFit="0" vertical="center" wrapText="1"/>
    </xf>
    <xf borderId="8" fillId="0" fontId="1" numFmtId="0" xfId="0" applyAlignment="1" applyBorder="1" applyFont="1">
      <alignment horizontal="center" shrinkToFit="0" wrapText="1"/>
    </xf>
    <xf borderId="8" fillId="0" fontId="1" numFmtId="49" xfId="0" applyAlignment="1" applyBorder="1" applyFont="1" applyNumberFormat="1">
      <alignment horizontal="center" readingOrder="0" shrinkToFit="0" wrapText="1"/>
    </xf>
    <xf borderId="14" fillId="0" fontId="18" numFmtId="0" xfId="0" applyAlignment="1" applyBorder="1" applyFont="1">
      <alignment horizontal="center" readingOrder="0" shrinkToFit="0" vertical="center" wrapText="1"/>
    </xf>
    <xf borderId="9" fillId="0" fontId="18" numFmtId="0" xfId="0" applyAlignment="1" applyBorder="1" applyFont="1">
      <alignment horizontal="center" shrinkToFit="0" vertical="center" wrapText="1"/>
    </xf>
    <xf borderId="8" fillId="0" fontId="18" numFmtId="49" xfId="0" applyAlignment="1" applyBorder="1" applyFont="1" applyNumberFormat="1">
      <alignment horizontal="center" readingOrder="0" shrinkToFit="0" vertical="center" wrapText="1"/>
    </xf>
    <xf borderId="9" fillId="3" fontId="18" numFmtId="49" xfId="0" applyAlignment="1" applyBorder="1" applyFont="1" applyNumberFormat="1">
      <alignment horizontal="center" readingOrder="0" shrinkToFit="0" vertical="center" wrapText="1"/>
    </xf>
    <xf borderId="14" fillId="0" fontId="1" numFmtId="0" xfId="0" applyAlignment="1" applyBorder="1" applyFont="1">
      <alignment horizontal="center" shrinkToFit="0" vertical="bottom" wrapText="1"/>
    </xf>
    <xf borderId="14" fillId="4" fontId="4" numFmtId="0" xfId="0" applyAlignment="1" applyBorder="1" applyFont="1">
      <alignment horizontal="center" shrinkToFit="0" vertical="center" wrapText="1"/>
    </xf>
    <xf borderId="8" fillId="4" fontId="4" numFmtId="164" xfId="0" applyAlignment="1" applyBorder="1" applyFont="1" applyNumberFormat="1">
      <alignment horizontal="center" vertical="center"/>
    </xf>
    <xf borderId="9" fillId="4" fontId="1" numFmtId="164" xfId="0" applyAlignment="1" applyBorder="1" applyFont="1" applyNumberFormat="1">
      <alignment horizontal="center" vertical="center"/>
    </xf>
    <xf borderId="0" fillId="3" fontId="6" numFmtId="0" xfId="0" applyFont="1"/>
    <xf borderId="0" fillId="3" fontId="18" numFmtId="0" xfId="0" applyAlignment="1" applyFont="1">
      <alignment horizontal="center" shrinkToFit="0" vertical="center" wrapText="1"/>
    </xf>
    <xf borderId="0" fillId="3" fontId="1" numFmtId="0" xfId="0" applyAlignment="1" applyFont="1">
      <alignment horizontal="center"/>
    </xf>
    <xf borderId="0" fillId="3" fontId="1" numFmtId="164" xfId="0" applyAlignment="1" applyFont="1" applyNumberFormat="1">
      <alignment horizontal="center" shrinkToFit="0" wrapText="1"/>
    </xf>
    <xf borderId="0" fillId="3" fontId="4" numFmtId="0" xfId="0" applyAlignment="1" applyFont="1">
      <alignment horizontal="center" shrinkToFit="0" wrapText="1"/>
    </xf>
    <xf borderId="14" fillId="4" fontId="4" numFmtId="0" xfId="0" applyAlignment="1" applyBorder="1" applyFont="1">
      <alignment horizontal="center" readingOrder="0" shrinkToFit="0" vertical="center" wrapText="1"/>
    </xf>
    <xf borderId="9" fillId="0" fontId="18" numFmtId="49" xfId="0" applyAlignment="1" applyBorder="1" applyFont="1" applyNumberFormat="1">
      <alignment horizontal="center" shrinkToFit="0" vertical="center" wrapText="1"/>
    </xf>
    <xf borderId="0" fillId="0" fontId="18" numFmtId="164" xfId="0" applyAlignment="1" applyFont="1" applyNumberFormat="1">
      <alignment horizontal="center" shrinkToFit="0" vertical="center" wrapText="1"/>
    </xf>
    <xf borderId="14" fillId="0" fontId="1" numFmtId="0" xfId="0" applyAlignment="1" applyBorder="1" applyFont="1">
      <alignment horizontal="center" shrinkToFit="0" wrapText="1"/>
    </xf>
    <xf borderId="0" fillId="0" fontId="9" numFmtId="49" xfId="0" applyFont="1" applyNumberFormat="1"/>
    <xf borderId="9" fillId="3" fontId="1" numFmtId="0" xfId="0" applyAlignment="1" applyBorder="1" applyFont="1">
      <alignment horizontal="center" shrinkToFit="0" wrapText="1"/>
    </xf>
    <xf borderId="8" fillId="0" fontId="1" numFmtId="49" xfId="0" applyAlignment="1" applyBorder="1" applyFont="1" applyNumberFormat="1">
      <alignment horizontal="center" readingOrder="0" shrinkToFit="0" vertical="center" wrapText="1"/>
    </xf>
    <xf borderId="0" fillId="3" fontId="18" numFmtId="49" xfId="0" applyAlignment="1" applyFont="1" applyNumberFormat="1">
      <alignment horizontal="center" readingOrder="0" shrinkToFit="0" vertical="center" wrapText="1"/>
    </xf>
    <xf borderId="14" fillId="0" fontId="1" numFmtId="0" xfId="0" applyAlignment="1" applyBorder="1" applyFont="1">
      <alignment horizontal="center" readingOrder="0" shrinkToFit="0" vertical="bottom" wrapText="1"/>
    </xf>
    <xf borderId="8" fillId="5" fontId="1" numFmtId="0" xfId="0" applyAlignment="1" applyBorder="1" applyFont="1">
      <alignment horizontal="center" shrinkToFit="0" vertical="center" wrapText="1"/>
    </xf>
    <xf borderId="0" fillId="0" fontId="18" numFmtId="49" xfId="0" applyAlignment="1" applyFont="1" applyNumberFormat="1">
      <alignment horizontal="center" readingOrder="0" shrinkToFit="0" vertical="center" wrapText="1"/>
    </xf>
    <xf borderId="0" fillId="0" fontId="18" numFmtId="169" xfId="0" applyAlignment="1" applyFont="1" applyNumberFormat="1">
      <alignment horizontal="center" shrinkToFit="0" vertical="center" wrapText="1"/>
    </xf>
    <xf borderId="0" fillId="0" fontId="1" numFmtId="169" xfId="0" applyAlignment="1" applyFont="1" applyNumberFormat="1">
      <alignment horizontal="center" vertical="center"/>
    </xf>
    <xf borderId="14" fillId="3" fontId="1" numFmtId="49" xfId="0" applyAlignment="1" applyBorder="1" applyFont="1" applyNumberFormat="1">
      <alignment horizontal="center" readingOrder="0" shrinkToFit="0" wrapText="1"/>
    </xf>
    <xf borderId="9" fillId="0" fontId="18" numFmtId="49" xfId="0" applyAlignment="1" applyBorder="1" applyFont="1" applyNumberFormat="1">
      <alignment horizontal="center" readingOrder="0" shrinkToFit="0" vertical="center" wrapText="1"/>
    </xf>
    <xf borderId="8" fillId="3" fontId="1" numFmtId="164" xfId="0" applyAlignment="1" applyBorder="1" applyFont="1" applyNumberFormat="1">
      <alignment horizontal="center" shrinkToFit="0" vertical="center" wrapText="1"/>
    </xf>
    <xf borderId="14" fillId="5" fontId="4" numFmtId="0" xfId="0" applyAlignment="1" applyBorder="1" applyFont="1">
      <alignment horizontal="center" shrinkToFit="0" vertical="center" wrapText="1"/>
    </xf>
    <xf borderId="8" fillId="5" fontId="1" numFmtId="0" xfId="0" applyAlignment="1" applyBorder="1" applyFont="1">
      <alignment horizontal="center" vertical="center"/>
    </xf>
    <xf borderId="8" fillId="5" fontId="1" numFmtId="164" xfId="0" applyAlignment="1" applyBorder="1" applyFont="1" applyNumberFormat="1">
      <alignment horizontal="center" vertical="center"/>
    </xf>
    <xf borderId="9" fillId="5" fontId="1" numFmtId="0" xfId="0" applyAlignment="1" applyBorder="1" applyFont="1">
      <alignment horizontal="center" vertical="center"/>
    </xf>
    <xf borderId="0" fillId="5" fontId="1" numFmtId="164" xfId="0" applyAlignment="1" applyFont="1" applyNumberFormat="1">
      <alignment horizontal="center" vertical="center"/>
    </xf>
    <xf borderId="12" fillId="0" fontId="18" numFmtId="49" xfId="0" applyAlignment="1" applyBorder="1" applyFont="1" applyNumberFormat="1">
      <alignment horizontal="center" readingOrder="0" shrinkToFit="0" vertical="center" wrapText="1"/>
    </xf>
    <xf borderId="12" fillId="0" fontId="18" numFmtId="1" xfId="0" applyAlignment="1" applyBorder="1" applyFont="1" applyNumberFormat="1">
      <alignment horizontal="center" readingOrder="0" shrinkToFit="0" vertical="center" wrapText="1"/>
    </xf>
    <xf borderId="12" fillId="0" fontId="1" numFmtId="1" xfId="0" applyAlignment="1" applyBorder="1" applyFont="1" applyNumberFormat="1">
      <alignment horizontal="center" shrinkToFit="0" wrapText="1"/>
    </xf>
    <xf borderId="0" fillId="0" fontId="9" numFmtId="0" xfId="0" applyFont="1"/>
    <xf borderId="8" fillId="0" fontId="1" numFmtId="0" xfId="0" applyAlignment="1" applyBorder="1" applyFont="1">
      <alignment horizontal="center" shrinkToFit="0" vertical="center" wrapText="1"/>
    </xf>
    <xf borderId="9" fillId="0" fontId="18" numFmtId="164" xfId="0" applyAlignment="1" applyBorder="1" applyFont="1" applyNumberFormat="1">
      <alignment horizontal="center" readingOrder="0" shrinkToFit="0" vertical="center" wrapText="1"/>
    </xf>
    <xf borderId="14" fillId="0" fontId="1" numFmtId="0" xfId="0" applyAlignment="1" applyBorder="1" applyFont="1">
      <alignment horizontal="center" shrinkToFit="0" vertical="center" wrapText="1"/>
    </xf>
    <xf borderId="8" fillId="4" fontId="4" numFmtId="49" xfId="0" applyAlignment="1" applyBorder="1" applyFont="1" applyNumberFormat="1">
      <alignment horizontal="center" shrinkToFit="0" vertical="center" wrapText="1"/>
    </xf>
    <xf borderId="8" fillId="4" fontId="4" numFmtId="164" xfId="0" applyAlignment="1" applyBorder="1" applyFont="1" applyNumberFormat="1">
      <alignment horizontal="center" shrinkToFit="0" vertical="center" wrapText="1"/>
    </xf>
    <xf borderId="0" fillId="0" fontId="4" numFmtId="0" xfId="0" applyAlignment="1" applyFont="1">
      <alignment horizontal="left" shrinkToFit="0" vertical="center" wrapText="1"/>
    </xf>
    <xf borderId="0" fillId="0" fontId="1" numFmtId="0" xfId="0" applyAlignment="1" applyFont="1">
      <alignment horizontal="left" vertical="center"/>
    </xf>
    <xf borderId="0" fillId="0" fontId="1" numFmtId="0" xfId="0" applyAlignment="1" applyFont="1">
      <alignment horizontal="left" shrinkToFit="0" vertical="center" wrapText="0"/>
    </xf>
    <xf borderId="7" fillId="3" fontId="1" numFmtId="0" xfId="0" applyAlignment="1" applyBorder="1" applyFont="1">
      <alignment horizontal="left" readingOrder="0" vertical="center"/>
    </xf>
    <xf borderId="7" fillId="3" fontId="1" numFmtId="0" xfId="0" applyAlignment="1" applyBorder="1" applyFont="1">
      <alignment horizontal="left" vertical="center"/>
    </xf>
    <xf borderId="7" fillId="3" fontId="1" numFmtId="0" xfId="0" applyAlignment="1" applyBorder="1" applyFont="1">
      <alignment horizontal="center" vertical="center"/>
    </xf>
    <xf borderId="7" fillId="3" fontId="1" numFmtId="164" xfId="0" applyAlignment="1" applyBorder="1" applyFont="1" applyNumberFormat="1">
      <alignment horizontal="center" vertical="center"/>
    </xf>
    <xf borderId="7" fillId="3" fontId="1" numFmtId="49" xfId="0" applyAlignment="1" applyBorder="1" applyFont="1" applyNumberFormat="1">
      <alignment horizontal="center" vertical="center"/>
    </xf>
    <xf borderId="9" fillId="4" fontId="19" numFmtId="0" xfId="0" applyAlignment="1" applyBorder="1" applyFont="1">
      <alignment horizontal="center" shrinkToFit="0" vertical="center" wrapText="1"/>
    </xf>
    <xf borderId="12" fillId="4" fontId="9" numFmtId="0" xfId="0" applyAlignment="1" applyBorder="1" applyFont="1">
      <alignment horizontal="center" vertical="center"/>
    </xf>
    <xf borderId="12" fillId="4" fontId="9" numFmtId="164" xfId="0" applyAlignment="1" applyBorder="1" applyFont="1" applyNumberFormat="1">
      <alignment horizontal="center" vertical="center"/>
    </xf>
    <xf borderId="12" fillId="4" fontId="9" numFmtId="49" xfId="0" applyAlignment="1" applyBorder="1" applyFont="1" applyNumberFormat="1">
      <alignment horizontal="center" vertical="center"/>
    </xf>
    <xf borderId="8" fillId="0" fontId="9" numFmtId="0" xfId="0" applyAlignment="1" applyBorder="1" applyFont="1">
      <alignment horizontal="center" vertical="center"/>
    </xf>
    <xf borderId="12" fillId="3" fontId="18" numFmtId="0" xfId="0" applyAlignment="1" applyBorder="1" applyFont="1">
      <alignment horizontal="center" readingOrder="0" shrinkToFit="0" vertical="center" wrapText="1"/>
    </xf>
    <xf borderId="12" fillId="0" fontId="18" numFmtId="0" xfId="0" applyAlignment="1" applyBorder="1" applyFont="1">
      <alignment horizontal="center" readingOrder="0" shrinkToFit="0" vertical="center" wrapText="1"/>
    </xf>
    <xf borderId="14" fillId="0" fontId="9" numFmtId="0" xfId="0" applyAlignment="1" applyBorder="1" applyFont="1">
      <alignment horizontal="center" vertical="center"/>
    </xf>
    <xf borderId="8" fillId="0" fontId="19" numFmtId="49" xfId="0" applyAlignment="1" applyBorder="1" applyFont="1" applyNumberFormat="1">
      <alignment horizontal="center" shrinkToFit="0" vertical="center" wrapText="1"/>
    </xf>
    <xf borderId="8" fillId="0" fontId="19" numFmtId="164" xfId="0" applyAlignment="1" applyBorder="1" applyFont="1" applyNumberFormat="1">
      <alignment horizontal="center" shrinkToFit="0" vertical="center" wrapText="1"/>
    </xf>
    <xf borderId="12" fillId="0" fontId="9" numFmtId="0" xfId="0" applyAlignment="1" applyBorder="1" applyFont="1">
      <alignment horizontal="center" vertical="center"/>
    </xf>
    <xf borderId="12" fillId="0" fontId="18" numFmtId="0" xfId="0" applyAlignment="1" applyBorder="1" applyFont="1">
      <alignment horizontal="center" shrinkToFit="0" vertical="center" wrapText="1"/>
    </xf>
    <xf borderId="12" fillId="5" fontId="18" numFmtId="164" xfId="0" applyAlignment="1" applyBorder="1" applyFont="1" applyNumberFormat="1">
      <alignment horizontal="center" readingOrder="0" shrinkToFit="0" vertical="center" wrapText="1"/>
    </xf>
    <xf borderId="8" fillId="0" fontId="18" numFmtId="164" xfId="0" applyAlignment="1" applyBorder="1" applyFont="1" applyNumberFormat="1">
      <alignment horizontal="center" shrinkToFit="0" vertical="center" wrapText="1"/>
    </xf>
    <xf borderId="9" fillId="0" fontId="1" numFmtId="0" xfId="0" applyAlignment="1" applyBorder="1" applyFont="1">
      <alignment horizontal="center" readingOrder="0"/>
    </xf>
    <xf borderId="9" fillId="0" fontId="1" numFmtId="0" xfId="0" applyAlignment="1" applyBorder="1" applyFont="1">
      <alignment horizontal="center"/>
    </xf>
    <xf borderId="9" fillId="0" fontId="1" numFmtId="164" xfId="0" applyAlignment="1" applyBorder="1" applyFont="1" applyNumberFormat="1">
      <alignment horizontal="center" readingOrder="0"/>
    </xf>
    <xf borderId="9" fillId="0" fontId="1" numFmtId="49" xfId="0" applyAlignment="1" applyBorder="1" applyFont="1" applyNumberFormat="1">
      <alignment horizontal="center" readingOrder="0"/>
    </xf>
    <xf borderId="9" fillId="0" fontId="9" numFmtId="0" xfId="0" applyAlignment="1" applyBorder="1" applyFont="1">
      <alignment readingOrder="0"/>
    </xf>
    <xf borderId="8" fillId="0" fontId="9" numFmtId="0" xfId="0" applyAlignment="1" applyBorder="1" applyFont="1">
      <alignment vertical="bottom"/>
    </xf>
    <xf borderId="12" fillId="3" fontId="1" numFmtId="0" xfId="0" applyAlignment="1" applyBorder="1" applyFont="1">
      <alignment horizontal="center" shrinkToFit="0" vertical="bottom" wrapText="1"/>
    </xf>
    <xf borderId="8" fillId="0" fontId="1" numFmtId="0" xfId="0" applyAlignment="1" applyBorder="1" applyFont="1">
      <alignment horizontal="center" shrinkToFit="0" vertical="bottom" wrapText="1"/>
    </xf>
    <xf borderId="8" fillId="0" fontId="1" numFmtId="0" xfId="0" applyAlignment="1" applyBorder="1" applyFont="1">
      <alignment horizontal="center" shrinkToFit="0" vertical="bottom" wrapText="1"/>
    </xf>
    <xf borderId="8" fillId="0" fontId="9" numFmtId="164" xfId="0" applyAlignment="1" applyBorder="1" applyFont="1" applyNumberFormat="1">
      <alignment vertical="bottom"/>
    </xf>
    <xf borderId="8" fillId="0" fontId="1" numFmtId="1" xfId="0" applyAlignment="1" applyBorder="1" applyFont="1" applyNumberFormat="1">
      <alignment horizontal="center" readingOrder="0" shrinkToFit="0" vertical="bottom" wrapText="1"/>
    </xf>
    <xf borderId="9" fillId="0" fontId="1" numFmtId="164" xfId="0" applyAlignment="1" applyBorder="1" applyFont="1" applyNumberFormat="1">
      <alignment horizontal="center" shrinkToFit="0" vertical="bottom" wrapText="1"/>
    </xf>
    <xf borderId="0" fillId="0" fontId="9" numFmtId="10" xfId="0" applyAlignment="1" applyFont="1" applyNumberFormat="1">
      <alignment vertical="bottom"/>
    </xf>
    <xf borderId="8" fillId="0" fontId="9" numFmtId="0" xfId="0" applyBorder="1" applyFont="1"/>
    <xf borderId="14" fillId="0" fontId="1" numFmtId="0" xfId="0" applyAlignment="1" applyBorder="1" applyFont="1">
      <alignment horizontal="center" readingOrder="0"/>
    </xf>
    <xf borderId="8" fillId="0" fontId="1" numFmtId="0" xfId="0" applyAlignment="1" applyBorder="1" applyFont="1">
      <alignment horizontal="center"/>
    </xf>
    <xf borderId="8" fillId="0" fontId="18" numFmtId="0" xfId="0" applyAlignment="1" applyBorder="1" applyFont="1">
      <alignment horizontal="center" shrinkToFit="0" vertical="center" wrapText="1"/>
    </xf>
    <xf borderId="8" fillId="0" fontId="18" numFmtId="164" xfId="0" applyAlignment="1" applyBorder="1" applyFont="1" applyNumberFormat="1">
      <alignment horizontal="center" readingOrder="0" shrinkToFit="0" vertical="center" wrapText="1"/>
    </xf>
    <xf borderId="8" fillId="3" fontId="1" numFmtId="0" xfId="0" applyAlignment="1" applyBorder="1" applyFont="1">
      <alignment horizontal="center"/>
    </xf>
    <xf borderId="8" fillId="3" fontId="18" numFmtId="164" xfId="0" applyAlignment="1" applyBorder="1" applyFont="1" applyNumberFormat="1">
      <alignment horizontal="center" readingOrder="0" shrinkToFit="0" vertical="center" wrapText="1"/>
    </xf>
    <xf borderId="8" fillId="3" fontId="18" numFmtId="49" xfId="0" applyAlignment="1" applyBorder="1" applyFont="1" applyNumberFormat="1">
      <alignment horizontal="center" readingOrder="0" shrinkToFit="0" vertical="center" wrapText="1"/>
    </xf>
    <xf borderId="8" fillId="3" fontId="18" numFmtId="164" xfId="0" applyAlignment="1" applyBorder="1" applyFont="1" applyNumberFormat="1">
      <alignment horizontal="center" shrinkToFit="0" vertical="center" wrapText="1"/>
    </xf>
    <xf borderId="14" fillId="0" fontId="18" numFmtId="0" xfId="0" applyAlignment="1" applyBorder="1" applyFont="1">
      <alignment horizontal="center" shrinkToFit="0" vertical="center" wrapText="1"/>
    </xf>
    <xf borderId="0" fillId="0" fontId="7" numFmtId="0" xfId="0" applyAlignment="1" applyFont="1">
      <alignment horizontal="center" readingOrder="0" vertical="center"/>
    </xf>
    <xf borderId="12" fillId="0" fontId="18" numFmtId="49" xfId="0" applyAlignment="1" applyBorder="1" applyFont="1" applyNumberFormat="1">
      <alignment horizontal="center" shrinkToFit="0" wrapText="1"/>
    </xf>
    <xf borderId="12" fillId="3" fontId="18" numFmtId="164" xfId="0" applyAlignment="1" applyBorder="1" applyFont="1" applyNumberFormat="1">
      <alignment horizontal="center" readingOrder="0" shrinkToFit="0" vertical="center" wrapText="1"/>
    </xf>
    <xf borderId="0" fillId="0" fontId="1" numFmtId="164" xfId="0" applyAlignment="1" applyFont="1" applyNumberFormat="1">
      <alignment horizontal="center" readingOrder="0" vertical="center"/>
    </xf>
    <xf borderId="0" fillId="0" fontId="1" numFmtId="49" xfId="0" applyAlignment="1" applyFont="1" applyNumberFormat="1">
      <alignment horizontal="center" readingOrder="0" vertical="center"/>
    </xf>
    <xf borderId="0" fillId="0" fontId="4" numFmtId="0" xfId="0" applyAlignment="1" applyFont="1">
      <alignment horizontal="left" readingOrder="0" vertical="center"/>
    </xf>
    <xf borderId="0" fillId="0" fontId="4" numFmtId="0" xfId="0" applyAlignment="1" applyFont="1">
      <alignment horizontal="center" readingOrder="0" vertical="center"/>
    </xf>
    <xf borderId="0" fillId="0" fontId="1" numFmtId="164" xfId="0" applyAlignment="1" applyFont="1" applyNumberFormat="1">
      <alignment horizontal="left" vertical="bottom"/>
    </xf>
    <xf borderId="8" fillId="3" fontId="1" numFmtId="0" xfId="0" applyAlignment="1" applyBorder="1" applyFont="1">
      <alignment horizontal="center" readingOrder="0" shrinkToFit="0" vertical="center" wrapText="1"/>
    </xf>
    <xf borderId="0" fillId="0" fontId="9" numFmtId="0" xfId="0" applyAlignment="1" applyFont="1">
      <alignment horizontal="left" vertical="bottom"/>
    </xf>
    <xf borderId="0" fillId="3" fontId="9" numFmtId="164" xfId="0" applyAlignment="1" applyFont="1" applyNumberFormat="1">
      <alignment horizontal="left"/>
    </xf>
    <xf borderId="9" fillId="3" fontId="1" numFmtId="164" xfId="0" applyAlignment="1" applyBorder="1" applyFont="1" applyNumberFormat="1">
      <alignment horizontal="center" readingOrder="0" shrinkToFit="0" wrapText="1"/>
    </xf>
    <xf borderId="8" fillId="0" fontId="18" numFmtId="49" xfId="0" applyAlignment="1" applyBorder="1" applyFont="1" applyNumberFormat="1">
      <alignment horizontal="center" shrinkToFit="0" wrapText="1"/>
    </xf>
    <xf borderId="0" fillId="0" fontId="1" numFmtId="164" xfId="0" applyAlignment="1" applyFont="1" applyNumberFormat="1">
      <alignment horizontal="center" shrinkToFit="0" wrapText="1"/>
    </xf>
    <xf borderId="8" fillId="3" fontId="1" numFmtId="49" xfId="0" applyAlignment="1" applyBorder="1" applyFont="1" applyNumberFormat="1">
      <alignment horizontal="center" readingOrder="0" shrinkToFit="0" vertical="center" wrapText="1"/>
    </xf>
    <xf borderId="0" fillId="0" fontId="9" numFmtId="0" xfId="0" applyAlignment="1" applyFont="1">
      <alignment horizontal="left"/>
    </xf>
    <xf borderId="0" fillId="0" fontId="9" numFmtId="164" xfId="0" applyAlignment="1" applyFont="1" applyNumberFormat="1">
      <alignment horizontal="left" vertical="bottom"/>
    </xf>
    <xf borderId="0" fillId="0" fontId="1" numFmtId="0" xfId="0" applyAlignment="1" applyFont="1">
      <alignment horizontal="left"/>
    </xf>
    <xf borderId="8" fillId="3" fontId="1" numFmtId="0" xfId="0" applyAlignment="1" applyBorder="1" applyFont="1">
      <alignment horizontal="center" shrinkToFit="0" wrapText="1"/>
    </xf>
    <xf borderId="8" fillId="3" fontId="1" numFmtId="0" xfId="0" applyAlignment="1" applyBorder="1" applyFont="1">
      <alignment horizontal="center" readingOrder="0" shrinkToFit="0" wrapText="1"/>
    </xf>
    <xf borderId="0" fillId="3" fontId="1" numFmtId="0" xfId="0" applyAlignment="1" applyFont="1">
      <alignment horizontal="left" vertical="center"/>
    </xf>
    <xf borderId="0" fillId="3" fontId="9" numFmtId="0" xfId="0" applyAlignment="1" applyFont="1">
      <alignment horizontal="left"/>
    </xf>
    <xf borderId="0" fillId="5" fontId="1" numFmtId="0" xfId="0" applyAlignment="1" applyFont="1">
      <alignment horizontal="left" vertical="center"/>
    </xf>
    <xf borderId="12" fillId="0" fontId="1" numFmtId="1" xfId="0" applyAlignment="1" applyBorder="1" applyFont="1" applyNumberFormat="1">
      <alignment horizontal="center" readingOrder="0" shrinkToFit="0" wrapText="1"/>
    </xf>
    <xf borderId="9" fillId="3" fontId="9" numFmtId="0" xfId="0" applyBorder="1" applyFont="1"/>
    <xf borderId="8" fillId="0" fontId="1" numFmtId="0" xfId="0" applyAlignment="1" applyBorder="1" applyFont="1">
      <alignment horizontal="center" readingOrder="0" shrinkToFit="0" vertical="center" wrapText="1"/>
    </xf>
    <xf borderId="9" fillId="0" fontId="1" numFmtId="4" xfId="0" applyAlignment="1" applyBorder="1" applyFont="1" applyNumberFormat="1">
      <alignment horizontal="center" shrinkToFit="0" vertical="center" wrapText="1"/>
    </xf>
    <xf borderId="9" fillId="0" fontId="6" numFmtId="0" xfId="0" applyAlignment="1" applyBorder="1" applyFont="1">
      <alignment horizontal="center" shrinkToFit="0" wrapText="1"/>
    </xf>
    <xf borderId="9" fillId="3" fontId="1" numFmtId="4" xfId="0" applyAlignment="1" applyBorder="1" applyFont="1" applyNumberFormat="1">
      <alignment horizontal="center" shrinkToFit="0" vertical="center" wrapText="1"/>
    </xf>
    <xf borderId="9" fillId="3" fontId="1" numFmtId="3" xfId="0" applyAlignment="1" applyBorder="1" applyFont="1" applyNumberFormat="1">
      <alignment horizontal="center" readingOrder="0" shrinkToFit="0" vertical="center" wrapText="1"/>
    </xf>
    <xf borderId="9" fillId="3" fontId="1" numFmtId="4" xfId="0" applyAlignment="1" applyBorder="1" applyFont="1" applyNumberFormat="1">
      <alignment horizontal="center" readingOrder="0" shrinkToFit="0" vertical="center" wrapText="1"/>
    </xf>
    <xf borderId="10" fillId="5" fontId="4" numFmtId="0" xfId="0" applyAlignment="1" applyBorder="1" applyFont="1">
      <alignment horizontal="center" readingOrder="0" shrinkToFit="0" vertical="center" wrapText="1"/>
    </xf>
    <xf borderId="9" fillId="2" fontId="4" numFmtId="4" xfId="0" applyAlignment="1" applyBorder="1" applyFont="1" applyNumberFormat="1">
      <alignment horizontal="center" readingOrder="0" shrinkToFit="0" vertical="center" wrapText="1"/>
    </xf>
    <xf borderId="9" fillId="4" fontId="1" numFmtId="4" xfId="0" applyAlignment="1" applyBorder="1" applyFont="1" applyNumberFormat="1">
      <alignment horizontal="center" shrinkToFit="0" vertical="center" wrapText="1"/>
    </xf>
    <xf borderId="9" fillId="3" fontId="9" numFmtId="49" xfId="0" applyAlignment="1" applyBorder="1" applyFont="1" applyNumberFormat="1">
      <alignment horizontal="center" shrinkToFit="0" wrapText="1"/>
    </xf>
    <xf borderId="9" fillId="3" fontId="1" numFmtId="1" xfId="0" applyAlignment="1" applyBorder="1" applyFont="1" applyNumberFormat="1">
      <alignment horizontal="center" shrinkToFit="0" wrapText="1"/>
    </xf>
    <xf borderId="9" fillId="3" fontId="1" numFmtId="4" xfId="0" applyAlignment="1" applyBorder="1" applyFont="1" applyNumberFormat="1">
      <alignment horizontal="center" readingOrder="0" shrinkToFit="0" wrapText="1"/>
    </xf>
    <xf borderId="9" fillId="3" fontId="4" numFmtId="4" xfId="0" applyAlignment="1" applyBorder="1" applyFont="1" applyNumberFormat="1">
      <alignment horizontal="center" readingOrder="0" shrinkToFit="0" wrapText="1"/>
    </xf>
    <xf borderId="9" fillId="3" fontId="4" numFmtId="164" xfId="0" applyAlignment="1" applyBorder="1" applyFont="1" applyNumberFormat="1">
      <alignment horizontal="center" shrinkToFit="0" wrapText="1"/>
    </xf>
    <xf borderId="9" fillId="4" fontId="1" numFmtId="4" xfId="0" applyAlignment="1" applyBorder="1" applyFont="1" applyNumberFormat="1">
      <alignment horizontal="center" readingOrder="0" shrinkToFit="0" wrapText="1"/>
    </xf>
    <xf borderId="9" fillId="0" fontId="1" numFmtId="4" xfId="0" applyAlignment="1" applyBorder="1" applyFont="1" applyNumberFormat="1">
      <alignment horizontal="center" readingOrder="0" shrinkToFit="0" vertical="center" wrapText="1"/>
    </xf>
    <xf borderId="9" fillId="3" fontId="4" numFmtId="4" xfId="0" applyAlignment="1" applyBorder="1" applyFont="1" applyNumberFormat="1">
      <alignment horizontal="center" readingOrder="0" shrinkToFit="0" vertical="center" wrapText="1"/>
    </xf>
    <xf borderId="9" fillId="0" fontId="4" numFmtId="4" xfId="0" applyAlignment="1" applyBorder="1" applyFont="1" applyNumberFormat="1">
      <alignment horizontal="center" readingOrder="0" shrinkToFit="0" vertical="center" wrapText="1"/>
    </xf>
    <xf borderId="9" fillId="0" fontId="6" numFmtId="4" xfId="0" applyAlignment="1" applyBorder="1" applyFont="1" applyNumberFormat="1">
      <alignment horizontal="center" readingOrder="0" shrinkToFit="0" wrapText="1"/>
    </xf>
    <xf borderId="9" fillId="0" fontId="6" numFmtId="4" xfId="0" applyAlignment="1" applyBorder="1" applyFont="1" applyNumberFormat="1">
      <alignment horizontal="center" shrinkToFit="0" wrapText="1"/>
    </xf>
    <xf borderId="9" fillId="0" fontId="6" numFmtId="0" xfId="0" applyAlignment="1" applyBorder="1" applyFont="1">
      <alignment horizontal="center" readingOrder="0" shrinkToFit="0" wrapText="1"/>
    </xf>
    <xf borderId="9" fillId="0" fontId="1" numFmtId="0" xfId="0" applyAlignment="1" applyBorder="1" applyFont="1">
      <alignment horizontal="center" vertical="center"/>
    </xf>
    <xf borderId="9" fillId="0" fontId="1" numFmtId="0" xfId="0" applyAlignment="1" applyBorder="1" applyFont="1">
      <alignment horizontal="center" readingOrder="0" vertical="center"/>
    </xf>
    <xf borderId="9" fillId="0" fontId="1" numFmtId="164" xfId="0" applyAlignment="1" applyBorder="1" applyFont="1" applyNumberFormat="1">
      <alignment horizontal="center" readingOrder="0" vertical="center"/>
    </xf>
    <xf borderId="9" fillId="0" fontId="1" numFmtId="49" xfId="0" applyAlignment="1" applyBorder="1" applyFont="1" applyNumberFormat="1">
      <alignment horizontal="center" readingOrder="0" vertical="center"/>
    </xf>
    <xf borderId="9" fillId="0" fontId="1" numFmtId="164" xfId="0" applyAlignment="1" applyBorder="1" applyFont="1" applyNumberFormat="1">
      <alignment horizontal="center" vertical="center"/>
    </xf>
    <xf borderId="9" fillId="4" fontId="6" numFmtId="4" xfId="0" applyAlignment="1" applyBorder="1" applyFont="1" applyNumberFormat="1">
      <alignment horizontal="center" shrinkToFit="0" wrapText="1"/>
    </xf>
    <xf borderId="9" fillId="4" fontId="6" numFmtId="0" xfId="0" applyAlignment="1" applyBorder="1" applyFont="1">
      <alignment horizontal="center" shrinkToFit="0" wrapText="1"/>
    </xf>
    <xf borderId="9" fillId="0" fontId="6" numFmtId="4" xfId="0" applyAlignment="1" applyBorder="1" applyFont="1" applyNumberFormat="1">
      <alignment horizontal="center"/>
    </xf>
    <xf borderId="9" fillId="0" fontId="6" numFmtId="4" xfId="0" applyAlignment="1" applyBorder="1" applyFont="1" applyNumberFormat="1">
      <alignment horizontal="center" readingOrder="0"/>
    </xf>
    <xf borderId="9" fillId="4" fontId="6" numFmtId="0" xfId="0" applyAlignment="1" applyBorder="1" applyFont="1">
      <alignment horizontal="center"/>
    </xf>
    <xf borderId="9" fillId="4" fontId="6" numFmtId="164" xfId="0" applyAlignment="1" applyBorder="1" applyFont="1" applyNumberFormat="1">
      <alignment horizontal="center"/>
    </xf>
    <xf borderId="9" fillId="5" fontId="4" numFmtId="0" xfId="0" applyAlignment="1" applyBorder="1" applyFont="1">
      <alignment horizontal="center" shrinkToFit="0" vertical="center" wrapText="1"/>
    </xf>
    <xf borderId="9" fillId="0" fontId="4" numFmtId="4" xfId="0" applyAlignment="1" applyBorder="1" applyFont="1" applyNumberFormat="1">
      <alignment horizontal="center" shrinkToFit="0" vertical="center" wrapText="1"/>
    </xf>
    <xf borderId="9" fillId="4" fontId="1" numFmtId="4" xfId="0" applyAlignment="1" applyBorder="1" applyFont="1" applyNumberFormat="1">
      <alignment horizontal="center" readingOrder="0" shrinkToFit="0" vertical="center" wrapText="1"/>
    </xf>
    <xf borderId="0" fillId="0" fontId="6" numFmtId="4" xfId="0" applyAlignment="1" applyFont="1" applyNumberFormat="1">
      <alignment horizontal="center" readingOrder="0"/>
    </xf>
    <xf borderId="0" fillId="0" fontId="6" numFmtId="4" xfId="0" applyFont="1" applyNumberFormat="1"/>
    <xf borderId="9" fillId="4" fontId="4" numFmtId="4" xfId="0" applyAlignment="1" applyBorder="1" applyFont="1" applyNumberFormat="1">
      <alignment horizontal="center" shrinkToFit="0" vertical="center" wrapText="1"/>
    </xf>
    <xf borderId="9" fillId="8" fontId="4" numFmtId="0" xfId="0" applyAlignment="1" applyBorder="1" applyFont="1">
      <alignment horizontal="center" shrinkToFit="0" vertical="center" wrapText="1"/>
    </xf>
    <xf borderId="9" fillId="8" fontId="1" numFmtId="0" xfId="0" applyAlignment="1" applyBorder="1" applyFont="1">
      <alignment horizontal="center" shrinkToFit="0" vertical="center" wrapText="1"/>
    </xf>
    <xf borderId="9" fillId="8" fontId="1" numFmtId="164" xfId="0" applyAlignment="1" applyBorder="1" applyFont="1" applyNumberFormat="1">
      <alignment horizontal="center" shrinkToFit="0" vertical="center" wrapText="1"/>
    </xf>
    <xf borderId="9" fillId="3" fontId="4" numFmtId="4" xfId="0" applyAlignment="1" applyBorder="1" applyFont="1" applyNumberFormat="1">
      <alignment horizontal="center" shrinkToFit="0" vertical="center" wrapText="1"/>
    </xf>
    <xf borderId="9" fillId="3" fontId="4" numFmtId="0" xfId="0" applyAlignment="1" applyBorder="1" applyFont="1">
      <alignment horizontal="center" shrinkToFit="0" vertical="center" wrapText="1"/>
    </xf>
    <xf borderId="9" fillId="0" fontId="4" numFmtId="0" xfId="0" applyAlignment="1" applyBorder="1" applyFont="1">
      <alignment horizontal="center" shrinkToFit="0" vertical="center" wrapText="1"/>
    </xf>
    <xf borderId="13" fillId="0" fontId="1" numFmtId="4" xfId="0" applyAlignment="1" applyBorder="1" applyFont="1" applyNumberFormat="1">
      <alignment horizontal="center" readingOrder="0" shrinkToFit="0" vertical="center" wrapText="1"/>
    </xf>
    <xf borderId="10" fillId="4" fontId="4" numFmtId="0" xfId="0" applyAlignment="1" applyBorder="1" applyFont="1">
      <alignment horizontal="center" vertical="center"/>
    </xf>
    <xf borderId="9" fillId="4" fontId="4" numFmtId="166" xfId="0" applyAlignment="1" applyBorder="1" applyFont="1" applyNumberFormat="1">
      <alignment horizontal="center" vertical="center"/>
    </xf>
    <xf borderId="9" fillId="2" fontId="4" numFmtId="0" xfId="0" applyAlignment="1" applyBorder="1" applyFont="1">
      <alignment horizontal="center" shrinkToFit="0" vertical="center" wrapText="1"/>
    </xf>
    <xf borderId="9" fillId="3" fontId="1" numFmtId="164" xfId="0" applyAlignment="1" applyBorder="1" applyFont="1" applyNumberFormat="1">
      <alignment horizontal="center" vertical="center"/>
    </xf>
    <xf borderId="9" fillId="3" fontId="1" numFmtId="0" xfId="0" applyAlignment="1" applyBorder="1" applyFont="1">
      <alignment horizontal="center" vertical="center"/>
    </xf>
    <xf borderId="0" fillId="3" fontId="1" numFmtId="0" xfId="0" applyAlignment="1" applyFont="1">
      <alignment horizontal="center" vertical="center"/>
    </xf>
    <xf borderId="0" fillId="0" fontId="1" numFmtId="10" xfId="0" applyAlignment="1" applyFont="1" applyNumberFormat="1">
      <alignment horizontal="center" vertical="center"/>
    </xf>
    <xf borderId="9" fillId="0" fontId="1" numFmtId="49" xfId="0" applyAlignment="1" applyBorder="1" applyFont="1" applyNumberFormat="1">
      <alignment horizontal="center" vertical="center"/>
    </xf>
    <xf borderId="9" fillId="3" fontId="1" numFmtId="49" xfId="0" applyAlignment="1" applyBorder="1" applyFont="1" applyNumberFormat="1">
      <alignment horizontal="center" readingOrder="0" vertical="center"/>
    </xf>
    <xf borderId="9" fillId="3" fontId="1" numFmtId="164" xfId="0" applyAlignment="1" applyBorder="1" applyFont="1" applyNumberFormat="1">
      <alignment horizontal="center" readingOrder="0" vertical="center"/>
    </xf>
    <xf borderId="9" fillId="3" fontId="1" numFmtId="0" xfId="0" applyAlignment="1" applyBorder="1" applyFont="1">
      <alignment horizontal="center" readingOrder="0" vertical="center"/>
    </xf>
    <xf borderId="9" fillId="3" fontId="1" numFmtId="49" xfId="0" applyAlignment="1" applyBorder="1" applyFont="1" applyNumberFormat="1">
      <alignment horizontal="center" vertical="center"/>
    </xf>
    <xf borderId="9" fillId="3" fontId="4" numFmtId="49" xfId="0" applyAlignment="1" applyBorder="1" applyFont="1" applyNumberFormat="1">
      <alignment horizontal="center" vertical="center"/>
    </xf>
    <xf borderId="0" fillId="4" fontId="1" numFmtId="0" xfId="0" applyAlignment="1" applyFont="1">
      <alignment horizontal="center" vertical="center"/>
    </xf>
    <xf borderId="0" fillId="0" fontId="1" numFmtId="0" xfId="0" applyAlignment="1" applyFont="1">
      <alignment horizontal="center" vertical="center"/>
    </xf>
    <xf borderId="9" fillId="8" fontId="1" numFmtId="49" xfId="0" applyAlignment="1" applyBorder="1" applyFont="1" applyNumberFormat="1">
      <alignment horizontal="center" readingOrder="0" shrinkToFit="0" vertical="center" wrapText="1"/>
    </xf>
    <xf borderId="9" fillId="12" fontId="1" numFmtId="0" xfId="0" applyAlignment="1" applyBorder="1" applyFill="1" applyFont="1">
      <alignment horizontal="center" readingOrder="0" shrinkToFit="0" vertical="center" wrapText="1"/>
    </xf>
    <xf borderId="9" fillId="4" fontId="4" numFmtId="164" xfId="0" applyAlignment="1" applyBorder="1" applyFont="1" applyNumberFormat="1">
      <alignment horizontal="center" vertical="center"/>
    </xf>
    <xf borderId="0" fillId="3" fontId="1" numFmtId="0" xfId="0" applyAlignment="1" applyFont="1">
      <alignment horizontal="center" shrinkToFit="0" vertical="center" wrapText="1"/>
    </xf>
    <xf borderId="0" fillId="3" fontId="4" numFmtId="0" xfId="0" applyAlignment="1" applyFont="1">
      <alignment horizontal="center" shrinkToFit="0" vertical="center" wrapText="1"/>
    </xf>
    <xf borderId="0" fillId="3" fontId="1" numFmtId="49" xfId="0" applyAlignment="1" applyFont="1" applyNumberFormat="1">
      <alignment horizontal="center" readingOrder="0" shrinkToFit="0" vertical="center" wrapText="1"/>
    </xf>
    <xf borderId="9" fillId="8" fontId="1" numFmtId="49" xfId="0" applyAlignment="1" applyBorder="1" applyFont="1" applyNumberFormat="1">
      <alignment horizontal="center" shrinkToFit="0" vertical="center" wrapText="1"/>
    </xf>
    <xf borderId="9" fillId="8" fontId="1" numFmtId="0" xfId="0" applyAlignment="1" applyBorder="1" applyFont="1">
      <alignment horizontal="center" readingOrder="0" shrinkToFit="0" vertical="center" wrapText="1"/>
    </xf>
    <xf borderId="9" fillId="8" fontId="1" numFmtId="0" xfId="0" applyAlignment="1" applyBorder="1" applyFont="1">
      <alignment horizontal="center" shrinkToFit="0" vertical="center" wrapText="1"/>
    </xf>
    <xf borderId="9" fillId="8" fontId="1" numFmtId="164" xfId="0" applyAlignment="1" applyBorder="1" applyFont="1" applyNumberFormat="1">
      <alignment horizontal="center" readingOrder="0" shrinkToFit="0" vertical="center" wrapText="1"/>
    </xf>
    <xf borderId="9" fillId="8" fontId="1" numFmtId="0" xfId="0" applyAlignment="1" applyBorder="1" applyFont="1">
      <alignment horizontal="center" readingOrder="0" vertical="center"/>
    </xf>
    <xf borderId="0" fillId="8" fontId="1" numFmtId="164" xfId="0" applyAlignment="1" applyFont="1" applyNumberFormat="1">
      <alignment horizontal="center" vertical="center"/>
    </xf>
    <xf borderId="0" fillId="8" fontId="1" numFmtId="0" xfId="0" applyAlignment="1" applyFont="1">
      <alignment horizontal="center" vertical="center"/>
    </xf>
    <xf borderId="0" fillId="0" fontId="1" numFmtId="169" xfId="0" applyAlignment="1" applyFont="1" applyNumberFormat="1">
      <alignment horizontal="center" shrinkToFit="0" vertical="center" wrapText="1"/>
    </xf>
    <xf borderId="9" fillId="5" fontId="1" numFmtId="164" xfId="0" applyAlignment="1" applyBorder="1" applyFont="1" applyNumberFormat="1">
      <alignment horizontal="center" vertical="center"/>
    </xf>
    <xf borderId="9" fillId="0" fontId="1" numFmtId="1" xfId="0" applyAlignment="1" applyBorder="1" applyFont="1" applyNumberFormat="1">
      <alignment horizontal="center" shrinkToFit="0" vertical="center" wrapText="1"/>
    </xf>
    <xf borderId="9" fillId="3" fontId="1" numFmtId="0" xfId="0" applyAlignment="1" applyBorder="1" applyFont="1">
      <alignment horizontal="center" vertical="center"/>
    </xf>
    <xf borderId="9" fillId="8" fontId="1" numFmtId="0" xfId="0" applyAlignment="1" applyBorder="1" applyFont="1">
      <alignment horizontal="center" vertical="center"/>
    </xf>
    <xf borderId="9" fillId="8" fontId="1" numFmtId="164" xfId="0" applyAlignment="1" applyBorder="1" applyFont="1" applyNumberFormat="1">
      <alignment horizontal="center" vertical="center"/>
    </xf>
    <xf borderId="0" fillId="3" fontId="1" numFmtId="1" xfId="0" applyAlignment="1" applyFont="1" applyNumberFormat="1">
      <alignment horizontal="center" vertical="center"/>
    </xf>
    <xf borderId="8" fillId="2" fontId="4" numFmtId="49" xfId="0" applyAlignment="1" applyBorder="1" applyFont="1" applyNumberFormat="1">
      <alignment horizontal="center" readingOrder="0" shrinkToFit="0" vertical="center" wrapText="1"/>
    </xf>
    <xf borderId="0" fillId="3" fontId="4" numFmtId="0" xfId="0" applyAlignment="1" applyFont="1">
      <alignment horizontal="center" shrinkToFit="0" vertical="center" wrapText="1"/>
    </xf>
    <xf borderId="0" fillId="3" fontId="4" numFmtId="49" xfId="0" applyAlignment="1" applyFont="1" applyNumberFormat="1">
      <alignment horizontal="center" readingOrder="0" shrinkToFit="0" vertical="center" wrapText="1"/>
    </xf>
    <xf borderId="9" fillId="4" fontId="4" numFmtId="0" xfId="0" applyAlignment="1" applyBorder="1" applyFont="1">
      <alignment horizontal="center" vertical="center"/>
    </xf>
    <xf borderId="9" fillId="4" fontId="1" numFmtId="1" xfId="0" applyAlignment="1" applyBorder="1" applyFont="1" applyNumberFormat="1">
      <alignment horizontal="center" vertical="center"/>
    </xf>
    <xf borderId="14" fillId="3" fontId="1" numFmtId="49" xfId="0" applyAlignment="1" applyBorder="1" applyFont="1" applyNumberFormat="1">
      <alignment horizontal="center" readingOrder="0" shrinkToFit="0" vertical="center" wrapText="1"/>
    </xf>
    <xf borderId="14" fillId="0" fontId="1" numFmtId="0" xfId="0" applyAlignment="1" applyBorder="1" applyFont="1">
      <alignment horizontal="center" readingOrder="0" shrinkToFit="0" vertical="center" wrapText="1"/>
    </xf>
    <xf borderId="0" fillId="3" fontId="1" numFmtId="49" xfId="0" applyAlignment="1" applyFont="1" applyNumberFormat="1">
      <alignment horizontal="center" readingOrder="0" vertical="center"/>
    </xf>
    <xf borderId="14" fillId="3" fontId="1" numFmtId="164" xfId="0" applyAlignment="1" applyBorder="1" applyFont="1" applyNumberFormat="1">
      <alignment horizontal="center" vertical="center"/>
    </xf>
    <xf borderId="9" fillId="4" fontId="4" numFmtId="0" xfId="0" applyAlignment="1" applyBorder="1" applyFont="1">
      <alignment horizontal="center" readingOrder="0" vertical="center"/>
    </xf>
    <xf borderId="14" fillId="0" fontId="1" numFmtId="0" xfId="0" applyAlignment="1" applyBorder="1" applyFont="1">
      <alignment horizontal="center" readingOrder="0" vertical="center"/>
    </xf>
    <xf borderId="8" fillId="0" fontId="1" numFmtId="0" xfId="0" applyAlignment="1" applyBorder="1" applyFont="1">
      <alignment horizontal="center" vertical="center"/>
    </xf>
    <xf borderId="9" fillId="0" fontId="4" numFmtId="164" xfId="0" applyAlignment="1" applyBorder="1" applyFont="1" applyNumberFormat="1">
      <alignment horizontal="center" vertical="center"/>
    </xf>
    <xf borderId="0" fillId="0" fontId="1" numFmtId="0" xfId="0" applyAlignment="1" applyFont="1">
      <alignment horizontal="center" shrinkToFit="0" vertical="center" wrapText="0"/>
    </xf>
    <xf borderId="7" fillId="3" fontId="1" numFmtId="0" xfId="0" applyAlignment="1" applyBorder="1" applyFont="1">
      <alignment horizontal="center" readingOrder="0" vertical="center"/>
    </xf>
    <xf borderId="12" fillId="4" fontId="1" numFmtId="0" xfId="0" applyAlignment="1" applyBorder="1" applyFont="1">
      <alignment horizontal="center" vertical="center"/>
    </xf>
    <xf borderId="12" fillId="4" fontId="1" numFmtId="164" xfId="0" applyAlignment="1" applyBorder="1" applyFont="1" applyNumberFormat="1">
      <alignment horizontal="center" vertical="center"/>
    </xf>
    <xf borderId="12" fillId="4" fontId="1" numFmtId="49" xfId="0" applyAlignment="1" applyBorder="1" applyFont="1" applyNumberFormat="1">
      <alignment horizontal="center" vertical="center"/>
    </xf>
    <xf borderId="12" fillId="3" fontId="1" numFmtId="0" xfId="0" applyAlignment="1" applyBorder="1" applyFont="1">
      <alignment horizontal="center" readingOrder="0" shrinkToFit="0" vertical="center" wrapText="1"/>
    </xf>
    <xf borderId="12" fillId="0" fontId="1" numFmtId="0" xfId="0" applyAlignment="1" applyBorder="1" applyFont="1">
      <alignment horizontal="center" readingOrder="0" shrinkToFit="0" vertical="center" wrapText="1"/>
    </xf>
    <xf borderId="12" fillId="0" fontId="1" numFmtId="49" xfId="0" applyAlignment="1" applyBorder="1" applyFont="1" applyNumberFormat="1">
      <alignment horizontal="center" readingOrder="0" shrinkToFit="0" vertical="center" wrapText="1"/>
    </xf>
    <xf borderId="12" fillId="0" fontId="1" numFmtId="49" xfId="0" applyAlignment="1" applyBorder="1" applyFont="1" applyNumberFormat="1">
      <alignment horizontal="center" shrinkToFit="0" vertical="center" wrapText="1"/>
    </xf>
    <xf borderId="14" fillId="0" fontId="1" numFmtId="0" xfId="0" applyAlignment="1" applyBorder="1" applyFont="1">
      <alignment horizontal="center" vertical="center"/>
    </xf>
    <xf borderId="12" fillId="0" fontId="1" numFmtId="0" xfId="0" applyAlignment="1" applyBorder="1" applyFont="1">
      <alignment horizontal="center" vertical="center"/>
    </xf>
    <xf borderId="12" fillId="5" fontId="1" numFmtId="164" xfId="0" applyAlignment="1" applyBorder="1" applyFont="1" applyNumberFormat="1">
      <alignment horizontal="center" readingOrder="0" shrinkToFit="0" vertical="center" wrapText="1"/>
    </xf>
    <xf borderId="12" fillId="3"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8" fillId="0" fontId="1" numFmtId="164" xfId="0" applyAlignment="1" applyBorder="1" applyFont="1" applyNumberFormat="1">
      <alignment horizontal="center" readingOrder="0" vertical="center"/>
    </xf>
    <xf borderId="8" fillId="0" fontId="1" numFmtId="1" xfId="0" applyAlignment="1" applyBorder="1" applyFont="1" applyNumberFormat="1">
      <alignment horizontal="center" readingOrder="0" shrinkToFit="0" vertical="center" wrapText="1"/>
    </xf>
    <xf borderId="8" fillId="0" fontId="1" numFmtId="1" xfId="0" applyAlignment="1" applyBorder="1" applyFont="1" applyNumberFormat="1">
      <alignment horizontal="center" shrinkToFit="0" vertical="center" wrapText="1"/>
    </xf>
    <xf borderId="8" fillId="0" fontId="1" numFmtId="164" xfId="0" applyAlignment="1" applyBorder="1" applyFont="1" applyNumberFormat="1">
      <alignment horizontal="center" readingOrder="0" shrinkToFit="0" vertical="center" wrapText="1"/>
    </xf>
    <xf borderId="8" fillId="0" fontId="1" numFmtId="49" xfId="0" applyAlignment="1" applyBorder="1" applyFont="1" applyNumberFormat="1">
      <alignment horizontal="center" shrinkToFit="0" vertical="center" wrapText="1"/>
    </xf>
    <xf borderId="8" fillId="3" fontId="1" numFmtId="0" xfId="0" applyAlignment="1" applyBorder="1" applyFont="1">
      <alignment horizontal="center" vertical="center"/>
    </xf>
    <xf borderId="8" fillId="0" fontId="1" numFmtId="0" xfId="0" applyAlignment="1" applyBorder="1" applyFont="1">
      <alignment horizontal="center" readingOrder="0" vertical="center"/>
    </xf>
    <xf borderId="8" fillId="3" fontId="1" numFmtId="164" xfId="0" applyAlignment="1" applyBorder="1" applyFont="1" applyNumberFormat="1">
      <alignment horizontal="center" readingOrder="0" shrinkToFit="0" vertical="center" wrapText="1"/>
    </xf>
    <xf borderId="5" fillId="0" fontId="1" numFmtId="164" xfId="0" applyAlignment="1" applyBorder="1" applyFont="1" applyNumberFormat="1">
      <alignment horizontal="center" readingOrder="0" shrinkToFit="0" vertical="center" wrapText="1"/>
    </xf>
    <xf borderId="9" fillId="3" fontId="9" numFmtId="49" xfId="0" applyAlignment="1" applyBorder="1" applyFont="1" applyNumberFormat="1">
      <alignment horizontal="center" readingOrder="0"/>
    </xf>
    <xf borderId="9" fillId="3" fontId="9" numFmtId="164" xfId="0" applyBorder="1" applyFont="1" applyNumberFormat="1"/>
    <xf borderId="9" fillId="4" fontId="13" numFmtId="0" xfId="0" applyAlignment="1" applyBorder="1" applyFont="1">
      <alignment readingOrder="0"/>
    </xf>
    <xf borderId="9" fillId="4" fontId="6" numFmtId="0" xfId="0" applyBorder="1" applyFont="1"/>
    <xf borderId="9" fillId="0" fontId="6" numFmtId="0" xfId="0" applyAlignment="1" applyBorder="1" applyFont="1">
      <alignment readingOrder="0" shrinkToFit="0" wrapText="1"/>
    </xf>
    <xf borderId="0" fillId="0" fontId="13" numFmtId="0" xfId="0" applyAlignment="1" applyFont="1">
      <alignment readingOrder="0"/>
    </xf>
    <xf borderId="34" fillId="13" fontId="20" numFmtId="0" xfId="0" applyAlignment="1" applyBorder="1" applyFill="1" applyFont="1">
      <alignment readingOrder="0"/>
    </xf>
    <xf borderId="34" fillId="11" fontId="6" numFmtId="0" xfId="0" applyAlignment="1" applyBorder="1" applyFont="1">
      <alignment readingOrder="0"/>
    </xf>
    <xf borderId="34" fillId="11" fontId="6" numFmtId="170" xfId="0" applyAlignment="1" applyBorder="1" applyFont="1" applyNumberFormat="1">
      <alignment readingOrder="0"/>
    </xf>
    <xf borderId="34" fillId="11" fontId="6" numFmtId="10" xfId="0" applyBorder="1" applyFont="1" applyNumberFormat="1"/>
    <xf borderId="34" fillId="0" fontId="6" numFmtId="0" xfId="0" applyAlignment="1" applyBorder="1" applyFont="1">
      <alignment readingOrder="0"/>
    </xf>
    <xf borderId="34" fillId="0" fontId="6" numFmtId="170" xfId="0" applyAlignment="1" applyBorder="1" applyFont="1" applyNumberFormat="1">
      <alignment readingOrder="0"/>
    </xf>
    <xf borderId="34" fillId="0" fontId="6" numFmtId="10" xfId="0" applyBorder="1" applyFont="1" applyNumberFormat="1"/>
    <xf borderId="34" fillId="0" fontId="6" numFmtId="0" xfId="0" applyBorder="1" applyFont="1"/>
    <xf borderId="34" fillId="0" fontId="13" numFmtId="0" xfId="0" applyBorder="1" applyFont="1"/>
    <xf borderId="34" fillId="0" fontId="13" numFmtId="10" xfId="0" applyBorder="1" applyFont="1" applyNumberFormat="1"/>
    <xf borderId="0" fillId="0" fontId="6" numFmtId="171" xfId="0" applyAlignment="1" applyFont="1" applyNumberFormat="1">
      <alignment horizontal="left" readingOrder="0"/>
    </xf>
    <xf borderId="0" fillId="0" fontId="21" numFmtId="0" xfId="0" applyFont="1"/>
    <xf borderId="0" fillId="0" fontId="21" numFmtId="0" xfId="0" applyAlignment="1" applyFont="1">
      <alignment readingOrder="0"/>
    </xf>
    <xf borderId="8" fillId="3" fontId="1" numFmtId="164" xfId="0" applyAlignment="1" applyBorder="1" applyFont="1" applyNumberFormat="1">
      <alignment horizontal="center" readingOrder="0"/>
    </xf>
    <xf borderId="9" fillId="0" fontId="9" numFmtId="49" xfId="0" applyAlignment="1" applyBorder="1" applyFont="1" applyNumberFormat="1">
      <alignment vertical="bottom"/>
    </xf>
    <xf borderId="8" fillId="3" fontId="18" numFmtId="0" xfId="0" applyAlignment="1" applyBorder="1" applyFont="1">
      <alignment horizontal="center" shrinkToFit="0" vertical="center" wrapText="1"/>
    </xf>
    <xf borderId="14" fillId="8" fontId="18" numFmtId="49" xfId="0" applyAlignment="1" applyBorder="1" applyFont="1" applyNumberFormat="1">
      <alignment horizontal="center" readingOrder="0" shrinkToFit="0" vertical="center" wrapText="1"/>
    </xf>
    <xf borderId="14" fillId="8" fontId="18" numFmtId="0" xfId="0" applyAlignment="1" applyBorder="1" applyFont="1">
      <alignment horizontal="center" readingOrder="0" shrinkToFit="0" vertical="center" wrapText="1"/>
    </xf>
    <xf borderId="9" fillId="8" fontId="18" numFmtId="0" xfId="0" applyAlignment="1" applyBorder="1" applyFont="1">
      <alignment horizontal="center" shrinkToFit="0" vertical="center" wrapText="1"/>
    </xf>
    <xf borderId="8" fillId="8" fontId="1" numFmtId="0" xfId="0" applyAlignment="1" applyBorder="1" applyFont="1">
      <alignment horizontal="center" shrinkToFit="0" wrapText="1"/>
    </xf>
    <xf borderId="9" fillId="8" fontId="18" numFmtId="0" xfId="0" applyAlignment="1" applyBorder="1" applyFont="1">
      <alignment horizontal="center" readingOrder="0" shrinkToFit="0" vertical="center" wrapText="1"/>
    </xf>
    <xf borderId="9" fillId="8" fontId="18" numFmtId="49" xfId="0" applyAlignment="1" applyBorder="1" applyFont="1" applyNumberFormat="1">
      <alignment horizontal="center" readingOrder="0" shrinkToFit="0" vertical="center" wrapText="1"/>
    </xf>
    <xf borderId="8" fillId="8" fontId="1" numFmtId="164" xfId="0" applyAlignment="1" applyBorder="1" applyFont="1" applyNumberFormat="1">
      <alignment horizontal="center" shrinkToFit="0" vertical="center" wrapText="1"/>
    </xf>
    <xf borderId="9" fillId="8" fontId="1" numFmtId="0" xfId="0" applyAlignment="1" applyBorder="1" applyFont="1">
      <alignment horizontal="center" shrinkToFit="0" wrapText="1"/>
    </xf>
    <xf borderId="9" fillId="8" fontId="1" numFmtId="0" xfId="0" applyAlignment="1" applyBorder="1" applyFont="1">
      <alignment horizontal="center" readingOrder="0" shrinkToFit="0" wrapText="1"/>
    </xf>
    <xf borderId="8" fillId="8" fontId="1" numFmtId="49" xfId="0" applyAlignment="1" applyBorder="1" applyFont="1" applyNumberFormat="1">
      <alignment horizontal="center" readingOrder="0" shrinkToFit="0" vertical="center" wrapText="1"/>
    </xf>
    <xf borderId="8" fillId="0" fontId="18" numFmtId="0" xfId="0" applyAlignment="1" applyBorder="1" applyFont="1">
      <alignment horizontal="center" shrinkToFit="0" vertical="center" wrapText="1"/>
    </xf>
    <xf borderId="9" fillId="0" fontId="1" numFmtId="49" xfId="0" applyAlignment="1" applyBorder="1" applyFont="1" applyNumberFormat="1">
      <alignment horizontal="center"/>
    </xf>
    <xf borderId="9" fillId="0" fontId="1" numFmtId="164" xfId="0" applyAlignment="1" applyBorder="1" applyFont="1" applyNumberFormat="1">
      <alignment horizontal="center"/>
    </xf>
    <xf borderId="8" fillId="8" fontId="9" numFmtId="0" xfId="0" applyBorder="1" applyFont="1"/>
    <xf borderId="14" fillId="8" fontId="1" numFmtId="0" xfId="0" applyAlignment="1" applyBorder="1" applyFont="1">
      <alignment horizontal="center" readingOrder="0"/>
    </xf>
    <xf borderId="8" fillId="8" fontId="1" numFmtId="0" xfId="0" applyAlignment="1" applyBorder="1" applyFont="1">
      <alignment horizontal="center"/>
    </xf>
    <xf borderId="8" fillId="8" fontId="18" numFmtId="0" xfId="0" applyAlignment="1" applyBorder="1" applyFont="1">
      <alignment horizontal="center" shrinkToFit="0" vertical="center" wrapText="1"/>
    </xf>
    <xf borderId="8" fillId="8" fontId="18" numFmtId="164" xfId="0" applyAlignment="1" applyBorder="1" applyFont="1" applyNumberFormat="1">
      <alignment horizontal="center" readingOrder="0" shrinkToFit="0" vertical="center" wrapText="1"/>
    </xf>
    <xf borderId="8" fillId="8" fontId="18" numFmtId="49" xfId="0" applyAlignment="1" applyBorder="1" applyFont="1" applyNumberFormat="1">
      <alignment horizontal="center" readingOrder="0" shrinkToFit="0" vertical="center" wrapText="1"/>
    </xf>
    <xf borderId="8" fillId="8" fontId="18" numFmtId="164" xfId="0" applyAlignment="1" applyBorder="1" applyFont="1" applyNumberFormat="1">
      <alignment horizontal="center" shrinkToFit="0" vertical="center" wrapText="1"/>
    </xf>
    <xf borderId="8" fillId="8" fontId="1" numFmtId="0" xfId="0" applyAlignment="1" applyBorder="1" applyFont="1">
      <alignment horizontal="center" readingOrder="0"/>
    </xf>
    <xf borderId="9" fillId="8" fontId="1" numFmtId="0" xfId="0" applyAlignment="1" applyBorder="1" applyFont="1">
      <alignment horizontal="center" readingOrder="0"/>
    </xf>
    <xf borderId="8" fillId="8" fontId="9" numFmtId="0" xfId="0" applyAlignment="1" applyBorder="1" applyFont="1">
      <alignment readingOrder="0"/>
    </xf>
    <xf borderId="8" fillId="0" fontId="1" numFmtId="0" xfId="0" applyAlignment="1" applyBorder="1" applyFont="1">
      <alignment horizontal="center" readingOrder="0"/>
    </xf>
    <xf borderId="8" fillId="8" fontId="9" numFmtId="0" xfId="0" applyAlignment="1" applyBorder="1" applyFont="1">
      <alignment horizontal="center" vertical="center"/>
    </xf>
    <xf borderId="8" fillId="8" fontId="1" numFmtId="0" xfId="0" applyAlignment="1" applyBorder="1" applyFont="1">
      <alignment horizontal="center" readingOrder="0" shrinkToFit="0" vertical="center" wrapText="1"/>
    </xf>
    <xf borderId="0" fillId="8" fontId="1" numFmtId="0" xfId="0" applyAlignment="1" applyFont="1">
      <alignment horizontal="center" readingOrder="0" vertical="center"/>
    </xf>
    <xf borderId="7" fillId="14" fontId="4" numFmtId="0" xfId="0" applyAlignment="1" applyBorder="1" applyFill="1" applyFont="1">
      <alignment horizontal="center" readingOrder="0" shrinkToFit="0" vertical="center" wrapText="1"/>
    </xf>
    <xf borderId="7" fillId="14" fontId="4" numFmtId="0" xfId="0" applyAlignment="1" applyBorder="1" applyFont="1">
      <alignment horizontal="center" shrinkToFit="0" vertical="center" wrapText="1"/>
    </xf>
    <xf borderId="9" fillId="14" fontId="4" numFmtId="0" xfId="0" applyAlignment="1" applyBorder="1" applyFont="1">
      <alignment horizontal="center" readingOrder="0" shrinkToFit="0" vertical="center" wrapText="1"/>
    </xf>
    <xf borderId="9" fillId="14" fontId="22" numFmtId="0" xfId="0" applyAlignment="1" applyBorder="1" applyFont="1">
      <alignment horizontal="center" readingOrder="0" shrinkToFit="0" vertical="center" wrapText="1"/>
    </xf>
    <xf borderId="14" fillId="14" fontId="4" numFmtId="0" xfId="0" applyAlignment="1" applyBorder="1" applyFont="1">
      <alignment horizontal="center" shrinkToFit="0" vertical="center" wrapText="1"/>
    </xf>
    <xf borderId="8" fillId="14" fontId="4" numFmtId="0" xfId="0" applyAlignment="1" applyBorder="1" applyFont="1">
      <alignment horizontal="center" shrinkToFit="0" vertical="center" wrapText="1"/>
    </xf>
    <xf borderId="14" fillId="3" fontId="1" numFmtId="0" xfId="0" applyAlignment="1" applyBorder="1" applyFont="1">
      <alignment horizontal="center" shrinkToFit="0" vertical="center" wrapText="1"/>
    </xf>
    <xf borderId="9" fillId="3" fontId="23" numFmtId="0" xfId="0" applyAlignment="1" applyBorder="1" applyFont="1">
      <alignment horizontal="center" shrinkToFit="0" vertical="center" wrapText="1"/>
    </xf>
    <xf borderId="9" fillId="0" fontId="24" numFmtId="0" xfId="0" applyAlignment="1" applyBorder="1" applyFont="1">
      <alignment horizontal="center" vertical="bottom"/>
    </xf>
    <xf borderId="12" fillId="0" fontId="18" numFmtId="0" xfId="0" applyAlignment="1" applyBorder="1" applyFont="1">
      <alignment horizontal="center" shrinkToFit="0" wrapText="1"/>
    </xf>
    <xf borderId="8" fillId="3" fontId="10" numFmtId="49" xfId="0" applyAlignment="1" applyBorder="1" applyFont="1" applyNumberFormat="1">
      <alignment horizontal="center" shrinkToFit="0" vertical="center" wrapText="1"/>
    </xf>
    <xf borderId="9" fillId="3" fontId="18" numFmtId="0" xfId="0" applyAlignment="1" applyBorder="1" applyFont="1">
      <alignment horizontal="center" shrinkToFit="0" vertical="center" wrapText="1"/>
    </xf>
    <xf borderId="14" fillId="0" fontId="24" numFmtId="0" xfId="0" applyAlignment="1" applyBorder="1" applyFont="1">
      <alignment horizontal="center" vertical="bottom"/>
    </xf>
    <xf borderId="8" fillId="0" fontId="18" numFmtId="0" xfId="0" applyAlignment="1" applyBorder="1" applyFont="1">
      <alignment horizontal="center" shrinkToFit="0" wrapText="1"/>
    </xf>
    <xf borderId="14" fillId="8" fontId="1" numFmtId="0" xfId="0" applyAlignment="1" applyBorder="1" applyFont="1">
      <alignment horizontal="center" shrinkToFit="0" vertical="center" wrapText="1"/>
    </xf>
    <xf borderId="8" fillId="8" fontId="1" numFmtId="0" xfId="0" applyAlignment="1" applyBorder="1" applyFont="1">
      <alignment horizontal="center" shrinkToFit="0" vertical="center" wrapText="1"/>
    </xf>
    <xf borderId="8" fillId="8" fontId="1" numFmtId="49" xfId="0" applyAlignment="1" applyBorder="1" applyFont="1" applyNumberFormat="1">
      <alignment horizontal="center" shrinkToFit="0" vertical="center" wrapText="1"/>
    </xf>
    <xf borderId="14" fillId="0" fontId="24" numFmtId="0" xfId="0" applyAlignment="1" applyBorder="1" applyFont="1">
      <alignment horizontal="center" vertical="bottom"/>
    </xf>
    <xf borderId="8" fillId="0" fontId="18" numFmtId="0" xfId="0" applyAlignment="1" applyBorder="1" applyFont="1">
      <alignment horizontal="center" shrinkToFit="0" wrapText="1"/>
    </xf>
    <xf borderId="9" fillId="8" fontId="18" numFmtId="0" xfId="0" applyAlignment="1" applyBorder="1" applyFont="1">
      <alignment horizontal="center" shrinkToFit="0" vertical="center" wrapText="1"/>
    </xf>
    <xf borderId="8" fillId="8" fontId="10" numFmtId="49" xfId="0" applyAlignment="1" applyBorder="1" applyFont="1" applyNumberFormat="1">
      <alignment horizontal="center" shrinkToFit="0" vertical="center" wrapText="1"/>
    </xf>
    <xf borderId="14" fillId="0" fontId="24" numFmtId="0" xfId="0" applyAlignment="1" applyBorder="1" applyFont="1">
      <alignment horizontal="center" readingOrder="0" vertical="bottom"/>
    </xf>
    <xf borderId="8" fillId="0" fontId="18" numFmtId="0" xfId="0" applyAlignment="1" applyBorder="1" applyFont="1">
      <alignment horizontal="center" readingOrder="0" shrinkToFit="0" wrapText="1"/>
    </xf>
    <xf borderId="9" fillId="3" fontId="18" numFmtId="0" xfId="0" applyAlignment="1" applyBorder="1" applyFont="1">
      <alignment horizontal="center" vertical="center"/>
    </xf>
    <xf borderId="9" fillId="0" fontId="25" numFmtId="0" xfId="0" applyAlignment="1" applyBorder="1" applyFont="1">
      <alignment horizontal="center" vertical="center"/>
    </xf>
    <xf borderId="9" fillId="0" fontId="18" numFmtId="0" xfId="0" applyAlignment="1" applyBorder="1" applyFont="1">
      <alignment horizontal="center"/>
    </xf>
    <xf borderId="9" fillId="8" fontId="18" numFmtId="0" xfId="0" applyAlignment="1" applyBorder="1" applyFont="1">
      <alignment horizontal="center" vertical="center"/>
    </xf>
    <xf borderId="14" fillId="8" fontId="25" numFmtId="0" xfId="0" applyAlignment="1" applyBorder="1" applyFont="1">
      <alignment horizontal="center" readingOrder="0" vertical="center"/>
    </xf>
    <xf borderId="14" fillId="8" fontId="18" numFmtId="0" xfId="0" applyAlignment="1" applyBorder="1" applyFont="1">
      <alignment horizontal="center" readingOrder="0"/>
    </xf>
    <xf borderId="9" fillId="0" fontId="18" numFmtId="0" xfId="0" applyAlignment="1" applyBorder="1" applyFont="1">
      <alignment horizontal="center" vertical="center"/>
    </xf>
    <xf borderId="14" fillId="0" fontId="25" numFmtId="0" xfId="0" applyAlignment="1" applyBorder="1" applyFont="1">
      <alignment horizontal="center" vertical="center"/>
    </xf>
    <xf borderId="14" fillId="0" fontId="18" numFmtId="0" xfId="0" applyAlignment="1" applyBorder="1" applyFont="1">
      <alignment horizontal="center"/>
    </xf>
    <xf borderId="9" fillId="0" fontId="24" numFmtId="0" xfId="0" applyAlignment="1" applyBorder="1" applyFont="1">
      <alignment horizontal="center" vertical="bottom"/>
    </xf>
    <xf borderId="12" fillId="0" fontId="18" numFmtId="0" xfId="0" applyAlignment="1" applyBorder="1" applyFont="1">
      <alignment horizontal="center"/>
    </xf>
    <xf borderId="8" fillId="0" fontId="18" numFmtId="0" xfId="0" applyAlignment="1" applyBorder="1" applyFont="1">
      <alignment horizontal="center"/>
    </xf>
    <xf borderId="9" fillId="8" fontId="24" numFmtId="0" xfId="0" applyAlignment="1" applyBorder="1" applyFont="1">
      <alignment horizontal="center" vertical="bottom"/>
    </xf>
    <xf borderId="12" fillId="8" fontId="18" numFmtId="0" xfId="0" applyAlignment="1" applyBorder="1" applyFont="1">
      <alignment horizontal="center"/>
    </xf>
    <xf borderId="14" fillId="0" fontId="18" numFmtId="0" xfId="0" applyAlignment="1" applyBorder="1" applyFont="1">
      <alignment horizontal="center" vertical="center"/>
    </xf>
    <xf borderId="14" fillId="8" fontId="18" numFmtId="0" xfId="0" applyAlignment="1" applyBorder="1" applyFont="1">
      <alignment horizontal="center" vertical="center"/>
    </xf>
    <xf borderId="9" fillId="8" fontId="25" numFmtId="0" xfId="0" applyAlignment="1" applyBorder="1" applyFont="1">
      <alignment horizontal="center" readingOrder="0" vertical="center"/>
    </xf>
    <xf borderId="9" fillId="8" fontId="18" numFmtId="0" xfId="0" applyAlignment="1" applyBorder="1" applyFont="1">
      <alignment horizontal="center" readingOrder="0"/>
    </xf>
    <xf borderId="14" fillId="3" fontId="18" numFmtId="0" xfId="0" applyAlignment="1" applyBorder="1" applyFont="1">
      <alignment horizontal="center" vertical="center"/>
    </xf>
    <xf borderId="14" fillId="8" fontId="24" numFmtId="0" xfId="0" applyAlignment="1" applyBorder="1" applyFont="1">
      <alignment horizontal="center" vertical="bottom"/>
    </xf>
    <xf borderId="8" fillId="8" fontId="18" numFmtId="0" xfId="0" applyAlignment="1" applyBorder="1" applyFont="1">
      <alignment horizontal="center"/>
    </xf>
    <xf borderId="14" fillId="3" fontId="25" numFmtId="0" xfId="0" applyAlignment="1" applyBorder="1" applyFont="1">
      <alignment horizontal="center" vertical="center"/>
    </xf>
    <xf borderId="9" fillId="3" fontId="18" numFmtId="0" xfId="0" applyAlignment="1" applyBorder="1" applyFont="1">
      <alignment horizontal="center" readingOrder="0" vertical="center"/>
    </xf>
    <xf borderId="0" fillId="0" fontId="18" numFmtId="0" xfId="0" applyAlignment="1" applyFont="1">
      <alignment horizontal="center" vertical="center"/>
    </xf>
    <xf borderId="14" fillId="8" fontId="18" numFmtId="0" xfId="0" applyAlignment="1" applyBorder="1" applyFont="1">
      <alignment horizontal="center" readingOrder="0" vertical="center"/>
    </xf>
    <xf borderId="9" fillId="0" fontId="23" numFmtId="0" xfId="0" applyAlignment="1" applyBorder="1" applyFont="1">
      <alignment horizontal="center" shrinkToFit="0" vertical="center" wrapText="1"/>
    </xf>
    <xf borderId="9" fillId="8" fontId="18" numFmtId="0" xfId="0" applyAlignment="1" applyBorder="1" applyFont="1">
      <alignment horizontal="center" readingOrder="0" shrinkToFit="0" wrapText="1"/>
    </xf>
    <xf borderId="9" fillId="0" fontId="18" numFmtId="0" xfId="0" applyAlignment="1" applyBorder="1" applyFont="1">
      <alignment horizontal="center" shrinkToFit="0" vertical="center" wrapText="1"/>
    </xf>
    <xf borderId="14" fillId="0" fontId="18" numFmtId="0" xfId="0" applyAlignment="1" applyBorder="1" applyFont="1">
      <alignment horizontal="center" shrinkToFit="0" wrapText="1"/>
    </xf>
    <xf borderId="14" fillId="8" fontId="18" numFmtId="0" xfId="0" applyAlignment="1" applyBorder="1" applyFont="1">
      <alignment horizontal="center" readingOrder="0" shrinkToFit="0" wrapText="1"/>
    </xf>
    <xf borderId="9" fillId="8" fontId="26" numFmtId="0" xfId="0" applyAlignment="1" applyBorder="1" applyFont="1">
      <alignment horizontal="center" shrinkToFit="0" vertical="center" wrapText="1"/>
    </xf>
    <xf borderId="9" fillId="0" fontId="18" numFmtId="0" xfId="0" applyAlignment="1" applyBorder="1" applyFont="1">
      <alignment horizontal="center" shrinkToFit="0" wrapText="1"/>
    </xf>
    <xf borderId="9" fillId="0" fontId="25" numFmtId="0" xfId="0" applyAlignment="1" applyBorder="1" applyFont="1">
      <alignment horizontal="center" vertical="center"/>
    </xf>
    <xf borderId="9" fillId="0" fontId="25" numFmtId="0" xfId="0" applyAlignment="1" applyBorder="1" applyFont="1">
      <alignment horizontal="center" readingOrder="0" vertical="center"/>
    </xf>
    <xf borderId="8" fillId="7" fontId="1" numFmtId="0" xfId="0" applyAlignment="1" applyBorder="1" applyFont="1">
      <alignment horizontal="center" shrinkToFit="0" vertical="center" wrapText="1"/>
    </xf>
    <xf borderId="9" fillId="7" fontId="9" numFmtId="0" xfId="0" applyAlignment="1" applyBorder="1" applyFont="1">
      <alignment horizontal="center" vertical="center"/>
    </xf>
    <xf borderId="9" fillId="0" fontId="23" numFmtId="0" xfId="0" applyAlignment="1" applyBorder="1" applyFont="1">
      <alignment horizontal="center" readingOrder="0" shrinkToFit="0" vertical="center" wrapText="1"/>
    </xf>
    <xf borderId="9" fillId="0" fontId="25" numFmtId="0" xfId="0" applyAlignment="1" applyBorder="1" applyFont="1">
      <alignment horizontal="center" shrinkToFit="0" vertical="center" wrapText="1"/>
    </xf>
    <xf borderId="9" fillId="8" fontId="18" numFmtId="49" xfId="0" applyAlignment="1" applyBorder="1" applyFont="1" applyNumberFormat="1">
      <alignment horizontal="center" shrinkToFit="0" wrapText="1"/>
    </xf>
    <xf borderId="12" fillId="8" fontId="18" numFmtId="49" xfId="0" applyAlignment="1" applyBorder="1" applyFont="1" applyNumberFormat="1">
      <alignment horizontal="center" shrinkToFit="0" wrapText="1"/>
    </xf>
    <xf borderId="12" fillId="8" fontId="18" numFmtId="0" xfId="0" applyAlignment="1" applyBorder="1" applyFont="1">
      <alignment horizontal="center" shrinkToFit="0" wrapText="1"/>
    </xf>
    <xf borderId="12" fillId="8" fontId="27" numFmtId="169" xfId="0" applyAlignment="1" applyBorder="1" applyFont="1" applyNumberFormat="1">
      <alignment horizontal="center" readingOrder="0" shrinkToFit="0" vertical="center" wrapText="1"/>
    </xf>
    <xf borderId="9" fillId="8" fontId="25" numFmtId="0" xfId="0" applyAlignment="1" applyBorder="1" applyFont="1">
      <alignment horizontal="center" readingOrder="0" shrinkToFit="0" vertical="center" wrapText="1"/>
    </xf>
    <xf borderId="9" fillId="0" fontId="18" numFmtId="0" xfId="0" applyAlignment="1" applyBorder="1" applyFont="1">
      <alignment horizontal="center" readingOrder="0" shrinkToFit="0" wrapText="1"/>
    </xf>
    <xf borderId="12" fillId="0" fontId="18" numFmtId="0" xfId="0" applyAlignment="1" applyBorder="1" applyFont="1">
      <alignment horizontal="center" shrinkToFit="0" wrapText="1"/>
    </xf>
    <xf borderId="12" fillId="0" fontId="27" numFmtId="169" xfId="0" applyAlignment="1" applyBorder="1" applyFont="1" applyNumberFormat="1">
      <alignment horizontal="center" readingOrder="0" shrinkToFit="0" vertical="center" wrapText="1"/>
    </xf>
    <xf borderId="9" fillId="0" fontId="25" numFmtId="0" xfId="0" applyAlignment="1" applyBorder="1" applyFont="1">
      <alignment horizontal="center" readingOrder="0" shrinkToFit="0" vertical="center" wrapText="1"/>
    </xf>
    <xf borderId="9" fillId="8" fontId="18" numFmtId="49" xfId="0" applyAlignment="1" applyBorder="1" applyFont="1" applyNumberFormat="1">
      <alignment horizontal="center" shrinkToFit="0" vertical="bottom" wrapText="1"/>
    </xf>
    <xf borderId="12" fillId="8" fontId="18" numFmtId="49" xfId="0" applyAlignment="1" applyBorder="1" applyFont="1" applyNumberFormat="1">
      <alignment horizontal="center" shrinkToFit="0" vertical="bottom" wrapText="1"/>
    </xf>
    <xf borderId="12" fillId="8" fontId="18" numFmtId="0" xfId="0" applyAlignment="1" applyBorder="1" applyFont="1">
      <alignment horizontal="center" shrinkToFit="0" vertical="bottom" wrapText="1"/>
    </xf>
    <xf borderId="9" fillId="3" fontId="18" numFmtId="49" xfId="0" applyAlignment="1" applyBorder="1" applyFont="1" applyNumberFormat="1">
      <alignment horizontal="center" shrinkToFit="0" wrapText="1"/>
    </xf>
    <xf borderId="12" fillId="3" fontId="18" numFmtId="49" xfId="0" applyAlignment="1" applyBorder="1" applyFont="1" applyNumberFormat="1">
      <alignment horizontal="center" shrinkToFit="0" wrapText="1"/>
    </xf>
    <xf borderId="12" fillId="3" fontId="18" numFmtId="0" xfId="0" applyAlignment="1" applyBorder="1" applyFont="1">
      <alignment horizontal="center" shrinkToFit="0" vertical="bottom" wrapText="1"/>
    </xf>
    <xf borderId="12" fillId="3" fontId="27" numFmtId="169" xfId="0" applyAlignment="1" applyBorder="1" applyFont="1" applyNumberFormat="1">
      <alignment horizontal="center" readingOrder="0" shrinkToFit="0" vertical="center" wrapText="1"/>
    </xf>
    <xf borderId="9" fillId="3" fontId="25" numFmtId="0" xfId="0" applyAlignment="1" applyBorder="1" applyFont="1">
      <alignment horizontal="center" readingOrder="0" shrinkToFit="0" vertical="center" wrapText="1"/>
    </xf>
    <xf borderId="9" fillId="0" fontId="18" numFmtId="49" xfId="0" applyAlignment="1" applyBorder="1" applyFont="1" applyNumberFormat="1">
      <alignment horizontal="center" shrinkToFit="0" wrapText="1"/>
    </xf>
    <xf borderId="12" fillId="0" fontId="18" numFmtId="0" xfId="0" applyAlignment="1" applyBorder="1" applyFont="1">
      <alignment horizontal="center" readingOrder="0" shrinkToFit="0" wrapText="1"/>
    </xf>
    <xf borderId="12" fillId="0" fontId="18" numFmtId="0" xfId="0" applyAlignment="1" applyBorder="1" applyFont="1">
      <alignment horizontal="center" shrinkToFit="0" vertical="bottom" wrapText="1"/>
    </xf>
    <xf borderId="12" fillId="0" fontId="18" numFmtId="164" xfId="0" applyAlignment="1" applyBorder="1" applyFont="1" applyNumberFormat="1">
      <alignment horizontal="center" readingOrder="0" shrinkToFit="0" wrapText="1"/>
    </xf>
    <xf borderId="12" fillId="0" fontId="9" numFmtId="49" xfId="0" applyBorder="1" applyFont="1" applyNumberFormat="1"/>
    <xf borderId="9" fillId="0" fontId="18" numFmtId="49" xfId="0" applyAlignment="1" applyBorder="1" applyFont="1" applyNumberFormat="1">
      <alignment horizontal="center" readingOrder="0" shrinkToFit="0" wrapText="1"/>
    </xf>
    <xf borderId="9" fillId="8" fontId="18" numFmtId="0" xfId="0" applyAlignment="1" applyBorder="1" applyFont="1">
      <alignment horizontal="center" shrinkToFit="0" wrapText="1"/>
    </xf>
    <xf borderId="9" fillId="8" fontId="28" numFmtId="0" xfId="0" applyAlignment="1" applyBorder="1" applyFont="1">
      <alignment horizontal="center" readingOrder="0"/>
    </xf>
    <xf borderId="9" fillId="8" fontId="23" numFmtId="0" xfId="0" applyAlignment="1" applyBorder="1" applyFont="1">
      <alignment horizontal="center" readingOrder="0" shrinkToFit="0" vertical="center" wrapText="1"/>
    </xf>
    <xf borderId="12" fillId="8" fontId="18" numFmtId="164" xfId="0" applyAlignment="1" applyBorder="1" applyFont="1" applyNumberFormat="1">
      <alignment horizontal="center" readingOrder="0" shrinkToFit="0" wrapText="1"/>
    </xf>
    <xf borderId="14" fillId="3" fontId="1" numFmtId="49" xfId="0" applyAlignment="1" applyBorder="1" applyFont="1" applyNumberFormat="1">
      <alignment horizontal="center" shrinkToFit="0" vertical="center" wrapText="1"/>
    </xf>
    <xf borderId="8" fillId="0" fontId="18" numFmtId="0" xfId="0" applyAlignment="1" applyBorder="1" applyFont="1">
      <alignment horizontal="center" vertical="bottom"/>
    </xf>
    <xf borderId="14" fillId="8" fontId="1" numFmtId="49" xfId="0" applyAlignment="1" applyBorder="1" applyFont="1" applyNumberFormat="1">
      <alignment horizontal="center" shrinkToFit="0" vertical="center" wrapText="1"/>
    </xf>
    <xf borderId="14" fillId="3" fontId="1" numFmtId="0" xfId="0" applyAlignment="1" applyBorder="1" applyFont="1">
      <alignment horizontal="center" readingOrder="0" shrinkToFit="0" vertical="center" wrapText="1"/>
    </xf>
    <xf borderId="14" fillId="8" fontId="1" numFmtId="0" xfId="0" applyAlignment="1" applyBorder="1" applyFont="1">
      <alignment horizontal="center" readingOrder="0" shrinkToFit="0" vertical="center" wrapText="1"/>
    </xf>
    <xf borderId="9" fillId="8" fontId="18" numFmtId="0" xfId="0" applyAlignment="1" applyBorder="1" applyFont="1">
      <alignment horizontal="center" shrinkToFit="0" wrapText="1"/>
    </xf>
    <xf borderId="12" fillId="8" fontId="18" numFmtId="0" xfId="0" applyAlignment="1" applyBorder="1" applyFont="1">
      <alignment horizontal="center" shrinkToFit="0" wrapText="1"/>
    </xf>
    <xf borderId="12" fillId="8" fontId="18" numFmtId="169" xfId="0" applyAlignment="1" applyBorder="1" applyFont="1" applyNumberFormat="1">
      <alignment horizontal="center" readingOrder="0" shrinkToFit="0" vertical="center" wrapText="1"/>
    </xf>
    <xf borderId="9" fillId="8" fontId="18" numFmtId="169" xfId="0" applyAlignment="1" applyBorder="1" applyFont="1" applyNumberFormat="1">
      <alignment horizontal="center" readingOrder="0" shrinkToFit="0" vertical="center" wrapText="1"/>
    </xf>
    <xf borderId="14" fillId="8" fontId="18" numFmtId="0" xfId="0" applyAlignment="1" applyBorder="1" applyFont="1">
      <alignment horizontal="center" shrinkToFit="0" wrapText="1"/>
    </xf>
    <xf borderId="8" fillId="8" fontId="18" numFmtId="0" xfId="0" applyAlignment="1" applyBorder="1" applyFont="1">
      <alignment horizontal="center" shrinkToFit="0" wrapText="1"/>
    </xf>
    <xf borderId="8" fillId="8" fontId="18" numFmtId="169" xfId="0" applyAlignment="1" applyBorder="1" applyFont="1" applyNumberFormat="1">
      <alignment horizontal="center" readingOrder="0" shrinkToFit="0" vertical="center" wrapText="1"/>
    </xf>
    <xf borderId="0" fillId="0" fontId="6" numFmtId="0" xfId="0" applyAlignment="1" applyFont="1">
      <alignment horizontal="center" readingOrder="0" vertical="center"/>
    </xf>
    <xf borderId="9" fillId="0" fontId="6" numFmtId="0" xfId="0" applyAlignment="1" applyBorder="1" applyFont="1">
      <alignment horizontal="center" readingOrder="0" vertical="center"/>
    </xf>
    <xf borderId="9" fillId="0" fontId="0" numFmtId="0" xfId="0" applyAlignment="1" applyBorder="1" applyFont="1">
      <alignment horizontal="center" readingOrder="0" vertical="center"/>
    </xf>
    <xf borderId="0" fillId="0" fontId="6" numFmtId="0" xfId="0" applyAlignment="1" applyFont="1">
      <alignment horizontal="center" vertical="center"/>
    </xf>
    <xf borderId="9" fillId="0" fontId="6" numFmtId="0" xfId="0" applyAlignment="1" applyBorder="1" applyFont="1">
      <alignment horizontal="center" vertical="center"/>
    </xf>
    <xf borderId="9" fillId="0" fontId="0" numFmtId="0" xfId="0" applyAlignment="1" applyBorder="1" applyFont="1">
      <alignment horizontal="center" vertical="center"/>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Sheet17-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I51" displayName="Table1" name="Table1" id="1">
  <tableColumns count="35">
    <tableColumn name="Task" id="1"/>
    <tableColumn name="Column 2" id="2"/>
    <tableColumn name="Dur" id="3"/>
    <tableColumn name="Start date" id="4"/>
    <tableColumn name="End date" id="5"/>
    <tableColumn name="Milestone" id="6"/>
    <tableColumn name="Timeline milestone " id="7"/>
    <tableColumn name="Design remarks " id="8"/>
    <tableColumn name="Execution remarks " id="9"/>
    <tableColumn name="Wk 2" id="10"/>
    <tableColumn name="Wk 3" id="11"/>
    <tableColumn name="Wk 4" id="12"/>
    <tableColumn name="Wk 5" id="13"/>
    <tableColumn name="Wk 6" id="14"/>
    <tableColumn name="Wk 7" id="15"/>
    <tableColumn name="Wk 8" id="16"/>
    <tableColumn name="Wk 9" id="17"/>
    <tableColumn name="Wk 10" id="18"/>
    <tableColumn name="Wk 11" id="19"/>
    <tableColumn name="Wk 12" id="20"/>
    <tableColumn name="Wk 13" id="21"/>
    <tableColumn name="Wk 14" id="22"/>
    <tableColumn name="Wk 15" id="23"/>
    <tableColumn name="Wk 16" id="24"/>
    <tableColumn name="Wk 17" id="25"/>
    <tableColumn name="Wk 18" id="26"/>
    <tableColumn name="Wk 19" id="27"/>
    <tableColumn name="Wk 20" id="28"/>
    <tableColumn name="Wk 21" id="29"/>
    <tableColumn name="Wk 22" id="30"/>
    <tableColumn name="Wk 23" id="31"/>
    <tableColumn name="Wk 24" id="32"/>
    <tableColumn name="Wk 25" id="33"/>
    <tableColumn name="Wk 26" id="34"/>
    <tableColumn name="Wk 27" id="35"/>
  </tableColumns>
  <tableStyleInfo name="Sheet17-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hyperlink" Target="http://sr.no/"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hyperlink" Target="http://sr.no/"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3.88"/>
    <col customWidth="1" min="2" max="2" width="7.75"/>
    <col customWidth="1" min="3" max="3" width="20.75"/>
    <col customWidth="1" min="4" max="4" width="21.38"/>
    <col customWidth="1" min="5" max="5" width="25.5"/>
    <col customWidth="1" min="6" max="6" width="39.63"/>
    <col customWidth="1" min="7" max="7" width="14.75"/>
    <col hidden="1" min="13" max="13" width="12.63"/>
    <col customWidth="1" min="14" max="14" width="20.38"/>
    <col customWidth="1" hidden="1" min="15" max="18" width="17.75"/>
  </cols>
  <sheetData>
    <row r="1">
      <c r="A1" s="1"/>
      <c r="B1" s="1"/>
      <c r="C1" s="1"/>
      <c r="D1" s="1"/>
      <c r="E1" s="1"/>
      <c r="F1" s="1"/>
      <c r="G1" s="1"/>
      <c r="H1" s="2"/>
      <c r="I1" s="3"/>
      <c r="J1" s="3"/>
      <c r="K1" s="2"/>
      <c r="L1" s="2"/>
      <c r="M1" s="2"/>
      <c r="N1" s="1"/>
      <c r="O1" s="4"/>
      <c r="P1" s="1"/>
      <c r="Q1" s="1"/>
      <c r="R1" s="1"/>
      <c r="S1" s="1"/>
      <c r="T1" s="1"/>
      <c r="U1" s="1"/>
      <c r="V1" s="1"/>
      <c r="W1" s="1"/>
      <c r="X1" s="1"/>
      <c r="Y1" s="1"/>
      <c r="Z1" s="1"/>
      <c r="AA1" s="1"/>
      <c r="AB1" s="1"/>
      <c r="AC1" s="1"/>
      <c r="AD1" s="1"/>
      <c r="AE1" s="1"/>
    </row>
    <row r="2">
      <c r="A2" s="5"/>
      <c r="B2" s="6"/>
      <c r="C2" s="6"/>
      <c r="D2" s="6"/>
      <c r="E2" s="6"/>
      <c r="F2" s="6"/>
      <c r="G2" s="6"/>
      <c r="H2" s="6"/>
      <c r="I2" s="6"/>
      <c r="J2" s="6"/>
      <c r="K2" s="6"/>
      <c r="L2" s="6"/>
      <c r="M2" s="6"/>
      <c r="N2" s="7"/>
      <c r="O2" s="4"/>
      <c r="P2" s="1"/>
      <c r="Q2" s="1"/>
      <c r="R2" s="1"/>
      <c r="S2" s="1"/>
      <c r="T2" s="1"/>
      <c r="U2" s="1"/>
      <c r="V2" s="1"/>
      <c r="W2" s="1"/>
      <c r="X2" s="1"/>
      <c r="Y2" s="1"/>
      <c r="Z2" s="1"/>
      <c r="AA2" s="1"/>
      <c r="AB2" s="1"/>
      <c r="AC2" s="1"/>
      <c r="AD2" s="1"/>
      <c r="AE2" s="1"/>
    </row>
    <row r="3">
      <c r="A3" s="8"/>
      <c r="N3" s="9"/>
      <c r="O3" s="4"/>
      <c r="P3" s="1"/>
      <c r="Q3" s="1"/>
      <c r="R3" s="1"/>
      <c r="S3" s="1"/>
      <c r="T3" s="1"/>
      <c r="U3" s="1"/>
      <c r="V3" s="1"/>
      <c r="W3" s="1"/>
      <c r="X3" s="1"/>
      <c r="Y3" s="1"/>
      <c r="Z3" s="1"/>
      <c r="AA3" s="1"/>
      <c r="AB3" s="1"/>
      <c r="AC3" s="1"/>
      <c r="AD3" s="1"/>
      <c r="AE3" s="1"/>
    </row>
    <row r="4">
      <c r="A4" s="10"/>
      <c r="B4" s="11"/>
      <c r="C4" s="11"/>
      <c r="D4" s="11"/>
      <c r="E4" s="11"/>
      <c r="F4" s="11"/>
      <c r="G4" s="11"/>
      <c r="H4" s="11"/>
      <c r="I4" s="11"/>
      <c r="J4" s="11"/>
      <c r="K4" s="11"/>
      <c r="L4" s="11"/>
      <c r="M4" s="11"/>
      <c r="N4" s="12"/>
      <c r="O4" s="4"/>
      <c r="P4" s="1"/>
      <c r="Q4" s="1"/>
      <c r="R4" s="1"/>
      <c r="S4" s="13" t="s">
        <v>0</v>
      </c>
      <c r="T4" s="13" t="s">
        <v>1</v>
      </c>
      <c r="U4" s="1"/>
      <c r="V4" s="1"/>
      <c r="W4" s="1"/>
      <c r="X4" s="1"/>
      <c r="Y4" s="1"/>
      <c r="Z4" s="1"/>
      <c r="AA4" s="1"/>
      <c r="AB4" s="1"/>
      <c r="AC4" s="1"/>
      <c r="AD4" s="1"/>
      <c r="AE4" s="1"/>
    </row>
    <row r="5">
      <c r="A5" s="1"/>
      <c r="B5" s="1"/>
      <c r="C5" s="1"/>
      <c r="D5" s="1"/>
      <c r="E5" s="1"/>
      <c r="F5" s="1"/>
      <c r="G5" s="1"/>
      <c r="H5" s="2"/>
      <c r="I5" s="3"/>
      <c r="J5" s="3"/>
      <c r="K5" s="2"/>
      <c r="L5" s="2"/>
      <c r="M5" s="2"/>
      <c r="N5" s="1"/>
      <c r="O5" s="4"/>
      <c r="P5" s="1"/>
      <c r="Q5" s="1"/>
      <c r="R5" s="1"/>
      <c r="S5" s="1"/>
      <c r="T5" s="1"/>
      <c r="U5" s="1"/>
      <c r="V5" s="1"/>
      <c r="W5" s="1"/>
      <c r="X5" s="1"/>
      <c r="Y5" s="1"/>
      <c r="Z5" s="1"/>
      <c r="AA5" s="1"/>
      <c r="AB5" s="1"/>
      <c r="AC5" s="1"/>
      <c r="AD5" s="1"/>
      <c r="AE5" s="1"/>
    </row>
    <row r="6">
      <c r="A6" s="14" t="s">
        <v>2</v>
      </c>
      <c r="B6" s="15">
        <v>45991.0</v>
      </c>
      <c r="C6" s="16"/>
      <c r="D6" s="17"/>
      <c r="E6" s="14" t="s">
        <v>3</v>
      </c>
      <c r="F6" s="18"/>
      <c r="G6" s="16"/>
      <c r="H6" s="16"/>
      <c r="I6" s="16"/>
      <c r="J6" s="16"/>
      <c r="K6" s="16"/>
      <c r="L6" s="16"/>
      <c r="M6" s="16"/>
      <c r="N6" s="17"/>
      <c r="O6" s="4"/>
      <c r="P6" s="1"/>
      <c r="Q6" s="1"/>
      <c r="R6" s="1"/>
      <c r="S6" s="1"/>
      <c r="T6" s="1"/>
      <c r="U6" s="1"/>
      <c r="V6" s="1"/>
      <c r="W6" s="1"/>
      <c r="X6" s="1"/>
      <c r="Y6" s="1"/>
      <c r="Z6" s="1"/>
      <c r="AA6" s="1"/>
      <c r="AB6" s="1"/>
      <c r="AC6" s="1"/>
      <c r="AD6" s="1"/>
      <c r="AE6" s="1"/>
    </row>
    <row r="7">
      <c r="A7" s="14" t="s">
        <v>4</v>
      </c>
      <c r="B7" s="18" t="s">
        <v>5</v>
      </c>
      <c r="C7" s="16"/>
      <c r="D7" s="17"/>
      <c r="E7" s="14" t="s">
        <v>6</v>
      </c>
      <c r="F7" s="19">
        <v>0.0</v>
      </c>
      <c r="G7" s="16"/>
      <c r="H7" s="16"/>
      <c r="I7" s="16"/>
      <c r="J7" s="16"/>
      <c r="K7" s="16"/>
      <c r="L7" s="16"/>
      <c r="M7" s="16"/>
      <c r="N7" s="17"/>
      <c r="O7" s="4"/>
      <c r="P7" s="1"/>
      <c r="Q7" s="1"/>
      <c r="R7" s="1"/>
      <c r="S7" s="1"/>
      <c r="T7" s="1"/>
      <c r="U7" s="1"/>
      <c r="V7" s="1"/>
      <c r="W7" s="1"/>
      <c r="X7" s="1"/>
      <c r="Y7" s="1"/>
      <c r="Z7" s="1"/>
      <c r="AA7" s="1"/>
      <c r="AB7" s="1"/>
      <c r="AC7" s="1"/>
      <c r="AD7" s="1"/>
      <c r="AE7" s="1"/>
    </row>
    <row r="8">
      <c r="A8" s="14" t="s">
        <v>7</v>
      </c>
      <c r="B8" s="18" t="s">
        <v>8</v>
      </c>
      <c r="C8" s="16"/>
      <c r="D8" s="17"/>
      <c r="E8" s="14" t="s">
        <v>9</v>
      </c>
      <c r="F8" s="18" t="s">
        <v>10</v>
      </c>
      <c r="G8" s="16"/>
      <c r="H8" s="16"/>
      <c r="I8" s="16"/>
      <c r="J8" s="16"/>
      <c r="K8" s="16"/>
      <c r="L8" s="16"/>
      <c r="M8" s="16"/>
      <c r="N8" s="17"/>
      <c r="O8" s="4"/>
      <c r="P8" s="1"/>
      <c r="Q8" s="1"/>
      <c r="R8" s="1"/>
      <c r="S8" s="1"/>
      <c r="T8" s="1"/>
      <c r="U8" s="1"/>
      <c r="V8" s="1"/>
      <c r="W8" s="1"/>
      <c r="X8" s="1"/>
      <c r="Y8" s="1"/>
      <c r="Z8" s="1"/>
      <c r="AA8" s="1"/>
      <c r="AB8" s="1"/>
      <c r="AC8" s="1"/>
      <c r="AD8" s="1"/>
      <c r="AE8" s="1"/>
    </row>
    <row r="9">
      <c r="A9" s="1"/>
      <c r="B9" s="1"/>
      <c r="C9" s="1"/>
      <c r="D9" s="1"/>
      <c r="E9" s="1"/>
      <c r="F9" s="1"/>
      <c r="G9" s="1"/>
      <c r="H9" s="2"/>
      <c r="I9" s="3"/>
      <c r="J9" s="3"/>
      <c r="K9" s="2"/>
      <c r="L9" s="2"/>
      <c r="M9" s="2"/>
      <c r="N9" s="1"/>
      <c r="O9" s="20"/>
      <c r="P9" s="21"/>
      <c r="Q9" s="21"/>
      <c r="R9" s="21"/>
      <c r="S9" s="1"/>
      <c r="T9" s="1"/>
      <c r="U9" s="1"/>
      <c r="V9" s="1"/>
      <c r="W9" s="1"/>
      <c r="X9" s="1"/>
      <c r="Y9" s="1"/>
      <c r="Z9" s="1"/>
      <c r="AA9" s="1"/>
      <c r="AB9" s="1"/>
      <c r="AC9" s="1"/>
      <c r="AD9" s="1"/>
      <c r="AE9" s="1"/>
    </row>
    <row r="10">
      <c r="A10" s="22" t="s">
        <v>11</v>
      </c>
      <c r="B10" s="16"/>
      <c r="C10" s="16"/>
      <c r="D10" s="17"/>
      <c r="F10" s="23" t="s">
        <v>12</v>
      </c>
      <c r="G10" s="24" t="s">
        <v>13</v>
      </c>
      <c r="H10" s="25" t="s">
        <v>14</v>
      </c>
      <c r="I10" s="26"/>
      <c r="J10" s="26"/>
      <c r="K10" s="2"/>
      <c r="L10" s="2"/>
      <c r="M10" s="2"/>
      <c r="N10" s="1"/>
      <c r="O10" s="27"/>
      <c r="P10" s="13"/>
      <c r="Q10" s="13"/>
      <c r="R10" s="13"/>
      <c r="S10" s="1"/>
      <c r="T10" s="1"/>
      <c r="U10" s="1"/>
      <c r="V10" s="1"/>
      <c r="W10" s="1"/>
      <c r="X10" s="1"/>
      <c r="Y10" s="1"/>
      <c r="Z10" s="1"/>
      <c r="AA10" s="1"/>
      <c r="AB10" s="1"/>
      <c r="AC10" s="1"/>
      <c r="AD10" s="1"/>
      <c r="AE10" s="1"/>
    </row>
    <row r="11">
      <c r="A11" s="28"/>
      <c r="B11" s="29" t="s">
        <v>15</v>
      </c>
      <c r="C11" s="17"/>
      <c r="D11" s="30">
        <v>1673.0</v>
      </c>
      <c r="F11" s="31" t="s">
        <v>16</v>
      </c>
      <c r="G11" s="32" t="s">
        <v>17</v>
      </c>
      <c r="H11" s="33">
        <f>K249</f>
        <v>460000</v>
      </c>
      <c r="I11" s="26"/>
      <c r="J11" s="26"/>
      <c r="K11" s="2"/>
      <c r="L11" s="2"/>
      <c r="M11" s="2"/>
      <c r="N11" s="1"/>
      <c r="O11" s="27"/>
      <c r="P11" s="13"/>
      <c r="Q11" s="13"/>
      <c r="R11" s="13"/>
      <c r="S11" s="1"/>
      <c r="T11" s="1"/>
      <c r="U11" s="1"/>
      <c r="V11" s="1"/>
      <c r="W11" s="1"/>
      <c r="X11" s="1"/>
      <c r="Y11" s="1"/>
      <c r="Z11" s="1"/>
      <c r="AA11" s="1"/>
      <c r="AB11" s="1"/>
      <c r="AC11" s="1"/>
      <c r="AD11" s="1"/>
      <c r="AE11" s="1"/>
    </row>
    <row r="12">
      <c r="A12" s="23" t="s">
        <v>12</v>
      </c>
      <c r="B12" s="29" t="s">
        <v>13</v>
      </c>
      <c r="C12" s="17"/>
      <c r="D12" s="24" t="s">
        <v>14</v>
      </c>
      <c r="F12" s="31" t="s">
        <v>18</v>
      </c>
      <c r="G12" s="32" t="s">
        <v>19</v>
      </c>
      <c r="H12" s="33">
        <f>L266</f>
        <v>2875600</v>
      </c>
      <c r="I12" s="26"/>
      <c r="J12" s="26"/>
      <c r="K12" s="2"/>
      <c r="L12" s="2"/>
      <c r="M12" s="2"/>
      <c r="N12" s="1"/>
      <c r="O12" s="27"/>
      <c r="P12" s="13"/>
      <c r="Q12" s="13"/>
      <c r="R12" s="13"/>
      <c r="S12" s="1"/>
      <c r="T12" s="1"/>
      <c r="U12" s="1"/>
      <c r="V12" s="1"/>
      <c r="W12" s="1"/>
      <c r="X12" s="1"/>
      <c r="Y12" s="1"/>
      <c r="Z12" s="1"/>
      <c r="AA12" s="1"/>
      <c r="AB12" s="1"/>
      <c r="AC12" s="1"/>
      <c r="AD12" s="1"/>
      <c r="AE12" s="1"/>
    </row>
    <row r="13">
      <c r="A13" s="31" t="s">
        <v>16</v>
      </c>
      <c r="B13" s="34" t="s">
        <v>20</v>
      </c>
      <c r="C13" s="17"/>
      <c r="D13" s="35">
        <f>N46</f>
        <v>1126050</v>
      </c>
      <c r="F13" s="36">
        <v>3.0</v>
      </c>
      <c r="G13" s="37" t="s">
        <v>21</v>
      </c>
      <c r="H13" s="38">
        <f>N276</f>
        <v>244500</v>
      </c>
      <c r="I13" s="26"/>
      <c r="J13" s="26"/>
      <c r="K13" s="39"/>
      <c r="L13" s="39"/>
      <c r="M13" s="39"/>
      <c r="N13" s="1"/>
      <c r="O13" s="27"/>
      <c r="P13" s="13"/>
      <c r="Q13" s="13"/>
      <c r="R13" s="13"/>
      <c r="S13" s="1"/>
      <c r="T13" s="1"/>
      <c r="U13" s="1"/>
      <c r="V13" s="1"/>
      <c r="W13" s="1"/>
      <c r="X13" s="1"/>
      <c r="Y13" s="1"/>
      <c r="Z13" s="1"/>
      <c r="AA13" s="1"/>
      <c r="AB13" s="1"/>
      <c r="AC13" s="1"/>
      <c r="AD13" s="1"/>
      <c r="AE13" s="1"/>
    </row>
    <row r="14">
      <c r="A14" s="31" t="s">
        <v>18</v>
      </c>
      <c r="B14" s="34" t="s">
        <v>22</v>
      </c>
      <c r="C14" s="17"/>
      <c r="D14" s="35">
        <f>N52</f>
        <v>180000</v>
      </c>
      <c r="F14" s="40"/>
      <c r="G14" s="30" t="s">
        <v>23</v>
      </c>
      <c r="H14" s="25">
        <f>SUM(H11:H13)</f>
        <v>3580100</v>
      </c>
      <c r="I14" s="26"/>
      <c r="J14" s="26"/>
      <c r="K14" s="39"/>
      <c r="L14" s="41"/>
      <c r="M14" s="39"/>
      <c r="N14" s="1"/>
      <c r="O14" s="4"/>
      <c r="P14" s="1"/>
      <c r="Q14" s="1"/>
      <c r="R14" s="1"/>
      <c r="S14" s="1"/>
      <c r="T14" s="1"/>
      <c r="U14" s="1"/>
      <c r="V14" s="1"/>
      <c r="W14" s="1"/>
      <c r="X14" s="1"/>
      <c r="Y14" s="1"/>
      <c r="Z14" s="1"/>
      <c r="AA14" s="1"/>
      <c r="AB14" s="1"/>
      <c r="AC14" s="1"/>
      <c r="AD14" s="1"/>
      <c r="AE14" s="1"/>
    </row>
    <row r="15">
      <c r="A15" s="31" t="s">
        <v>24</v>
      </c>
      <c r="B15" s="34" t="s">
        <v>25</v>
      </c>
      <c r="C15" s="17"/>
      <c r="D15" s="35">
        <f>N55</f>
        <v>585550</v>
      </c>
      <c r="F15" s="42" t="s">
        <v>26</v>
      </c>
      <c r="G15" s="17"/>
      <c r="H15" s="43">
        <f>D21+H11+H12+H13</f>
        <v>13807553.5</v>
      </c>
      <c r="I15" s="26"/>
      <c r="J15" s="26"/>
      <c r="K15" s="39"/>
      <c r="L15" s="44"/>
      <c r="M15" s="39"/>
      <c r="N15" s="1"/>
      <c r="O15" s="4"/>
      <c r="P15" s="1"/>
      <c r="Q15" s="1"/>
      <c r="R15" s="1"/>
      <c r="S15" s="1"/>
      <c r="T15" s="1"/>
      <c r="U15" s="1"/>
      <c r="V15" s="1"/>
      <c r="W15" s="1"/>
      <c r="X15" s="1"/>
      <c r="Y15" s="1"/>
      <c r="Z15" s="1"/>
      <c r="AA15" s="1"/>
      <c r="AB15" s="1"/>
      <c r="AC15" s="1"/>
      <c r="AD15" s="1"/>
      <c r="AE15" s="1"/>
    </row>
    <row r="16">
      <c r="A16" s="31" t="s">
        <v>27</v>
      </c>
      <c r="B16" s="34" t="s">
        <v>28</v>
      </c>
      <c r="C16" s="17"/>
      <c r="D16" s="35">
        <f>N62</f>
        <v>442500</v>
      </c>
      <c r="E16" s="45"/>
      <c r="F16" s="22" t="s">
        <v>29</v>
      </c>
      <c r="G16" s="16"/>
      <c r="H16" s="17"/>
      <c r="I16" s="46"/>
      <c r="J16" s="46"/>
      <c r="K16" s="39"/>
      <c r="L16" s="39"/>
      <c r="M16" s="39"/>
      <c r="N16" s="1"/>
      <c r="O16" s="4"/>
      <c r="P16" s="1"/>
      <c r="Q16" s="1"/>
      <c r="R16" s="1"/>
      <c r="S16" s="1"/>
      <c r="T16" s="1"/>
      <c r="U16" s="1"/>
      <c r="V16" s="1"/>
      <c r="W16" s="1"/>
      <c r="X16" s="1"/>
      <c r="Y16" s="1"/>
      <c r="Z16" s="1"/>
      <c r="AA16" s="1"/>
      <c r="AB16" s="1"/>
      <c r="AC16" s="1"/>
      <c r="AD16" s="1"/>
      <c r="AE16" s="1"/>
    </row>
    <row r="17">
      <c r="A17" s="31" t="s">
        <v>30</v>
      </c>
      <c r="B17" s="47" t="s">
        <v>31</v>
      </c>
      <c r="C17" s="17"/>
      <c r="D17" s="35">
        <f>N163</f>
        <v>6224875</v>
      </c>
      <c r="E17" s="48"/>
      <c r="F17" s="1"/>
      <c r="G17" s="46"/>
      <c r="H17" s="46"/>
      <c r="I17" s="46"/>
      <c r="J17" s="46"/>
      <c r="K17" s="39"/>
      <c r="L17" s="39"/>
      <c r="M17" s="39"/>
      <c r="N17" s="1"/>
      <c r="O17" s="4"/>
      <c r="P17" s="1"/>
      <c r="Q17" s="1"/>
      <c r="R17" s="1"/>
      <c r="S17" s="1"/>
      <c r="T17" s="1"/>
      <c r="U17" s="1"/>
      <c r="V17" s="1"/>
      <c r="W17" s="1"/>
      <c r="X17" s="1"/>
      <c r="Y17" s="1"/>
      <c r="Z17" s="1"/>
      <c r="AA17" s="1"/>
      <c r="AB17" s="1"/>
      <c r="AC17" s="1"/>
      <c r="AD17" s="1"/>
      <c r="AE17" s="1"/>
    </row>
    <row r="18">
      <c r="A18" s="31" t="s">
        <v>32</v>
      </c>
      <c r="B18" s="47" t="s">
        <v>33</v>
      </c>
      <c r="C18" s="17"/>
      <c r="D18" s="35">
        <f>N169</f>
        <v>978478.5</v>
      </c>
      <c r="E18" s="45"/>
      <c r="F18" s="1"/>
      <c r="G18" s="1"/>
      <c r="H18" s="1"/>
      <c r="I18" s="1"/>
      <c r="J18" s="1"/>
      <c r="K18" s="39"/>
      <c r="L18" s="39"/>
      <c r="M18" s="39"/>
      <c r="N18" s="1"/>
      <c r="O18" s="4"/>
      <c r="P18" s="1"/>
      <c r="Q18" s="1"/>
      <c r="R18" s="1"/>
      <c r="S18" s="1"/>
      <c r="T18" s="1"/>
      <c r="U18" s="1"/>
      <c r="V18" s="1"/>
      <c r="W18" s="1"/>
      <c r="X18" s="1"/>
      <c r="Y18" s="1"/>
      <c r="Z18" s="1"/>
      <c r="AA18" s="1"/>
      <c r="AB18" s="1"/>
      <c r="AC18" s="1"/>
      <c r="AD18" s="1"/>
      <c r="AE18" s="1"/>
    </row>
    <row r="19">
      <c r="A19" s="31" t="s">
        <v>34</v>
      </c>
      <c r="B19" s="47" t="s">
        <v>35</v>
      </c>
      <c r="C19" s="17"/>
      <c r="D19" s="35">
        <f>K174</f>
        <v>190000</v>
      </c>
      <c r="E19" s="45"/>
      <c r="F19" s="1"/>
      <c r="G19" s="1"/>
      <c r="H19" s="1"/>
      <c r="I19" s="3"/>
      <c r="J19" s="3"/>
      <c r="K19" s="39"/>
      <c r="L19" s="39"/>
      <c r="M19" s="39"/>
      <c r="N19" s="1"/>
      <c r="O19" s="4"/>
      <c r="P19" s="1"/>
      <c r="Q19" s="1"/>
      <c r="R19" s="1"/>
      <c r="S19" s="1"/>
      <c r="T19" s="1"/>
      <c r="U19" s="1"/>
      <c r="V19" s="1"/>
      <c r="W19" s="1"/>
      <c r="X19" s="1"/>
      <c r="Y19" s="1"/>
      <c r="Z19" s="1"/>
      <c r="AA19" s="1"/>
      <c r="AB19" s="1"/>
      <c r="AC19" s="1"/>
      <c r="AD19" s="1"/>
      <c r="AE19" s="1"/>
    </row>
    <row r="20">
      <c r="A20" s="31" t="s">
        <v>36</v>
      </c>
      <c r="B20" s="49" t="s">
        <v>37</v>
      </c>
      <c r="C20" s="17"/>
      <c r="D20" s="35">
        <v>500000.0</v>
      </c>
      <c r="E20" s="1"/>
      <c r="F20" s="1"/>
      <c r="G20" s="1"/>
      <c r="H20" s="1"/>
      <c r="I20" s="3"/>
      <c r="J20" s="3"/>
      <c r="K20" s="39"/>
      <c r="L20" s="39"/>
      <c r="M20" s="39"/>
      <c r="N20" s="1"/>
      <c r="O20" s="4"/>
      <c r="P20" s="1"/>
      <c r="Q20" s="1"/>
      <c r="R20" s="1"/>
      <c r="S20" s="1"/>
      <c r="T20" s="1"/>
      <c r="U20" s="1"/>
      <c r="V20" s="1"/>
      <c r="W20" s="1"/>
      <c r="X20" s="1"/>
      <c r="Y20" s="1"/>
      <c r="Z20" s="1"/>
      <c r="AA20" s="1"/>
      <c r="AB20" s="1"/>
      <c r="AC20" s="1"/>
      <c r="AD20" s="1"/>
      <c r="AE20" s="1"/>
    </row>
    <row r="21">
      <c r="A21" s="40"/>
      <c r="B21" s="22" t="s">
        <v>38</v>
      </c>
      <c r="C21" s="17"/>
      <c r="D21" s="43">
        <f>SUM(D13:D20)</f>
        <v>10227453.5</v>
      </c>
      <c r="E21" s="45"/>
      <c r="F21" s="1"/>
      <c r="G21" s="1"/>
      <c r="H21" s="1"/>
      <c r="I21" s="50"/>
      <c r="J21" s="50"/>
      <c r="K21" s="39"/>
      <c r="L21" s="39"/>
      <c r="M21" s="39"/>
      <c r="N21" s="1"/>
      <c r="O21" s="4"/>
      <c r="P21" s="1"/>
      <c r="Q21" s="1"/>
      <c r="R21" s="1"/>
      <c r="S21" s="1"/>
      <c r="T21" s="1"/>
      <c r="U21" s="1"/>
      <c r="V21" s="1"/>
      <c r="W21" s="1"/>
      <c r="X21" s="1"/>
      <c r="Y21" s="1"/>
      <c r="Z21" s="1"/>
      <c r="AA21" s="1"/>
      <c r="AB21" s="1"/>
      <c r="AC21" s="1"/>
      <c r="AD21" s="1"/>
      <c r="AE21" s="1"/>
    </row>
    <row r="22">
      <c r="A22" s="28"/>
      <c r="B22" s="29" t="s">
        <v>39</v>
      </c>
      <c r="C22" s="17"/>
      <c r="D22" s="51">
        <f>(D21/D11)</f>
        <v>6113.241781</v>
      </c>
      <c r="E22" s="45"/>
      <c r="F22" s="1"/>
      <c r="G22" s="52"/>
      <c r="H22" s="53"/>
      <c r="I22" s="54"/>
      <c r="J22" s="54"/>
      <c r="K22" s="39"/>
      <c r="L22" s="39"/>
      <c r="M22" s="39"/>
      <c r="N22" s="1"/>
      <c r="O22" s="4"/>
      <c r="P22" s="1"/>
      <c r="Q22" s="1"/>
      <c r="R22" s="1"/>
      <c r="S22" s="1"/>
      <c r="T22" s="1"/>
      <c r="U22" s="1"/>
      <c r="V22" s="1"/>
      <c r="W22" s="1"/>
      <c r="X22" s="1"/>
      <c r="Y22" s="1"/>
      <c r="Z22" s="1"/>
      <c r="AA22" s="1"/>
      <c r="AB22" s="1"/>
      <c r="AC22" s="1"/>
      <c r="AD22" s="1"/>
      <c r="AE22" s="1"/>
    </row>
    <row r="23">
      <c r="A23" s="1"/>
      <c r="B23" s="1"/>
      <c r="C23" s="1"/>
      <c r="D23" s="1"/>
      <c r="E23" s="1"/>
      <c r="F23" s="1"/>
      <c r="G23" s="1"/>
      <c r="H23" s="2"/>
      <c r="I23" s="50"/>
      <c r="J23" s="50"/>
      <c r="K23" s="2"/>
      <c r="L23" s="2"/>
      <c r="M23" s="2"/>
      <c r="N23" s="1"/>
      <c r="O23" s="27"/>
      <c r="P23" s="13"/>
      <c r="Q23" s="13"/>
      <c r="R23" s="13"/>
      <c r="S23" s="1"/>
      <c r="T23" s="1"/>
      <c r="U23" s="1"/>
      <c r="V23" s="1"/>
      <c r="W23" s="1"/>
      <c r="X23" s="1"/>
      <c r="Y23" s="1"/>
      <c r="Z23" s="1"/>
      <c r="AA23" s="1"/>
      <c r="AB23" s="1"/>
      <c r="AC23" s="1"/>
      <c r="AD23" s="1"/>
      <c r="AE23" s="1"/>
    </row>
    <row r="24">
      <c r="A24" s="55" t="s">
        <v>40</v>
      </c>
      <c r="B24" s="56" t="s">
        <v>41</v>
      </c>
      <c r="C24" s="57" t="s">
        <v>42</v>
      </c>
      <c r="D24" s="57" t="s">
        <v>43</v>
      </c>
      <c r="E24" s="57" t="s">
        <v>44</v>
      </c>
      <c r="F24" s="57" t="s">
        <v>45</v>
      </c>
      <c r="G24" s="57" t="s">
        <v>46</v>
      </c>
      <c r="H24" s="58" t="s">
        <v>47</v>
      </c>
      <c r="I24" s="59"/>
      <c r="J24" s="59" t="s">
        <v>48</v>
      </c>
      <c r="K24" s="58" t="s">
        <v>14</v>
      </c>
      <c r="L24" s="60" t="s">
        <v>49</v>
      </c>
      <c r="M24" s="59" t="s">
        <v>50</v>
      </c>
      <c r="N24" s="56" t="s">
        <v>14</v>
      </c>
      <c r="O24" s="61" t="s">
        <v>51</v>
      </c>
      <c r="P24" s="56" t="s">
        <v>52</v>
      </c>
      <c r="Q24" s="56" t="s">
        <v>53</v>
      </c>
      <c r="R24" s="56" t="s">
        <v>54</v>
      </c>
      <c r="S24" s="62" t="s">
        <v>55</v>
      </c>
      <c r="T24" s="62" t="s">
        <v>56</v>
      </c>
      <c r="U24" s="62" t="s">
        <v>57</v>
      </c>
      <c r="V24" s="62" t="s">
        <v>58</v>
      </c>
      <c r="W24" s="1"/>
      <c r="X24" s="1"/>
      <c r="Y24" s="1"/>
      <c r="Z24" s="1"/>
      <c r="AA24" s="1"/>
      <c r="AB24" s="1"/>
      <c r="AC24" s="1"/>
      <c r="AD24" s="1"/>
      <c r="AE24" s="1"/>
    </row>
    <row r="25" ht="28.5" customHeight="1">
      <c r="A25" s="63" t="s">
        <v>20</v>
      </c>
      <c r="B25" s="40"/>
      <c r="C25" s="40"/>
      <c r="D25" s="40"/>
      <c r="E25" s="40"/>
      <c r="F25" s="40"/>
      <c r="G25" s="28"/>
      <c r="H25" s="64"/>
      <c r="I25" s="40"/>
      <c r="J25" s="40"/>
      <c r="K25" s="64"/>
      <c r="L25" s="64"/>
      <c r="M25" s="40"/>
      <c r="N25" s="28"/>
      <c r="O25" s="65"/>
      <c r="P25" s="66"/>
      <c r="Q25" s="66"/>
      <c r="R25" s="66"/>
      <c r="S25" s="67"/>
      <c r="T25" s="67"/>
      <c r="U25" s="67"/>
      <c r="V25" s="67"/>
      <c r="W25" s="1"/>
      <c r="X25" s="1"/>
      <c r="Y25" s="1"/>
      <c r="Z25" s="1"/>
      <c r="AA25" s="1"/>
      <c r="AB25" s="1"/>
      <c r="AC25" s="1"/>
      <c r="AD25" s="1"/>
      <c r="AE25" s="1"/>
    </row>
    <row r="26">
      <c r="A26" s="33" t="s">
        <v>16</v>
      </c>
      <c r="B26" s="33"/>
      <c r="C26" s="33" t="s">
        <v>59</v>
      </c>
      <c r="D26" s="31" t="s">
        <v>60</v>
      </c>
      <c r="E26" s="33" t="s">
        <v>61</v>
      </c>
      <c r="F26" s="33" t="s">
        <v>59</v>
      </c>
      <c r="G26" s="31" t="s">
        <v>62</v>
      </c>
      <c r="H26" s="32" t="s">
        <v>63</v>
      </c>
      <c r="I26" s="68"/>
      <c r="J26" s="68">
        <f>H26-(H26*16.622%)</f>
        <v>208.445</v>
      </c>
      <c r="K26" s="33" t="s">
        <v>64</v>
      </c>
      <c r="L26" s="31">
        <f>3+3+7*9+100</f>
        <v>169</v>
      </c>
      <c r="M26" s="33" t="s">
        <v>65</v>
      </c>
      <c r="N26" s="69">
        <f t="shared" ref="N26:N45" si="1">L26*H26</f>
        <v>42250</v>
      </c>
      <c r="O26" s="70">
        <v>1.0</v>
      </c>
      <c r="P26" s="32">
        <f t="shared" ref="P26:P45" si="2">O26*N26</f>
        <v>42250</v>
      </c>
      <c r="Q26" s="32" t="s">
        <v>66</v>
      </c>
      <c r="R26" s="32" t="s">
        <v>67</v>
      </c>
      <c r="S26" s="71"/>
      <c r="T26" s="72"/>
      <c r="U26" s="73"/>
      <c r="V26" s="73"/>
      <c r="W26" s="74"/>
      <c r="X26" s="74"/>
      <c r="Y26" s="74"/>
      <c r="Z26" s="74"/>
      <c r="AA26" s="74"/>
      <c r="AB26" s="74"/>
      <c r="AC26" s="74"/>
      <c r="AD26" s="74"/>
      <c r="AE26" s="74"/>
    </row>
    <row r="27">
      <c r="A27" s="33" t="s">
        <v>18</v>
      </c>
      <c r="B27" s="33"/>
      <c r="C27" s="31" t="s">
        <v>68</v>
      </c>
      <c r="D27" s="31" t="s">
        <v>60</v>
      </c>
      <c r="E27" s="31" t="s">
        <v>61</v>
      </c>
      <c r="F27" s="31" t="s">
        <v>69</v>
      </c>
      <c r="G27" s="31" t="s">
        <v>62</v>
      </c>
      <c r="H27" s="32" t="s">
        <v>70</v>
      </c>
      <c r="I27" s="33"/>
      <c r="J27" s="33" t="s">
        <v>71</v>
      </c>
      <c r="K27" s="33" t="s">
        <v>71</v>
      </c>
      <c r="L27" s="31">
        <f>6*9</f>
        <v>54</v>
      </c>
      <c r="M27" s="69" t="s">
        <v>72</v>
      </c>
      <c r="N27" s="69">
        <f t="shared" si="1"/>
        <v>18900</v>
      </c>
      <c r="O27" s="70">
        <v>1.0</v>
      </c>
      <c r="P27" s="32">
        <f t="shared" si="2"/>
        <v>18900</v>
      </c>
      <c r="Q27" s="32" t="s">
        <v>73</v>
      </c>
      <c r="R27" s="69"/>
      <c r="S27" s="71"/>
      <c r="T27" s="72"/>
      <c r="U27" s="73"/>
      <c r="V27" s="73"/>
      <c r="W27" s="74"/>
      <c r="X27" s="74"/>
      <c r="Y27" s="74"/>
      <c r="Z27" s="74"/>
      <c r="AA27" s="74"/>
      <c r="AB27" s="74"/>
      <c r="AC27" s="74"/>
      <c r="AD27" s="74"/>
      <c r="AE27" s="74"/>
    </row>
    <row r="28">
      <c r="A28" s="33" t="s">
        <v>24</v>
      </c>
      <c r="B28" s="31"/>
      <c r="C28" s="75" t="s">
        <v>68</v>
      </c>
      <c r="D28" s="75" t="s">
        <v>74</v>
      </c>
      <c r="E28" s="31" t="s">
        <v>61</v>
      </c>
      <c r="F28" s="33" t="s">
        <v>75</v>
      </c>
      <c r="G28" s="75" t="s">
        <v>62</v>
      </c>
      <c r="H28" s="32">
        <v>3000.0</v>
      </c>
      <c r="I28" s="31"/>
      <c r="J28" s="31"/>
      <c r="K28" s="69"/>
      <c r="L28" s="31">
        <v>25.0</v>
      </c>
      <c r="M28" s="33"/>
      <c r="N28" s="69">
        <f t="shared" si="1"/>
        <v>75000</v>
      </c>
      <c r="O28" s="70">
        <v>1.0</v>
      </c>
      <c r="P28" s="32">
        <f t="shared" si="2"/>
        <v>75000</v>
      </c>
      <c r="Q28" s="75" t="s">
        <v>74</v>
      </c>
      <c r="R28" s="76"/>
      <c r="S28" s="75"/>
      <c r="T28" s="75"/>
      <c r="U28" s="76"/>
      <c r="V28" s="76"/>
      <c r="W28" s="52"/>
      <c r="X28" s="52"/>
      <c r="Y28" s="52"/>
      <c r="Z28" s="52"/>
      <c r="AA28" s="52"/>
      <c r="AB28" s="52"/>
      <c r="AC28" s="52"/>
      <c r="AD28" s="52"/>
      <c r="AE28" s="52"/>
    </row>
    <row r="29">
      <c r="A29" s="33" t="s">
        <v>27</v>
      </c>
      <c r="B29" s="77"/>
      <c r="C29" s="78" t="s">
        <v>68</v>
      </c>
      <c r="D29" s="78" t="s">
        <v>76</v>
      </c>
      <c r="E29" s="31" t="s">
        <v>61</v>
      </c>
      <c r="F29" s="33" t="s">
        <v>75</v>
      </c>
      <c r="G29" s="78" t="s">
        <v>62</v>
      </c>
      <c r="H29" s="32" t="s">
        <v>77</v>
      </c>
      <c r="I29" s="78"/>
      <c r="J29" s="78"/>
      <c r="K29" s="69"/>
      <c r="L29" s="31">
        <v>9.0</v>
      </c>
      <c r="M29" s="33"/>
      <c r="N29" s="69">
        <f t="shared" si="1"/>
        <v>27000</v>
      </c>
      <c r="O29" s="70">
        <v>1.0</v>
      </c>
      <c r="P29" s="32">
        <f t="shared" si="2"/>
        <v>27000</v>
      </c>
      <c r="Q29" s="78" t="s">
        <v>76</v>
      </c>
      <c r="R29" s="75"/>
      <c r="S29" s="76"/>
      <c r="T29" s="75"/>
      <c r="U29" s="76"/>
      <c r="V29" s="76"/>
      <c r="W29" s="52"/>
      <c r="X29" s="52"/>
      <c r="Y29" s="52"/>
      <c r="Z29" s="52"/>
      <c r="AA29" s="52"/>
      <c r="AB29" s="52"/>
      <c r="AC29" s="52"/>
      <c r="AD29" s="52"/>
      <c r="AE29" s="52"/>
    </row>
    <row r="30">
      <c r="A30" s="33" t="s">
        <v>30</v>
      </c>
      <c r="B30" s="77"/>
      <c r="C30" s="78" t="s">
        <v>68</v>
      </c>
      <c r="D30" s="78" t="s">
        <v>78</v>
      </c>
      <c r="E30" s="78" t="s">
        <v>79</v>
      </c>
      <c r="F30" s="33" t="s">
        <v>80</v>
      </c>
      <c r="G30" s="78" t="s">
        <v>62</v>
      </c>
      <c r="H30" s="32">
        <v>150.0</v>
      </c>
      <c r="I30" s="31"/>
      <c r="J30" s="31"/>
      <c r="K30" s="79"/>
      <c r="L30" s="31" t="s">
        <v>81</v>
      </c>
      <c r="M30" s="33"/>
      <c r="N30" s="69">
        <f t="shared" si="1"/>
        <v>140400</v>
      </c>
      <c r="O30" s="70">
        <v>1.0</v>
      </c>
      <c r="P30" s="32">
        <f t="shared" si="2"/>
        <v>140400</v>
      </c>
      <c r="Q30" s="78" t="s">
        <v>82</v>
      </c>
      <c r="R30" s="76"/>
      <c r="S30" s="75"/>
      <c r="T30" s="75"/>
      <c r="U30" s="76"/>
      <c r="V30" s="76"/>
      <c r="W30" s="52"/>
      <c r="X30" s="52"/>
      <c r="Y30" s="52"/>
      <c r="Z30" s="52"/>
      <c r="AA30" s="52"/>
      <c r="AB30" s="52"/>
      <c r="AC30" s="52"/>
      <c r="AD30" s="52"/>
      <c r="AE30" s="52"/>
    </row>
    <row r="31">
      <c r="A31" s="33" t="s">
        <v>32</v>
      </c>
      <c r="B31" s="77"/>
      <c r="C31" s="78" t="s">
        <v>68</v>
      </c>
      <c r="D31" s="78" t="s">
        <v>83</v>
      </c>
      <c r="E31" s="77"/>
      <c r="F31" s="33" t="s">
        <v>84</v>
      </c>
      <c r="G31" s="78" t="s">
        <v>62</v>
      </c>
      <c r="H31" s="32">
        <v>125.0</v>
      </c>
      <c r="I31" s="31"/>
      <c r="J31" s="31"/>
      <c r="K31" s="79"/>
      <c r="L31" s="31" t="s">
        <v>81</v>
      </c>
      <c r="M31" s="33"/>
      <c r="N31" s="69">
        <f t="shared" si="1"/>
        <v>117000</v>
      </c>
      <c r="O31" s="70">
        <v>1.0</v>
      </c>
      <c r="P31" s="32">
        <f t="shared" si="2"/>
        <v>117000</v>
      </c>
      <c r="Q31" s="78" t="s">
        <v>82</v>
      </c>
      <c r="R31" s="75"/>
      <c r="S31" s="75"/>
      <c r="T31" s="75"/>
      <c r="U31" s="76"/>
      <c r="V31" s="76"/>
      <c r="W31" s="52"/>
      <c r="X31" s="52"/>
      <c r="Y31" s="52"/>
      <c r="Z31" s="52"/>
      <c r="AA31" s="52"/>
      <c r="AB31" s="52"/>
      <c r="AC31" s="52"/>
      <c r="AD31" s="52"/>
      <c r="AE31" s="52"/>
    </row>
    <row r="32">
      <c r="A32" s="33" t="s">
        <v>34</v>
      </c>
      <c r="B32" s="31"/>
      <c r="C32" s="75" t="s">
        <v>68</v>
      </c>
      <c r="D32" s="75" t="s">
        <v>85</v>
      </c>
      <c r="E32" s="31" t="s">
        <v>86</v>
      </c>
      <c r="F32" s="33" t="s">
        <v>87</v>
      </c>
      <c r="G32" s="75" t="s">
        <v>62</v>
      </c>
      <c r="H32" s="32">
        <v>450.0</v>
      </c>
      <c r="I32" s="78"/>
      <c r="J32" s="78"/>
      <c r="K32" s="69"/>
      <c r="L32" s="31">
        <f>10*4+18+18+12+50</f>
        <v>138</v>
      </c>
      <c r="M32" s="33"/>
      <c r="N32" s="69">
        <f t="shared" si="1"/>
        <v>62100</v>
      </c>
      <c r="O32" s="70">
        <v>1.0</v>
      </c>
      <c r="P32" s="32">
        <f t="shared" si="2"/>
        <v>62100</v>
      </c>
      <c r="Q32" s="75" t="s">
        <v>88</v>
      </c>
      <c r="R32" s="76"/>
      <c r="S32" s="76"/>
      <c r="T32" s="75"/>
      <c r="U32" s="76"/>
      <c r="V32" s="76"/>
      <c r="W32" s="52"/>
      <c r="X32" s="52"/>
      <c r="Y32" s="52"/>
      <c r="Z32" s="52"/>
      <c r="AA32" s="52"/>
      <c r="AB32" s="52"/>
      <c r="AC32" s="52"/>
      <c r="AD32" s="52"/>
      <c r="AE32" s="52"/>
    </row>
    <row r="33">
      <c r="A33" s="33" t="s">
        <v>36</v>
      </c>
      <c r="B33" s="77"/>
      <c r="C33" s="78" t="s">
        <v>68</v>
      </c>
      <c r="D33" s="78" t="s">
        <v>89</v>
      </c>
      <c r="E33" s="33"/>
      <c r="F33" s="77">
        <f>VLOOKUP($B33,'Rate card'!$A$4:$G285,5,FALSE)</f>
        <v>0</v>
      </c>
      <c r="G33" s="78" t="s">
        <v>62</v>
      </c>
      <c r="H33" s="32" t="s">
        <v>90</v>
      </c>
      <c r="I33" s="78"/>
      <c r="J33" s="78"/>
      <c r="K33" s="69"/>
      <c r="L33" s="31">
        <f>40*4</f>
        <v>160</v>
      </c>
      <c r="M33" s="33"/>
      <c r="N33" s="69">
        <f t="shared" si="1"/>
        <v>32000</v>
      </c>
      <c r="O33" s="70">
        <v>1.0</v>
      </c>
      <c r="P33" s="32">
        <f t="shared" si="2"/>
        <v>32000</v>
      </c>
      <c r="Q33" s="75" t="s">
        <v>91</v>
      </c>
      <c r="R33" s="76"/>
      <c r="S33" s="76"/>
      <c r="T33" s="75"/>
      <c r="U33" s="76"/>
      <c r="V33" s="76"/>
      <c r="W33" s="52"/>
      <c r="X33" s="52"/>
      <c r="Y33" s="52"/>
      <c r="Z33" s="52"/>
      <c r="AA33" s="52"/>
      <c r="AB33" s="52"/>
      <c r="AC33" s="52"/>
      <c r="AD33" s="52"/>
      <c r="AE33" s="52"/>
    </row>
    <row r="34">
      <c r="A34" s="33" t="s">
        <v>92</v>
      </c>
      <c r="B34" s="33"/>
      <c r="C34" s="31" t="s">
        <v>68</v>
      </c>
      <c r="D34" s="31" t="s">
        <v>93</v>
      </c>
      <c r="E34" s="31" t="s">
        <v>94</v>
      </c>
      <c r="F34" s="33"/>
      <c r="G34" s="31" t="s">
        <v>62</v>
      </c>
      <c r="H34" s="32">
        <v>250.0</v>
      </c>
      <c r="I34" s="31"/>
      <c r="J34" s="31"/>
      <c r="K34" s="69"/>
      <c r="L34" s="31">
        <f t="shared" ref="L34:L35" si="3">L33</f>
        <v>160</v>
      </c>
      <c r="M34" s="33"/>
      <c r="N34" s="69">
        <f t="shared" si="1"/>
        <v>40000</v>
      </c>
      <c r="O34" s="70">
        <v>1.0</v>
      </c>
      <c r="P34" s="32">
        <f t="shared" si="2"/>
        <v>40000</v>
      </c>
      <c r="Q34" s="75" t="s">
        <v>91</v>
      </c>
      <c r="R34" s="75"/>
      <c r="S34" s="76"/>
      <c r="T34" s="75"/>
      <c r="U34" s="76"/>
      <c r="V34" s="76"/>
      <c r="W34" s="52"/>
      <c r="X34" s="52"/>
      <c r="Y34" s="52"/>
      <c r="Z34" s="52"/>
      <c r="AA34" s="52"/>
      <c r="AB34" s="52"/>
      <c r="AC34" s="52"/>
      <c r="AD34" s="52"/>
      <c r="AE34" s="52"/>
    </row>
    <row r="35">
      <c r="A35" s="33" t="s">
        <v>95</v>
      </c>
      <c r="B35" s="77"/>
      <c r="C35" s="78" t="s">
        <v>68</v>
      </c>
      <c r="D35" s="78" t="s">
        <v>96</v>
      </c>
      <c r="E35" s="77"/>
      <c r="F35" s="33" t="s">
        <v>80</v>
      </c>
      <c r="G35" s="78" t="s">
        <v>62</v>
      </c>
      <c r="H35" s="80">
        <v>150.0</v>
      </c>
      <c r="I35" s="31"/>
      <c r="J35" s="31"/>
      <c r="K35" s="79"/>
      <c r="L35" s="31">
        <f t="shared" si="3"/>
        <v>160</v>
      </c>
      <c r="M35" s="33"/>
      <c r="N35" s="69">
        <f t="shared" si="1"/>
        <v>24000</v>
      </c>
      <c r="O35" s="70">
        <v>1.0</v>
      </c>
      <c r="P35" s="32">
        <f t="shared" si="2"/>
        <v>24000</v>
      </c>
      <c r="Q35" s="75" t="s">
        <v>91</v>
      </c>
      <c r="R35" s="75"/>
      <c r="S35" s="76"/>
      <c r="T35" s="75"/>
      <c r="U35" s="76"/>
      <c r="V35" s="76"/>
      <c r="W35" s="52"/>
      <c r="X35" s="52"/>
      <c r="Y35" s="52"/>
      <c r="Z35" s="52"/>
      <c r="AA35" s="52"/>
      <c r="AB35" s="52"/>
      <c r="AC35" s="52"/>
      <c r="AD35" s="52"/>
      <c r="AE35" s="52"/>
    </row>
    <row r="36">
      <c r="A36" s="33" t="s">
        <v>97</v>
      </c>
      <c r="B36" s="77"/>
      <c r="C36" s="78" t="s">
        <v>68</v>
      </c>
      <c r="D36" s="78" t="s">
        <v>98</v>
      </c>
      <c r="E36" s="77"/>
      <c r="F36" s="77"/>
      <c r="G36" s="78" t="s">
        <v>99</v>
      </c>
      <c r="H36" s="80">
        <v>8000.0</v>
      </c>
      <c r="I36" s="31"/>
      <c r="J36" s="31"/>
      <c r="K36" s="79"/>
      <c r="L36" s="31" t="s">
        <v>27</v>
      </c>
      <c r="M36" s="33"/>
      <c r="N36" s="69">
        <f t="shared" si="1"/>
        <v>32000</v>
      </c>
      <c r="O36" s="81"/>
      <c r="P36" s="32">
        <f t="shared" si="2"/>
        <v>0</v>
      </c>
      <c r="Q36" s="76"/>
      <c r="R36" s="76"/>
      <c r="S36" s="76"/>
      <c r="T36" s="75"/>
      <c r="U36" s="76"/>
      <c r="V36" s="76"/>
      <c r="W36" s="52"/>
      <c r="X36" s="52"/>
      <c r="Y36" s="52"/>
      <c r="Z36" s="52"/>
      <c r="AA36" s="52"/>
      <c r="AB36" s="52"/>
      <c r="AC36" s="52"/>
      <c r="AD36" s="52"/>
      <c r="AE36" s="52"/>
    </row>
    <row r="37">
      <c r="A37" s="33" t="s">
        <v>100</v>
      </c>
      <c r="B37" s="67"/>
      <c r="C37" s="62" t="s">
        <v>68</v>
      </c>
      <c r="D37" s="62" t="s">
        <v>101</v>
      </c>
      <c r="E37" s="77"/>
      <c r="F37" s="77"/>
      <c r="G37" s="62" t="s">
        <v>102</v>
      </c>
      <c r="H37" s="32">
        <v>5000.0</v>
      </c>
      <c r="I37" s="78"/>
      <c r="J37" s="78"/>
      <c r="K37" s="79"/>
      <c r="L37" s="31" t="s">
        <v>27</v>
      </c>
      <c r="M37" s="33"/>
      <c r="N37" s="69">
        <f t="shared" si="1"/>
        <v>20000</v>
      </c>
      <c r="O37" s="70">
        <v>1.0</v>
      </c>
      <c r="P37" s="32">
        <f t="shared" si="2"/>
        <v>20000</v>
      </c>
      <c r="Q37" s="67"/>
      <c r="R37" s="67"/>
      <c r="S37" s="67"/>
      <c r="T37" s="62"/>
      <c r="U37" s="67"/>
      <c r="V37" s="67"/>
      <c r="W37" s="1"/>
      <c r="X37" s="1"/>
      <c r="Y37" s="1"/>
      <c r="Z37" s="1"/>
      <c r="AA37" s="1"/>
      <c r="AB37" s="1"/>
      <c r="AC37" s="1"/>
      <c r="AD37" s="1"/>
      <c r="AE37" s="1"/>
    </row>
    <row r="38" hidden="1">
      <c r="A38" s="33" t="s">
        <v>103</v>
      </c>
      <c r="B38" s="67"/>
      <c r="C38" s="62"/>
      <c r="D38" s="67"/>
      <c r="E38" s="67"/>
      <c r="F38" s="77"/>
      <c r="G38" s="62"/>
      <c r="H38" s="32"/>
      <c r="I38" s="78"/>
      <c r="J38" s="78"/>
      <c r="K38" s="79"/>
      <c r="L38" s="31"/>
      <c r="M38" s="33"/>
      <c r="N38" s="69">
        <f t="shared" si="1"/>
        <v>0</v>
      </c>
      <c r="O38" s="82"/>
      <c r="P38" s="32">
        <f t="shared" si="2"/>
        <v>0</v>
      </c>
      <c r="Q38" s="67"/>
      <c r="R38" s="67"/>
      <c r="S38" s="67"/>
      <c r="T38" s="67"/>
      <c r="U38" s="67"/>
      <c r="V38" s="67"/>
      <c r="W38" s="1"/>
      <c r="X38" s="1"/>
      <c r="Y38" s="1"/>
      <c r="Z38" s="1"/>
      <c r="AA38" s="1"/>
      <c r="AB38" s="1"/>
      <c r="AC38" s="1"/>
      <c r="AD38" s="1"/>
      <c r="AE38" s="1"/>
    </row>
    <row r="39">
      <c r="A39" s="33" t="s">
        <v>104</v>
      </c>
      <c r="B39" s="77"/>
      <c r="C39" s="78" t="s">
        <v>68</v>
      </c>
      <c r="D39" s="78" t="s">
        <v>105</v>
      </c>
      <c r="E39" s="77"/>
      <c r="F39" s="77"/>
      <c r="G39" s="78" t="s">
        <v>62</v>
      </c>
      <c r="H39" s="80">
        <v>120.0</v>
      </c>
      <c r="I39" s="31"/>
      <c r="J39" s="31"/>
      <c r="K39" s="79"/>
      <c r="L39" s="31" t="s">
        <v>70</v>
      </c>
      <c r="M39" s="33"/>
      <c r="N39" s="69">
        <f t="shared" si="1"/>
        <v>42000</v>
      </c>
      <c r="O39" s="70">
        <v>1.0</v>
      </c>
      <c r="P39" s="32">
        <f t="shared" si="2"/>
        <v>42000</v>
      </c>
      <c r="Q39" s="75" t="s">
        <v>106</v>
      </c>
      <c r="R39" s="76"/>
      <c r="S39" s="76"/>
      <c r="T39" s="76"/>
      <c r="U39" s="76"/>
      <c r="V39" s="76"/>
      <c r="W39" s="52"/>
      <c r="X39" s="52"/>
      <c r="Y39" s="52"/>
      <c r="Z39" s="52"/>
      <c r="AA39" s="52"/>
      <c r="AB39" s="52"/>
      <c r="AC39" s="52"/>
      <c r="AD39" s="52"/>
      <c r="AE39" s="52"/>
    </row>
    <row r="40">
      <c r="A40" s="33" t="s">
        <v>107</v>
      </c>
      <c r="B40" s="77"/>
      <c r="C40" s="78" t="s">
        <v>68</v>
      </c>
      <c r="D40" s="78" t="s">
        <v>108</v>
      </c>
      <c r="E40" s="77"/>
      <c r="F40" s="77"/>
      <c r="G40" s="78" t="s">
        <v>62</v>
      </c>
      <c r="H40" s="80">
        <v>950.0</v>
      </c>
      <c r="I40" s="83"/>
      <c r="J40" s="83"/>
      <c r="K40" s="84"/>
      <c r="L40" s="31">
        <f>12*8.5</f>
        <v>102</v>
      </c>
      <c r="M40" s="83"/>
      <c r="N40" s="69">
        <f t="shared" si="1"/>
        <v>96900</v>
      </c>
      <c r="O40" s="85"/>
      <c r="P40" s="32">
        <f t="shared" si="2"/>
        <v>0</v>
      </c>
      <c r="Q40" s="78" t="s">
        <v>108</v>
      </c>
      <c r="R40" s="75" t="s">
        <v>109</v>
      </c>
      <c r="S40" s="76"/>
      <c r="T40" s="76"/>
      <c r="U40" s="76"/>
      <c r="V40" s="76"/>
      <c r="W40" s="52"/>
      <c r="X40" s="52"/>
      <c r="Y40" s="52"/>
      <c r="Z40" s="52"/>
      <c r="AA40" s="52"/>
      <c r="AB40" s="52"/>
      <c r="AC40" s="52"/>
      <c r="AD40" s="52"/>
      <c r="AE40" s="52"/>
    </row>
    <row r="41">
      <c r="A41" s="31" t="s">
        <v>110</v>
      </c>
      <c r="B41" s="77"/>
      <c r="C41" s="78" t="s">
        <v>68</v>
      </c>
      <c r="D41" s="78"/>
      <c r="E41" s="77"/>
      <c r="F41" s="77"/>
      <c r="G41" s="78" t="s">
        <v>62</v>
      </c>
      <c r="H41" s="80">
        <v>300.0</v>
      </c>
      <c r="I41" s="83"/>
      <c r="J41" s="83"/>
      <c r="K41" s="84"/>
      <c r="L41" s="31" t="s">
        <v>111</v>
      </c>
      <c r="M41" s="83"/>
      <c r="N41" s="69">
        <f t="shared" si="1"/>
        <v>45000</v>
      </c>
      <c r="O41" s="70">
        <v>1.0</v>
      </c>
      <c r="P41" s="32">
        <f t="shared" si="2"/>
        <v>45000</v>
      </c>
      <c r="Q41" s="76"/>
      <c r="R41" s="75"/>
      <c r="S41" s="76"/>
      <c r="T41" s="76"/>
      <c r="U41" s="76"/>
      <c r="V41" s="76"/>
      <c r="W41" s="52"/>
      <c r="X41" s="52"/>
      <c r="Y41" s="52"/>
      <c r="Z41" s="52"/>
      <c r="AA41" s="52"/>
      <c r="AB41" s="52"/>
      <c r="AC41" s="52"/>
      <c r="AD41" s="52"/>
      <c r="AE41" s="52"/>
    </row>
    <row r="42">
      <c r="A42" s="31" t="s">
        <v>112</v>
      </c>
      <c r="B42" s="77"/>
      <c r="C42" s="78" t="s">
        <v>68</v>
      </c>
      <c r="D42" s="78" t="s">
        <v>113</v>
      </c>
      <c r="E42" s="77"/>
      <c r="F42" s="77"/>
      <c r="G42" s="78" t="s">
        <v>114</v>
      </c>
      <c r="H42" s="80">
        <v>85.0</v>
      </c>
      <c r="I42" s="83"/>
      <c r="J42" s="83"/>
      <c r="K42" s="84"/>
      <c r="L42" s="31" t="s">
        <v>115</v>
      </c>
      <c r="M42" s="83"/>
      <c r="N42" s="69">
        <f t="shared" si="1"/>
        <v>212500</v>
      </c>
      <c r="O42" s="81"/>
      <c r="P42" s="32">
        <f t="shared" si="2"/>
        <v>0</v>
      </c>
      <c r="Q42" s="76"/>
      <c r="R42" s="75"/>
      <c r="S42" s="76"/>
      <c r="T42" s="75"/>
      <c r="U42" s="76"/>
      <c r="V42" s="76"/>
      <c r="W42" s="52"/>
      <c r="X42" s="52"/>
      <c r="Y42" s="52"/>
      <c r="Z42" s="52"/>
      <c r="AA42" s="52"/>
      <c r="AB42" s="52"/>
      <c r="AC42" s="52"/>
      <c r="AD42" s="52"/>
      <c r="AE42" s="52"/>
    </row>
    <row r="43">
      <c r="A43" s="31" t="s">
        <v>116</v>
      </c>
      <c r="B43" s="77"/>
      <c r="C43" s="78" t="s">
        <v>68</v>
      </c>
      <c r="D43" s="78" t="s">
        <v>117</v>
      </c>
      <c r="E43" s="77"/>
      <c r="F43" s="77"/>
      <c r="G43" s="78"/>
      <c r="H43" s="80">
        <v>5000.0</v>
      </c>
      <c r="I43" s="83"/>
      <c r="J43" s="83"/>
      <c r="K43" s="84"/>
      <c r="L43" s="31" t="s">
        <v>30</v>
      </c>
      <c r="M43" s="83"/>
      <c r="N43" s="69">
        <f t="shared" si="1"/>
        <v>25000</v>
      </c>
      <c r="O43" s="70">
        <v>1.0</v>
      </c>
      <c r="P43" s="32">
        <f t="shared" si="2"/>
        <v>25000</v>
      </c>
      <c r="Q43" s="76"/>
      <c r="R43" s="75"/>
      <c r="S43" s="76"/>
      <c r="T43" s="76"/>
      <c r="U43" s="76"/>
      <c r="V43" s="76"/>
      <c r="W43" s="52"/>
      <c r="X43" s="52"/>
      <c r="Y43" s="52"/>
      <c r="Z43" s="52"/>
      <c r="AA43" s="52"/>
      <c r="AB43" s="52"/>
      <c r="AC43" s="52"/>
      <c r="AD43" s="52"/>
      <c r="AE43" s="52"/>
    </row>
    <row r="44">
      <c r="A44" s="31" t="s">
        <v>118</v>
      </c>
      <c r="B44" s="77"/>
      <c r="C44" s="78" t="s">
        <v>68</v>
      </c>
      <c r="D44" s="78" t="s">
        <v>119</v>
      </c>
      <c r="E44" s="77"/>
      <c r="F44" s="77"/>
      <c r="G44" s="78" t="s">
        <v>120</v>
      </c>
      <c r="H44" s="80">
        <v>2000.0</v>
      </c>
      <c r="I44" s="83"/>
      <c r="J44" s="83"/>
      <c r="K44" s="84"/>
      <c r="L44" s="31" t="s">
        <v>107</v>
      </c>
      <c r="M44" s="83"/>
      <c r="N44" s="69">
        <f t="shared" si="1"/>
        <v>30000</v>
      </c>
      <c r="O44" s="70">
        <v>1.0</v>
      </c>
      <c r="P44" s="32">
        <f t="shared" si="2"/>
        <v>30000</v>
      </c>
      <c r="Q44" s="76"/>
      <c r="R44" s="75"/>
      <c r="S44" s="76"/>
      <c r="T44" s="75"/>
      <c r="U44" s="76"/>
      <c r="V44" s="76"/>
      <c r="W44" s="52"/>
      <c r="X44" s="52"/>
      <c r="Y44" s="52"/>
      <c r="Z44" s="52"/>
      <c r="AA44" s="52"/>
      <c r="AB44" s="52"/>
      <c r="AC44" s="52"/>
      <c r="AD44" s="52"/>
      <c r="AE44" s="52"/>
    </row>
    <row r="45">
      <c r="A45" s="31" t="s">
        <v>121</v>
      </c>
      <c r="B45" s="77"/>
      <c r="C45" s="78" t="s">
        <v>68</v>
      </c>
      <c r="D45" s="78" t="s">
        <v>122</v>
      </c>
      <c r="E45" s="77"/>
      <c r="F45" s="77"/>
      <c r="G45" s="78" t="s">
        <v>123</v>
      </c>
      <c r="H45" s="80">
        <v>550.0</v>
      </c>
      <c r="I45" s="83"/>
      <c r="J45" s="83"/>
      <c r="K45" s="84"/>
      <c r="L45" s="31">
        <f>20*4</f>
        <v>80</v>
      </c>
      <c r="M45" s="83"/>
      <c r="N45" s="69">
        <f t="shared" si="1"/>
        <v>44000</v>
      </c>
      <c r="O45" s="81"/>
      <c r="P45" s="32">
        <f t="shared" si="2"/>
        <v>0</v>
      </c>
      <c r="Q45" s="76"/>
      <c r="R45" s="75" t="s">
        <v>124</v>
      </c>
      <c r="S45" s="76"/>
      <c r="T45" s="75"/>
      <c r="U45" s="76"/>
      <c r="V45" s="76"/>
      <c r="W45" s="52"/>
      <c r="X45" s="52"/>
      <c r="Y45" s="52"/>
      <c r="Z45" s="52"/>
      <c r="AA45" s="52"/>
      <c r="AB45" s="52"/>
      <c r="AC45" s="52"/>
      <c r="AD45" s="52"/>
      <c r="AE45" s="52"/>
    </row>
    <row r="46">
      <c r="A46" s="33"/>
      <c r="B46" s="77"/>
      <c r="C46" s="77"/>
      <c r="D46" s="78"/>
      <c r="E46" s="77"/>
      <c r="F46" s="77"/>
      <c r="G46" s="77"/>
      <c r="H46" s="79"/>
      <c r="I46" s="83"/>
      <c r="J46" s="83"/>
      <c r="K46" s="84"/>
      <c r="L46" s="86" t="s">
        <v>125</v>
      </c>
      <c r="M46" s="83"/>
      <c r="N46" s="84">
        <f>SUM(N26:N45)</f>
        <v>1126050</v>
      </c>
      <c r="O46" s="81"/>
      <c r="P46" s="84">
        <f>SUM(P26:P45)</f>
        <v>740650</v>
      </c>
      <c r="Q46" s="76">
        <f>P46/N46</f>
        <v>0.6577416633</v>
      </c>
      <c r="R46" s="76"/>
      <c r="S46" s="76"/>
      <c r="T46" s="76"/>
      <c r="U46" s="76"/>
      <c r="V46" s="76"/>
      <c r="W46" s="52"/>
      <c r="X46" s="52"/>
      <c r="Y46" s="52"/>
      <c r="Z46" s="52"/>
      <c r="AA46" s="52"/>
      <c r="AB46" s="52"/>
      <c r="AC46" s="52"/>
      <c r="AD46" s="52"/>
      <c r="AE46" s="52"/>
    </row>
    <row r="47" ht="28.5" customHeight="1">
      <c r="A47" s="63" t="s">
        <v>22</v>
      </c>
      <c r="B47" s="40"/>
      <c r="C47" s="40"/>
      <c r="D47" s="40"/>
      <c r="E47" s="40"/>
      <c r="F47" s="40"/>
      <c r="G47" s="28"/>
      <c r="H47" s="64"/>
      <c r="I47" s="40"/>
      <c r="J47" s="40"/>
      <c r="K47" s="64"/>
      <c r="L47" s="87"/>
      <c r="M47" s="40"/>
      <c r="N47" s="28"/>
      <c r="O47" s="88"/>
      <c r="P47" s="28"/>
      <c r="Q47" s="28"/>
      <c r="R47" s="28"/>
      <c r="S47" s="67"/>
      <c r="T47" s="67"/>
      <c r="U47" s="67"/>
      <c r="V47" s="67"/>
      <c r="W47" s="1"/>
      <c r="X47" s="1"/>
      <c r="Y47" s="1"/>
      <c r="Z47" s="1"/>
      <c r="AA47" s="1"/>
      <c r="AB47" s="1"/>
      <c r="AC47" s="1"/>
      <c r="AD47" s="1"/>
      <c r="AE47" s="1"/>
    </row>
    <row r="48">
      <c r="A48" s="33" t="s">
        <v>16</v>
      </c>
      <c r="B48" s="31" t="s">
        <v>126</v>
      </c>
      <c r="C48" s="76" t="s">
        <v>22</v>
      </c>
      <c r="D48" s="76" t="s">
        <v>127</v>
      </c>
      <c r="E48" s="75" t="s">
        <v>128</v>
      </c>
      <c r="F48" s="31" t="s">
        <v>129</v>
      </c>
      <c r="G48" s="76" t="s">
        <v>130</v>
      </c>
      <c r="H48" s="78" t="s">
        <v>131</v>
      </c>
      <c r="I48" s="78"/>
      <c r="J48" s="78" t="s">
        <v>16</v>
      </c>
      <c r="K48" s="69">
        <f t="shared" ref="K48:K49" si="4">H48*J48</f>
        <v>35000</v>
      </c>
      <c r="L48" s="32">
        <v>1.0</v>
      </c>
      <c r="M48" s="33">
        <f t="shared" ref="M48:M51" si="5">L48-K48</f>
        <v>-34999</v>
      </c>
      <c r="N48" s="79">
        <f t="shared" ref="N48:N51" si="6">L48*H48</f>
        <v>35000</v>
      </c>
      <c r="O48" s="85">
        <v>0.85</v>
      </c>
      <c r="P48" s="32">
        <f t="shared" ref="P48:P51" si="7">O48*N48</f>
        <v>29750</v>
      </c>
      <c r="Q48" s="80" t="s">
        <v>132</v>
      </c>
      <c r="R48" s="67"/>
      <c r="S48" s="67"/>
      <c r="T48" s="67"/>
      <c r="U48" s="67"/>
      <c r="V48" s="67"/>
      <c r="W48" s="1"/>
      <c r="X48" s="1"/>
      <c r="Y48" s="1"/>
      <c r="Z48" s="1"/>
      <c r="AA48" s="1"/>
      <c r="AB48" s="1"/>
      <c r="AC48" s="1"/>
      <c r="AD48" s="1"/>
      <c r="AE48" s="1"/>
    </row>
    <row r="49">
      <c r="A49" s="33" t="s">
        <v>18</v>
      </c>
      <c r="B49" s="31" t="s">
        <v>126</v>
      </c>
      <c r="C49" s="76" t="s">
        <v>22</v>
      </c>
      <c r="D49" s="76" t="s">
        <v>127</v>
      </c>
      <c r="E49" s="75" t="s">
        <v>133</v>
      </c>
      <c r="F49" s="31" t="s">
        <v>129</v>
      </c>
      <c r="G49" s="76" t="s">
        <v>130</v>
      </c>
      <c r="H49" s="78" t="s">
        <v>134</v>
      </c>
      <c r="I49" s="78"/>
      <c r="J49" s="78" t="s">
        <v>16</v>
      </c>
      <c r="K49" s="69">
        <f t="shared" si="4"/>
        <v>45000</v>
      </c>
      <c r="L49" s="32">
        <v>2.0</v>
      </c>
      <c r="M49" s="33">
        <f t="shared" si="5"/>
        <v>-44998</v>
      </c>
      <c r="N49" s="79">
        <f t="shared" si="6"/>
        <v>90000</v>
      </c>
      <c r="O49" s="85">
        <v>0.85</v>
      </c>
      <c r="P49" s="32">
        <f t="shared" si="7"/>
        <v>76500</v>
      </c>
      <c r="Q49" s="80" t="s">
        <v>135</v>
      </c>
      <c r="R49" s="67"/>
      <c r="S49" s="67"/>
      <c r="T49" s="67"/>
      <c r="U49" s="67"/>
      <c r="V49" s="67"/>
      <c r="W49" s="1"/>
      <c r="X49" s="1"/>
      <c r="Y49" s="1"/>
      <c r="Z49" s="1"/>
      <c r="AA49" s="1"/>
      <c r="AB49" s="1"/>
      <c r="AC49" s="1"/>
      <c r="AD49" s="1"/>
      <c r="AE49" s="1"/>
    </row>
    <row r="50">
      <c r="A50" s="33" t="s">
        <v>24</v>
      </c>
      <c r="B50" s="31" t="s">
        <v>126</v>
      </c>
      <c r="C50" s="76" t="s">
        <v>22</v>
      </c>
      <c r="D50" s="76" t="s">
        <v>127</v>
      </c>
      <c r="E50" s="75" t="s">
        <v>128</v>
      </c>
      <c r="F50" s="31" t="s">
        <v>129</v>
      </c>
      <c r="G50" s="76" t="s">
        <v>130</v>
      </c>
      <c r="H50" s="78" t="s">
        <v>131</v>
      </c>
      <c r="I50" s="78"/>
      <c r="J50" s="78" t="s">
        <v>16</v>
      </c>
      <c r="K50" s="69">
        <f>K48</f>
        <v>35000</v>
      </c>
      <c r="L50" s="32">
        <v>1.0</v>
      </c>
      <c r="M50" s="33">
        <f t="shared" si="5"/>
        <v>-34999</v>
      </c>
      <c r="N50" s="79">
        <f t="shared" si="6"/>
        <v>35000</v>
      </c>
      <c r="O50" s="85">
        <v>0.85</v>
      </c>
      <c r="P50" s="32">
        <f t="shared" si="7"/>
        <v>29750</v>
      </c>
      <c r="Q50" s="80" t="s">
        <v>136</v>
      </c>
      <c r="R50" s="67"/>
      <c r="S50" s="67"/>
      <c r="T50" s="67"/>
      <c r="U50" s="67"/>
      <c r="V50" s="67"/>
      <c r="W50" s="1"/>
      <c r="X50" s="1"/>
      <c r="Y50" s="1"/>
      <c r="Z50" s="1"/>
      <c r="AA50" s="1"/>
      <c r="AB50" s="1"/>
      <c r="AC50" s="1"/>
      <c r="AD50" s="1"/>
      <c r="AE50" s="1"/>
    </row>
    <row r="51" ht="69.0" customHeight="1">
      <c r="A51" s="33" t="s">
        <v>27</v>
      </c>
      <c r="B51" s="77" t="s">
        <v>137</v>
      </c>
      <c r="C51" s="67" t="str">
        <f>VLOOKUP($B51,'Rate card'!$A$4:$G285,2,FALSE)</f>
        <v>Plumbing</v>
      </c>
      <c r="D51" s="67" t="str">
        <f>VLOOKUP($B51,'Rate card'!$A$4:$G285,3,FALSE)</f>
        <v>Kitchen Plumbing</v>
      </c>
      <c r="E51" s="62" t="s">
        <v>138</v>
      </c>
      <c r="F51" s="77" t="str">
        <f>VLOOKUP($B51,'Rate card'!$A$4:$G285,5,FALSE)</f>
        <v>all plumbing concealed wall and floor CPVC and UPVC pipes and chipping and replastering work </v>
      </c>
      <c r="G51" s="67" t="str">
        <f>VLOOKUP($B51,'Rate card'!$A$4:$G285,6,FALSE)</f>
        <v>per kitchen</v>
      </c>
      <c r="H51" s="31" t="s">
        <v>139</v>
      </c>
      <c r="I51" s="33"/>
      <c r="J51" s="33" t="s">
        <v>16</v>
      </c>
      <c r="K51" s="69">
        <f>H51*J51</f>
        <v>20000</v>
      </c>
      <c r="L51" s="32">
        <v>1.0</v>
      </c>
      <c r="M51" s="33">
        <f t="shared" si="5"/>
        <v>-19999</v>
      </c>
      <c r="N51" s="79">
        <f t="shared" si="6"/>
        <v>20000</v>
      </c>
      <c r="O51" s="85">
        <v>0.85</v>
      </c>
      <c r="P51" s="32">
        <f t="shared" si="7"/>
        <v>17000</v>
      </c>
      <c r="Q51" s="80" t="s">
        <v>140</v>
      </c>
      <c r="R51" s="67"/>
      <c r="S51" s="67"/>
      <c r="T51" s="67"/>
      <c r="U51" s="67"/>
      <c r="V51" s="67"/>
      <c r="W51" s="1"/>
      <c r="X51" s="1"/>
      <c r="Y51" s="1"/>
      <c r="Z51" s="1"/>
      <c r="AA51" s="1"/>
      <c r="AB51" s="1"/>
      <c r="AC51" s="1"/>
      <c r="AD51" s="1"/>
      <c r="AE51" s="1"/>
    </row>
    <row r="52">
      <c r="A52" s="33"/>
      <c r="B52" s="33"/>
      <c r="C52" s="33"/>
      <c r="D52" s="33"/>
      <c r="E52" s="33"/>
      <c r="F52" s="33"/>
      <c r="G52" s="33"/>
      <c r="H52" s="89"/>
      <c r="I52" s="83"/>
      <c r="J52" s="83" t="s">
        <v>125</v>
      </c>
      <c r="K52" s="84">
        <f>SUM(K48:K51)</f>
        <v>135000</v>
      </c>
      <c r="L52" s="90" t="s">
        <v>125</v>
      </c>
      <c r="M52" s="83">
        <f>sum(M48:M51)</f>
        <v>-134995</v>
      </c>
      <c r="N52" s="84">
        <f>SUM(N48:N51)</f>
        <v>180000</v>
      </c>
      <c r="O52" s="81"/>
      <c r="P52" s="84">
        <f>SUM(P48:P51)</f>
        <v>153000</v>
      </c>
      <c r="Q52" s="76"/>
      <c r="R52" s="76"/>
      <c r="S52" s="76"/>
      <c r="T52" s="76"/>
      <c r="U52" s="76"/>
      <c r="V52" s="76"/>
      <c r="W52" s="52"/>
      <c r="X52" s="52"/>
      <c r="Y52" s="52"/>
      <c r="Z52" s="52"/>
      <c r="AA52" s="52"/>
      <c r="AB52" s="52"/>
      <c r="AC52" s="52"/>
      <c r="AD52" s="52"/>
      <c r="AE52" s="52"/>
    </row>
    <row r="53" ht="28.5" customHeight="1">
      <c r="A53" s="63" t="s">
        <v>25</v>
      </c>
      <c r="B53" s="40"/>
      <c r="C53" s="40"/>
      <c r="D53" s="40"/>
      <c r="E53" s="40"/>
      <c r="F53" s="40"/>
      <c r="G53" s="28"/>
      <c r="H53" s="64"/>
      <c r="I53" s="40"/>
      <c r="J53" s="40"/>
      <c r="K53" s="64"/>
      <c r="L53" s="64"/>
      <c r="M53" s="40"/>
      <c r="N53" s="28"/>
      <c r="O53" s="88"/>
      <c r="P53" s="28"/>
      <c r="Q53" s="28"/>
      <c r="R53" s="28"/>
      <c r="S53" s="67"/>
      <c r="T53" s="67"/>
      <c r="U53" s="67"/>
      <c r="V53" s="67"/>
      <c r="W53" s="1"/>
      <c r="X53" s="1"/>
      <c r="Y53" s="1"/>
      <c r="Z53" s="1"/>
      <c r="AA53" s="1"/>
      <c r="AB53" s="1"/>
      <c r="AC53" s="1"/>
      <c r="AD53" s="1"/>
      <c r="AE53" s="1"/>
    </row>
    <row r="54">
      <c r="A54" s="33" t="s">
        <v>16</v>
      </c>
      <c r="B54" s="33" t="s">
        <v>141</v>
      </c>
      <c r="C54" s="77" t="s">
        <v>25</v>
      </c>
      <c r="D54" s="77" t="s">
        <v>142</v>
      </c>
      <c r="E54" s="77" t="s">
        <v>143</v>
      </c>
      <c r="F54" s="77" t="s">
        <v>144</v>
      </c>
      <c r="G54" s="33" t="s">
        <v>145</v>
      </c>
      <c r="H54" s="78" t="s">
        <v>70</v>
      </c>
      <c r="I54" s="78"/>
      <c r="J54" s="78" t="s">
        <v>146</v>
      </c>
      <c r="K54" s="69">
        <f>H54*J54</f>
        <v>585550</v>
      </c>
      <c r="L54" s="32">
        <v>1673.0</v>
      </c>
      <c r="M54" s="33">
        <f>L54-K54</f>
        <v>-583877</v>
      </c>
      <c r="N54" s="80">
        <f>L54*H54</f>
        <v>585550</v>
      </c>
      <c r="O54" s="85">
        <v>0.75</v>
      </c>
      <c r="P54" s="32">
        <f>O54*N54</f>
        <v>439162.5</v>
      </c>
      <c r="Q54" s="62" t="s">
        <v>145</v>
      </c>
      <c r="R54" s="67"/>
      <c r="S54" s="67"/>
      <c r="T54" s="67"/>
      <c r="U54" s="67"/>
      <c r="V54" s="67"/>
      <c r="W54" s="1"/>
      <c r="X54" s="1"/>
      <c r="Y54" s="1"/>
      <c r="Z54" s="1"/>
      <c r="AA54" s="1"/>
      <c r="AB54" s="1"/>
      <c r="AC54" s="1"/>
      <c r="AD54" s="1"/>
      <c r="AE54" s="1"/>
    </row>
    <row r="55">
      <c r="A55" s="33"/>
      <c r="B55" s="33"/>
      <c r="C55" s="77"/>
      <c r="D55" s="77"/>
      <c r="E55" s="77"/>
      <c r="F55" s="77"/>
      <c r="G55" s="77"/>
      <c r="H55" s="91"/>
      <c r="I55" s="83"/>
      <c r="J55" s="83" t="s">
        <v>125</v>
      </c>
      <c r="K55" s="92">
        <f>SUM(K54)</f>
        <v>585550</v>
      </c>
      <c r="L55" s="93" t="s">
        <v>147</v>
      </c>
      <c r="M55" s="83"/>
      <c r="N55" s="92">
        <f>SUM(N54)</f>
        <v>585550</v>
      </c>
      <c r="O55" s="82"/>
      <c r="P55" s="92">
        <f>SUM(P54)</f>
        <v>439162.5</v>
      </c>
      <c r="Q55" s="67"/>
      <c r="R55" s="67"/>
      <c r="S55" s="67"/>
      <c r="T55" s="67"/>
      <c r="U55" s="67"/>
      <c r="V55" s="67"/>
      <c r="W55" s="1"/>
      <c r="X55" s="1"/>
      <c r="Y55" s="1"/>
      <c r="Z55" s="1"/>
      <c r="AA55" s="1"/>
      <c r="AB55" s="1"/>
      <c r="AC55" s="1"/>
      <c r="AD55" s="1"/>
      <c r="AE55" s="1"/>
    </row>
    <row r="56">
      <c r="A56" s="25" t="s">
        <v>148</v>
      </c>
      <c r="B56" s="40"/>
      <c r="C56" s="40"/>
      <c r="D56" s="40"/>
      <c r="E56" s="40"/>
      <c r="F56" s="40"/>
      <c r="G56" s="64"/>
      <c r="H56" s="40"/>
      <c r="I56" s="64"/>
      <c r="J56" s="64"/>
      <c r="K56" s="64"/>
      <c r="L56" s="64"/>
      <c r="M56" s="64"/>
      <c r="N56" s="28"/>
      <c r="O56" s="88"/>
      <c r="P56" s="28"/>
      <c r="Q56" s="28"/>
      <c r="R56" s="28"/>
      <c r="S56" s="67"/>
      <c r="T56" s="67"/>
      <c r="U56" s="67"/>
      <c r="V56" s="67"/>
      <c r="W56" s="1"/>
      <c r="X56" s="1"/>
      <c r="Y56" s="1"/>
      <c r="Z56" s="1"/>
      <c r="AA56" s="1"/>
      <c r="AB56" s="1"/>
      <c r="AC56" s="1"/>
      <c r="AD56" s="1"/>
      <c r="AE56" s="1"/>
    </row>
    <row r="57">
      <c r="A57" s="33" t="s">
        <v>16</v>
      </c>
      <c r="B57" s="77" t="s">
        <v>149</v>
      </c>
      <c r="C57" s="77" t="str">
        <f>VLOOKUP($B57,'Rate card'!$A$4:$G285,2,FALSE)</f>
        <v>False Ceiling</v>
      </c>
      <c r="D57" s="77" t="str">
        <f>VLOOKUP($B57,'Rate card'!$A$4:$G285,3,FALSE)</f>
        <v>Gypsum Board Ceiling</v>
      </c>
      <c r="E57" s="77" t="str">
        <f>VLOOKUP($B57,'Rate card'!$A$4:$G285,4,FALSE)</f>
        <v>Saint Gobain/Gyproc Board + local A Grade  channel</v>
      </c>
      <c r="F57" s="77" t="str">
        <f>VLOOKUP($B57,'Rate card'!$A$4:$G285,5,FALSE)</f>
        <v>12.5mm thick gypsum board, with local A Grade Channel including all material, labour, transportation etc | Ceiling Channel and Intermediate Channel at 900mm c/c &amp; Ceiling Section at 450mm c/c</v>
      </c>
      <c r="G57" s="77" t="str">
        <f>VLOOKUP($B57,'Rate card'!$A$4:$G285,6,FALSE)</f>
        <v>Sqft</v>
      </c>
      <c r="H57" s="62">
        <v>120.0</v>
      </c>
      <c r="I57" s="78"/>
      <c r="J57" s="78" t="s">
        <v>150</v>
      </c>
      <c r="K57" s="79">
        <f t="shared" ref="K57:K61" si="8">H57*J57</f>
        <v>173640</v>
      </c>
      <c r="L57" s="32">
        <v>1450.0</v>
      </c>
      <c r="M57" s="33">
        <f t="shared" ref="M57:M60" si="9">L57-K57</f>
        <v>-172190</v>
      </c>
      <c r="N57" s="79">
        <f t="shared" ref="N57:N61" si="10">L57*H57</f>
        <v>174000</v>
      </c>
      <c r="O57" s="85">
        <v>0.95</v>
      </c>
      <c r="P57" s="32">
        <f t="shared" ref="P57:P60" si="11">O57*N57</f>
        <v>165300</v>
      </c>
      <c r="Q57" s="67" t="s">
        <v>151</v>
      </c>
      <c r="R57" s="67"/>
      <c r="S57" s="67"/>
      <c r="T57" s="67"/>
      <c r="U57" s="67"/>
      <c r="V57" s="67"/>
      <c r="W57" s="1"/>
      <c r="X57" s="1"/>
      <c r="Y57" s="1"/>
      <c r="Z57" s="1"/>
      <c r="AA57" s="1"/>
      <c r="AB57" s="1"/>
      <c r="AC57" s="1"/>
      <c r="AD57" s="1"/>
      <c r="AE57" s="1"/>
    </row>
    <row r="58">
      <c r="A58" s="33" t="s">
        <v>18</v>
      </c>
      <c r="B58" s="33" t="s">
        <v>152</v>
      </c>
      <c r="C58" s="33" t="str">
        <f>VLOOKUP($B58,'Rate card'!$A$4:$G285,2,FALSE)</f>
        <v>False Ceiling</v>
      </c>
      <c r="D58" s="33" t="str">
        <f>VLOOKUP($B58,'Rate card'!$A$4:$G285,3,FALSE)</f>
        <v>Gypsum Board Cove</v>
      </c>
      <c r="E58" s="33" t="str">
        <f>VLOOKUP($B58,'Rate card'!$A$4:$G285,4,FALSE)</f>
        <v>Gypsum cove</v>
      </c>
      <c r="F58" s="33" t="str">
        <f>VLOOKUP($B58,'Rate card'!$A$4:$G285,5,FALSE)</f>
        <v>12.5mm thick gypsum board, with local A Grade Channel including all material, labour, transportation etc | Ceiling Channel and Intermediate Channel at 900mm c/c &amp; Ceiling Section at 450mm c/c</v>
      </c>
      <c r="G58" s="33" t="str">
        <f>VLOOKUP($B58,'Rate card'!$A$4:$G285,6,FALSE)</f>
        <v>Rft</v>
      </c>
      <c r="H58" s="94">
        <v>120.0</v>
      </c>
      <c r="I58" s="31"/>
      <c r="J58" s="31" t="s">
        <v>153</v>
      </c>
      <c r="K58" s="69">
        <f t="shared" si="8"/>
        <v>96000</v>
      </c>
      <c r="L58" s="32">
        <v>800.0</v>
      </c>
      <c r="M58" s="33">
        <f t="shared" si="9"/>
        <v>-95200</v>
      </c>
      <c r="N58" s="79">
        <f t="shared" si="10"/>
        <v>96000</v>
      </c>
      <c r="O58" s="85">
        <v>0.85</v>
      </c>
      <c r="P58" s="32">
        <f t="shared" si="11"/>
        <v>81600</v>
      </c>
      <c r="Q58" s="67" t="s">
        <v>151</v>
      </c>
      <c r="R58" s="67"/>
      <c r="S58" s="67"/>
      <c r="T58" s="67"/>
      <c r="U58" s="67"/>
      <c r="V58" s="67"/>
      <c r="W58" s="1"/>
      <c r="X58" s="1"/>
      <c r="Y58" s="1"/>
      <c r="Z58" s="1"/>
      <c r="AA58" s="1"/>
      <c r="AB58" s="1"/>
      <c r="AC58" s="1"/>
      <c r="AD58" s="1"/>
      <c r="AE58" s="1"/>
    </row>
    <row r="59">
      <c r="A59" s="33" t="s">
        <v>24</v>
      </c>
      <c r="B59" s="77" t="s">
        <v>154</v>
      </c>
      <c r="C59" s="77" t="str">
        <f>VLOOKUP($B59,'Rate card'!$A$4:$G285,2,FALSE)</f>
        <v>False Ceiling</v>
      </c>
      <c r="D59" s="77" t="str">
        <f>VLOOKUP($B59,'Rate card'!$A$4:$G285,3,FALSE)</f>
        <v>Hilux Board ceiling</v>
      </c>
      <c r="E59" s="77" t="str">
        <f>VLOOKUP($B59,'Rate card'!$A$4:$G285,4,FALSE)</f>
        <v>Hilux Board + local A Grade  channel</v>
      </c>
      <c r="F59" s="77" t="str">
        <f>VLOOKUP($B59,'Rate card'!$A$4:$G285,5,FALSE)</f>
        <v>8mm Ramco hilux board, with local A Grade Channel including all material, labour, transportation etc | Ceiling Channel and Intermediate Channel at 900mm c/c &amp; Ceiling Section at 450mm c/c</v>
      </c>
      <c r="G59" s="77" t="str">
        <f>VLOOKUP($B59,'Rate card'!$A$4:$G285,6,FALSE)</f>
        <v>Sqft</v>
      </c>
      <c r="H59" s="94">
        <v>200.0</v>
      </c>
      <c r="I59" s="78"/>
      <c r="J59" s="78" t="s">
        <v>155</v>
      </c>
      <c r="K59" s="79">
        <f t="shared" si="8"/>
        <v>45200</v>
      </c>
      <c r="L59" s="32">
        <v>200.0</v>
      </c>
      <c r="M59" s="33">
        <f t="shared" si="9"/>
        <v>-45000</v>
      </c>
      <c r="N59" s="79">
        <f t="shared" si="10"/>
        <v>40000</v>
      </c>
      <c r="O59" s="85">
        <v>0.3</v>
      </c>
      <c r="P59" s="32">
        <f t="shared" si="11"/>
        <v>12000</v>
      </c>
      <c r="Q59" s="67" t="s">
        <v>156</v>
      </c>
      <c r="R59" s="67"/>
      <c r="S59" s="67"/>
      <c r="T59" s="67"/>
      <c r="U59" s="67"/>
      <c r="V59" s="67"/>
      <c r="W59" s="1"/>
      <c r="X59" s="1"/>
      <c r="Y59" s="1"/>
      <c r="Z59" s="1"/>
      <c r="AA59" s="1"/>
      <c r="AB59" s="1"/>
      <c r="AC59" s="1"/>
      <c r="AD59" s="1"/>
      <c r="AE59" s="1"/>
    </row>
    <row r="60">
      <c r="A60" s="33" t="s">
        <v>27</v>
      </c>
      <c r="B60" s="77" t="s">
        <v>157</v>
      </c>
      <c r="C60" s="77" t="str">
        <f>VLOOKUP($B60,'Rate card'!$A$4:$G285,2,FALSE)</f>
        <v>POP</v>
      </c>
      <c r="D60" s="77" t="str">
        <f>VLOOKUP($B60,'Rate card'!$A$4:$G285,3,FALSE)</f>
        <v>POP Punning</v>
      </c>
      <c r="E60" s="77" t="str">
        <f>VLOOKUP($B60,'Rate card'!$A$4:$G285,4,FALSE)</f>
        <v>POP Punning (Plum) 12-25mm thick</v>
      </c>
      <c r="F60" s="77" t="str">
        <f>VLOOKUP($B60,'Rate card'!$A$4:$G285,5,FALSE)</f>
        <v>Providing and applying 12-25  mm thick POP punning on wall /ceiling including scrapping and hacking the existing finished surface and applying plaster of paris in proper line and levels etc. complete.</v>
      </c>
      <c r="G60" s="77" t="str">
        <f>VLOOKUP($B60,'Rate card'!$A$4:$G285,6,FALSE)</f>
        <v>Sqft</v>
      </c>
      <c r="H60" s="95">
        <v>45.0</v>
      </c>
      <c r="I60" s="78"/>
      <c r="J60" s="78" t="s">
        <v>158</v>
      </c>
      <c r="K60" s="79">
        <f t="shared" si="8"/>
        <v>45000</v>
      </c>
      <c r="L60" s="32">
        <v>2500.0</v>
      </c>
      <c r="M60" s="33">
        <f t="shared" si="9"/>
        <v>-42500</v>
      </c>
      <c r="N60" s="79">
        <f t="shared" si="10"/>
        <v>112500</v>
      </c>
      <c r="O60" s="85">
        <v>0.85</v>
      </c>
      <c r="P60" s="32">
        <f t="shared" si="11"/>
        <v>95625</v>
      </c>
      <c r="Q60" s="62" t="s">
        <v>159</v>
      </c>
      <c r="R60" s="67"/>
      <c r="S60" s="67"/>
      <c r="T60" s="67"/>
      <c r="U60" s="67"/>
      <c r="V60" s="67"/>
      <c r="W60" s="1"/>
      <c r="X60" s="1"/>
      <c r="Y60" s="1"/>
      <c r="Z60" s="1"/>
      <c r="AA60" s="1"/>
      <c r="AB60" s="1"/>
      <c r="AC60" s="1"/>
      <c r="AD60" s="1"/>
      <c r="AE60" s="1"/>
    </row>
    <row r="61">
      <c r="A61" s="31" t="s">
        <v>30</v>
      </c>
      <c r="B61" s="77" t="s">
        <v>160</v>
      </c>
      <c r="C61" s="77" t="str">
        <f>VLOOKUP($B61,'Rate card'!$A$4:$G285,2,FALSE)</f>
        <v>False Ceiling</v>
      </c>
      <c r="D61" s="77" t="str">
        <f>VLOOKUP($B61,'Rate card'!$A$4:$G285,3,FALSE)</f>
        <v>Light Gala cutting</v>
      </c>
      <c r="E61" s="77" t="str">
        <f>VLOOKUP($B61,'Rate card'!$A$4:$G285,4,FALSE)</f>
        <v>NA</v>
      </c>
      <c r="F61" s="77" t="str">
        <f>VLOOKUP($B61,'Rate card'!$A$4:$G285,5,FALSE)</f>
        <v>NA</v>
      </c>
      <c r="G61" s="77" t="str">
        <f>VLOOKUP($B61,'Rate card'!$A$4:$G285,6,FALSE)</f>
        <v>Nos</v>
      </c>
      <c r="H61" s="94">
        <v>100.0</v>
      </c>
      <c r="I61" s="78"/>
      <c r="J61" s="78" t="s">
        <v>90</v>
      </c>
      <c r="K61" s="79">
        <f t="shared" si="8"/>
        <v>20000</v>
      </c>
      <c r="L61" s="32">
        <v>200.0</v>
      </c>
      <c r="M61" s="33" t="str">
        <f>#REF!-#REF!</f>
        <v>#REF!</v>
      </c>
      <c r="N61" s="79">
        <f t="shared" si="10"/>
        <v>20000</v>
      </c>
      <c r="O61" s="82"/>
      <c r="P61" s="67"/>
      <c r="Q61" s="67" t="s">
        <v>151</v>
      </c>
      <c r="R61" s="67"/>
      <c r="S61" s="67"/>
      <c r="T61" s="67"/>
      <c r="U61" s="67"/>
      <c r="V61" s="67"/>
      <c r="W61" s="1"/>
      <c r="X61" s="1"/>
      <c r="Y61" s="1"/>
      <c r="Z61" s="1"/>
      <c r="AA61" s="1"/>
      <c r="AB61" s="1"/>
      <c r="AC61" s="1"/>
      <c r="AD61" s="1"/>
      <c r="AE61" s="1"/>
    </row>
    <row r="62">
      <c r="A62" s="33"/>
      <c r="B62" s="33"/>
      <c r="C62" s="77"/>
      <c r="D62" s="77"/>
      <c r="E62" s="77"/>
      <c r="F62" s="77"/>
      <c r="G62" s="77"/>
      <c r="H62" s="91"/>
      <c r="I62" s="83"/>
      <c r="J62" s="83" t="s">
        <v>125</v>
      </c>
      <c r="K62" s="92">
        <f>SUM(K57:K61)</f>
        <v>379840</v>
      </c>
      <c r="L62" s="93" t="s">
        <v>147</v>
      </c>
      <c r="M62" s="83" t="s">
        <v>125</v>
      </c>
      <c r="N62" s="92">
        <f>SUM(N57:N61)</f>
        <v>442500</v>
      </c>
      <c r="O62" s="82"/>
      <c r="P62" s="92">
        <f>SUM(P57:P61)</f>
        <v>354525</v>
      </c>
      <c r="Q62" s="67"/>
      <c r="R62" s="67"/>
      <c r="S62" s="67"/>
      <c r="T62" s="67"/>
      <c r="U62" s="67"/>
      <c r="V62" s="67"/>
      <c r="W62" s="1"/>
      <c r="X62" s="1"/>
      <c r="Y62" s="1"/>
      <c r="Z62" s="1"/>
      <c r="AA62" s="1"/>
      <c r="AB62" s="1"/>
      <c r="AC62" s="1"/>
      <c r="AD62" s="1"/>
      <c r="AE62" s="1"/>
    </row>
    <row r="63">
      <c r="A63" s="25" t="s">
        <v>31</v>
      </c>
      <c r="B63" s="40"/>
      <c r="C63" s="40"/>
      <c r="D63" s="40"/>
      <c r="E63" s="40"/>
      <c r="F63" s="40"/>
      <c r="G63" s="28"/>
      <c r="H63" s="64"/>
      <c r="I63" s="64"/>
      <c r="J63" s="64"/>
      <c r="K63" s="64"/>
      <c r="L63" s="64"/>
      <c r="M63" s="64"/>
      <c r="N63" s="28"/>
      <c r="O63" s="88"/>
      <c r="P63" s="28"/>
      <c r="Q63" s="28"/>
      <c r="R63" s="28"/>
      <c r="S63" s="67"/>
      <c r="T63" s="67"/>
      <c r="U63" s="67"/>
      <c r="V63" s="67"/>
      <c r="W63" s="1"/>
      <c r="X63" s="1"/>
      <c r="Y63" s="1"/>
      <c r="Z63" s="1"/>
      <c r="AA63" s="1"/>
      <c r="AB63" s="1"/>
      <c r="AC63" s="1"/>
      <c r="AD63" s="1"/>
      <c r="AE63" s="1"/>
    </row>
    <row r="64">
      <c r="A64" s="63" t="s">
        <v>161</v>
      </c>
      <c r="B64" s="40"/>
      <c r="C64" s="40"/>
      <c r="D64" s="40"/>
      <c r="E64" s="40"/>
      <c r="F64" s="40"/>
      <c r="G64" s="28"/>
      <c r="H64" s="64"/>
      <c r="I64" s="40"/>
      <c r="J64" s="40"/>
      <c r="K64" s="64"/>
      <c r="L64" s="64"/>
      <c r="M64" s="40"/>
      <c r="N64" s="28"/>
      <c r="O64" s="88"/>
      <c r="P64" s="28"/>
      <c r="Q64" s="28"/>
      <c r="R64" s="28"/>
      <c r="S64" s="67"/>
      <c r="T64" s="67"/>
      <c r="U64" s="67"/>
      <c r="V64" s="67"/>
      <c r="W64" s="1"/>
      <c r="X64" s="1"/>
      <c r="Y64" s="1"/>
      <c r="Z64" s="1"/>
      <c r="AA64" s="1"/>
      <c r="AB64" s="1"/>
      <c r="AC64" s="1"/>
      <c r="AD64" s="1"/>
      <c r="AE64" s="1"/>
    </row>
    <row r="65">
      <c r="A65" s="31" t="s">
        <v>16</v>
      </c>
      <c r="B65" s="62" t="s">
        <v>162</v>
      </c>
      <c r="C65" s="95" t="str">
        <f>VLOOKUP($B65,'Rate card'!$A$4:$G285,2,FALSE)</f>
        <v>Carpentry</v>
      </c>
      <c r="D65" s="75" t="s">
        <v>163</v>
      </c>
      <c r="E65" s="95" t="s">
        <v>164</v>
      </c>
      <c r="F65" s="75" t="s">
        <v>165</v>
      </c>
      <c r="G65" s="95" t="str">
        <f>VLOOKUP($B65,'Rate card'!$A$4:$G285,6,FALSE)</f>
        <v>Nos</v>
      </c>
      <c r="H65" s="62">
        <v>65000.0</v>
      </c>
      <c r="I65" s="78"/>
      <c r="J65" s="78" t="s">
        <v>16</v>
      </c>
      <c r="K65" s="79">
        <f t="shared" ref="K65:K67" si="12">H65*J65</f>
        <v>65000</v>
      </c>
      <c r="L65" s="62">
        <v>1.0</v>
      </c>
      <c r="M65" s="67"/>
      <c r="N65" s="69">
        <f t="shared" ref="N65:N68" si="13">L65*H65</f>
        <v>65000</v>
      </c>
      <c r="O65" s="70">
        <v>0.45</v>
      </c>
      <c r="P65" s="32">
        <f t="shared" ref="P65:P79" si="14">O65*N65</f>
        <v>29250</v>
      </c>
      <c r="Q65" s="75" t="s">
        <v>166</v>
      </c>
      <c r="R65" s="67"/>
      <c r="S65" s="67"/>
      <c r="T65" s="67"/>
      <c r="U65" s="79">
        <f t="shared" ref="U65:U66" si="15">N65</f>
        <v>65000</v>
      </c>
      <c r="V65" s="67"/>
      <c r="W65" s="1"/>
      <c r="X65" s="1"/>
      <c r="Y65" s="1"/>
      <c r="Z65" s="1"/>
      <c r="AA65" s="1"/>
      <c r="AB65" s="1"/>
      <c r="AC65" s="1"/>
      <c r="AD65" s="1"/>
      <c r="AE65" s="1"/>
    </row>
    <row r="66">
      <c r="A66" s="31" t="s">
        <v>18</v>
      </c>
      <c r="B66" s="62" t="s">
        <v>162</v>
      </c>
      <c r="C66" s="76" t="s">
        <v>31</v>
      </c>
      <c r="D66" s="76" t="s">
        <v>167</v>
      </c>
      <c r="E66" s="76" t="s">
        <v>164</v>
      </c>
      <c r="F66" s="76" t="s">
        <v>168</v>
      </c>
      <c r="G66" s="76" t="s">
        <v>120</v>
      </c>
      <c r="H66" s="62">
        <v>750.0</v>
      </c>
      <c r="I66" s="78"/>
      <c r="J66" s="78">
        <f>4+9+9</f>
        <v>22</v>
      </c>
      <c r="K66" s="79">
        <f t="shared" si="12"/>
        <v>16500</v>
      </c>
      <c r="L66" s="62">
        <v>22.0</v>
      </c>
      <c r="M66" s="67"/>
      <c r="N66" s="69">
        <f t="shared" si="13"/>
        <v>16500</v>
      </c>
      <c r="O66" s="70">
        <v>0.25</v>
      </c>
      <c r="P66" s="32">
        <f t="shared" si="14"/>
        <v>4125</v>
      </c>
      <c r="Q66" s="75" t="s">
        <v>169</v>
      </c>
      <c r="R66" s="67"/>
      <c r="S66" s="67"/>
      <c r="T66" s="67"/>
      <c r="U66" s="79">
        <f t="shared" si="15"/>
        <v>16500</v>
      </c>
      <c r="V66" s="67"/>
      <c r="W66" s="1"/>
      <c r="X66" s="1"/>
      <c r="Y66" s="1"/>
      <c r="Z66" s="1"/>
      <c r="AA66" s="1"/>
      <c r="AB66" s="1"/>
      <c r="AC66" s="1"/>
      <c r="AD66" s="1"/>
      <c r="AE66" s="1"/>
    </row>
    <row r="67">
      <c r="A67" s="31" t="s">
        <v>24</v>
      </c>
      <c r="B67" s="75" t="s">
        <v>170</v>
      </c>
      <c r="C67" s="95" t="str">
        <f>VLOOKUP($B67,'Rate card'!$A$4:$G285,2,FALSE)</f>
        <v>Carpentry</v>
      </c>
      <c r="D67" s="95" t="str">
        <f>VLOOKUP($B67,'Rate card'!$A$4:$G285,3,FALSE)</f>
        <v>Carcass Storage</v>
      </c>
      <c r="E67" s="95" t="str">
        <f>VLOOKUP($B67,'Rate card'!$A$4:$G285,4,FALSE)</f>
        <v>Laminate Finish</v>
      </c>
      <c r="F67" s="95" t="str">
        <f>VLOOKUP($B67,'Rate card'!$A$4:$G285,5,FALSE)</f>
        <v>MR ply + Inside laminate + finish laminate</v>
      </c>
      <c r="G67" s="95" t="str">
        <f>VLOOKUP($B67,'Rate card'!$A$4:$G285,6,FALSE)</f>
        <v>Sqft</v>
      </c>
      <c r="H67" s="75">
        <v>1800.0</v>
      </c>
      <c r="I67" s="31"/>
      <c r="J67" s="31">
        <f>7.5*10</f>
        <v>75</v>
      </c>
      <c r="K67" s="69">
        <f t="shared" si="12"/>
        <v>135000</v>
      </c>
      <c r="L67" s="67">
        <f>10.5*8.5</f>
        <v>89.25</v>
      </c>
      <c r="M67" s="67"/>
      <c r="N67" s="69">
        <f t="shared" si="13"/>
        <v>160650</v>
      </c>
      <c r="O67" s="70">
        <v>0.25</v>
      </c>
      <c r="P67" s="32">
        <f t="shared" si="14"/>
        <v>40162.5</v>
      </c>
      <c r="Q67" s="31" t="s">
        <v>171</v>
      </c>
      <c r="R67" s="62" t="s">
        <v>172</v>
      </c>
      <c r="S67" s="76"/>
      <c r="T67" s="96">
        <f>N67</f>
        <v>160650</v>
      </c>
      <c r="U67" s="76"/>
      <c r="V67" s="76"/>
      <c r="W67" s="52"/>
      <c r="X67" s="52"/>
      <c r="Y67" s="52"/>
      <c r="Z67" s="52"/>
      <c r="AA67" s="52"/>
      <c r="AB67" s="52"/>
      <c r="AC67" s="52"/>
      <c r="AD67" s="52"/>
      <c r="AE67" s="52"/>
    </row>
    <row r="68">
      <c r="A68" s="31" t="s">
        <v>27</v>
      </c>
      <c r="B68" s="95"/>
      <c r="C68" s="75" t="s">
        <v>31</v>
      </c>
      <c r="D68" s="31" t="s">
        <v>173</v>
      </c>
      <c r="E68" s="75" t="s">
        <v>174</v>
      </c>
      <c r="F68" s="75"/>
      <c r="G68" s="75" t="s">
        <v>175</v>
      </c>
      <c r="H68" s="75">
        <v>650.0</v>
      </c>
      <c r="I68" s="31"/>
      <c r="J68" s="31"/>
      <c r="K68" s="69"/>
      <c r="L68" s="67">
        <f>6*8.5</f>
        <v>51</v>
      </c>
      <c r="M68" s="67"/>
      <c r="N68" s="69">
        <f t="shared" si="13"/>
        <v>33150</v>
      </c>
      <c r="O68" s="70"/>
      <c r="P68" s="32">
        <f t="shared" si="14"/>
        <v>0</v>
      </c>
      <c r="Q68" s="32" t="s">
        <v>176</v>
      </c>
      <c r="R68" s="67"/>
      <c r="S68" s="76"/>
      <c r="T68" s="76"/>
      <c r="U68" s="69">
        <f>N68</f>
        <v>33150</v>
      </c>
      <c r="V68" s="76"/>
      <c r="W68" s="52"/>
      <c r="X68" s="52"/>
      <c r="Y68" s="52"/>
      <c r="Z68" s="52"/>
      <c r="AA68" s="52"/>
      <c r="AB68" s="52"/>
      <c r="AC68" s="52"/>
      <c r="AD68" s="52"/>
      <c r="AE68" s="52"/>
    </row>
    <row r="69">
      <c r="A69" s="97" t="s">
        <v>30</v>
      </c>
      <c r="B69" s="95"/>
      <c r="C69" s="62" t="s">
        <v>31</v>
      </c>
      <c r="D69" s="62" t="s">
        <v>177</v>
      </c>
      <c r="E69" s="62" t="s">
        <v>178</v>
      </c>
      <c r="F69" s="67"/>
      <c r="G69" s="62" t="s">
        <v>175</v>
      </c>
      <c r="H69" s="62"/>
      <c r="I69" s="62"/>
      <c r="J69" s="62"/>
      <c r="K69" s="62">
        <v>3000.0</v>
      </c>
      <c r="L69" s="62">
        <v>15.0</v>
      </c>
      <c r="M69" s="67">
        <f>L69*K69</f>
        <v>45000</v>
      </c>
      <c r="N69" s="33">
        <f>L69*K69</f>
        <v>45000</v>
      </c>
      <c r="O69" s="81"/>
      <c r="P69" s="32">
        <f t="shared" si="14"/>
        <v>0</v>
      </c>
      <c r="Q69" s="33"/>
      <c r="R69" s="76"/>
      <c r="S69" s="77">
        <f>N69</f>
        <v>45000</v>
      </c>
      <c r="T69" s="67"/>
      <c r="U69" s="67"/>
      <c r="V69" s="67"/>
      <c r="W69" s="1"/>
      <c r="X69" s="1"/>
      <c r="Y69" s="1"/>
      <c r="Z69" s="1"/>
      <c r="AA69" s="1"/>
      <c r="AB69" s="1"/>
      <c r="AC69" s="1"/>
      <c r="AD69" s="1"/>
      <c r="AE69" s="1"/>
    </row>
    <row r="70">
      <c r="A70" s="31" t="s">
        <v>32</v>
      </c>
      <c r="B70" s="95" t="s">
        <v>179</v>
      </c>
      <c r="C70" s="95" t="s">
        <v>31</v>
      </c>
      <c r="D70" s="33" t="s">
        <v>180</v>
      </c>
      <c r="E70" s="75" t="s">
        <v>164</v>
      </c>
      <c r="F70" s="75" t="s">
        <v>181</v>
      </c>
      <c r="G70" s="95" t="str">
        <f>VLOOKUP($B70,'Rate card'!$A$4:$G285,6,FALSE)</f>
        <v>Sqft</v>
      </c>
      <c r="H70" s="75">
        <v>1800.0</v>
      </c>
      <c r="I70" s="31"/>
      <c r="J70" s="31" t="s">
        <v>16</v>
      </c>
      <c r="K70" s="69">
        <f>H70*J70</f>
        <v>1800</v>
      </c>
      <c r="L70" s="67">
        <f>22*8.5</f>
        <v>187</v>
      </c>
      <c r="M70" s="67"/>
      <c r="N70" s="69">
        <f t="shared" ref="N70:N77" si="16">L70*H70</f>
        <v>336600</v>
      </c>
      <c r="O70" s="70">
        <v>0.65</v>
      </c>
      <c r="P70" s="32">
        <f t="shared" si="14"/>
        <v>218790</v>
      </c>
      <c r="Q70" s="32" t="s">
        <v>182</v>
      </c>
      <c r="R70" s="67"/>
      <c r="S70" s="76"/>
      <c r="T70" s="75"/>
      <c r="U70" s="69">
        <f t="shared" ref="U70:U71" si="17">N70</f>
        <v>336600</v>
      </c>
      <c r="V70" s="76"/>
      <c r="W70" s="52"/>
      <c r="X70" s="52"/>
      <c r="Y70" s="52"/>
      <c r="Z70" s="52"/>
      <c r="AA70" s="52"/>
      <c r="AB70" s="52"/>
      <c r="AC70" s="52"/>
      <c r="AD70" s="52"/>
      <c r="AE70" s="52"/>
    </row>
    <row r="71">
      <c r="A71" s="31" t="s">
        <v>34</v>
      </c>
      <c r="B71" s="75"/>
      <c r="C71" s="75" t="s">
        <v>31</v>
      </c>
      <c r="D71" s="75" t="s">
        <v>183</v>
      </c>
      <c r="E71" s="75" t="s">
        <v>184</v>
      </c>
      <c r="F71" s="75"/>
      <c r="G71" s="75" t="s">
        <v>185</v>
      </c>
      <c r="H71" s="75">
        <v>35000.0</v>
      </c>
      <c r="I71" s="31"/>
      <c r="J71" s="31"/>
      <c r="K71" s="69"/>
      <c r="L71" s="62">
        <v>1.0</v>
      </c>
      <c r="M71" s="67"/>
      <c r="N71" s="69">
        <f t="shared" si="16"/>
        <v>35000</v>
      </c>
      <c r="O71" s="70">
        <v>0.25</v>
      </c>
      <c r="P71" s="32">
        <f t="shared" si="14"/>
        <v>8750</v>
      </c>
      <c r="Q71" s="31" t="s">
        <v>183</v>
      </c>
      <c r="R71" s="62" t="s">
        <v>186</v>
      </c>
      <c r="S71" s="76"/>
      <c r="T71" s="75"/>
      <c r="U71" s="96">
        <f t="shared" si="17"/>
        <v>35000</v>
      </c>
      <c r="V71" s="76"/>
      <c r="W71" s="52"/>
      <c r="X71" s="52"/>
      <c r="Y71" s="52"/>
      <c r="Z71" s="52"/>
      <c r="AA71" s="52"/>
      <c r="AB71" s="52"/>
      <c r="AC71" s="52"/>
      <c r="AD71" s="52"/>
      <c r="AE71" s="52"/>
    </row>
    <row r="72">
      <c r="A72" s="31" t="s">
        <v>36</v>
      </c>
      <c r="B72" s="75" t="s">
        <v>170</v>
      </c>
      <c r="C72" s="95" t="str">
        <f>VLOOKUP($B72,'Rate card'!$A$4:$G285,2,FALSE)</f>
        <v>Carpentry</v>
      </c>
      <c r="D72" s="95" t="str">
        <f>VLOOKUP($B72,'Rate card'!$A$4:$G285,3,FALSE)</f>
        <v>Carcass Storage</v>
      </c>
      <c r="E72" s="75" t="s">
        <v>178</v>
      </c>
      <c r="F72" s="75" t="s">
        <v>187</v>
      </c>
      <c r="G72" s="75" t="s">
        <v>188</v>
      </c>
      <c r="H72" s="75">
        <v>5000.0</v>
      </c>
      <c r="I72" s="31"/>
      <c r="J72" s="31" t="s">
        <v>189</v>
      </c>
      <c r="K72" s="69">
        <f t="shared" ref="K72:K77" si="18">H72*J72</f>
        <v>37500</v>
      </c>
      <c r="L72" s="62">
        <v>0.0</v>
      </c>
      <c r="M72" s="67"/>
      <c r="N72" s="69">
        <f t="shared" si="16"/>
        <v>0</v>
      </c>
      <c r="O72" s="70"/>
      <c r="P72" s="32">
        <f t="shared" si="14"/>
        <v>0</v>
      </c>
      <c r="Q72" s="31" t="s">
        <v>190</v>
      </c>
      <c r="R72" s="67"/>
      <c r="S72" s="76"/>
      <c r="T72" s="76"/>
      <c r="U72" s="76"/>
      <c r="V72" s="76"/>
      <c r="W72" s="52"/>
      <c r="X72" s="52"/>
      <c r="Y72" s="52"/>
      <c r="Z72" s="52"/>
      <c r="AA72" s="52"/>
      <c r="AB72" s="52"/>
      <c r="AC72" s="52"/>
      <c r="AD72" s="52"/>
      <c r="AE72" s="52"/>
    </row>
    <row r="73">
      <c r="A73" s="31" t="s">
        <v>92</v>
      </c>
      <c r="B73" s="75" t="s">
        <v>170</v>
      </c>
      <c r="C73" s="95" t="str">
        <f>VLOOKUP($B73,'Rate card'!$A$4:$G285,2,FALSE)</f>
        <v>Carpentry</v>
      </c>
      <c r="D73" s="95" t="str">
        <f>VLOOKUP($B73,'Rate card'!$A$4:$G285,3,FALSE)</f>
        <v>Carcass Storage</v>
      </c>
      <c r="E73" s="75" t="s">
        <v>191</v>
      </c>
      <c r="F73" s="75" t="s">
        <v>192</v>
      </c>
      <c r="G73" s="95" t="str">
        <f>VLOOKUP($B73,'Rate card'!$A$4:$G285,6,FALSE)</f>
        <v>Sqft</v>
      </c>
      <c r="H73" s="75">
        <v>1800.0</v>
      </c>
      <c r="I73" s="31"/>
      <c r="J73" s="31">
        <f>7*8</f>
        <v>56</v>
      </c>
      <c r="K73" s="69">
        <f t="shared" si="18"/>
        <v>100800</v>
      </c>
      <c r="L73" s="67">
        <f>11*9.5</f>
        <v>104.5</v>
      </c>
      <c r="M73" s="67"/>
      <c r="N73" s="69">
        <f t="shared" si="16"/>
        <v>188100</v>
      </c>
      <c r="O73" s="70">
        <v>0.65</v>
      </c>
      <c r="P73" s="32">
        <f t="shared" si="14"/>
        <v>122265</v>
      </c>
      <c r="Q73" s="31" t="s">
        <v>193</v>
      </c>
      <c r="R73" s="62" t="s">
        <v>194</v>
      </c>
      <c r="S73" s="76"/>
      <c r="T73" s="75"/>
      <c r="U73" s="69">
        <f t="shared" ref="U73:U75" si="19">N73</f>
        <v>188100</v>
      </c>
      <c r="V73" s="76"/>
      <c r="W73" s="52"/>
      <c r="X73" s="52"/>
      <c r="Y73" s="52"/>
      <c r="Z73" s="52"/>
      <c r="AA73" s="52"/>
      <c r="AB73" s="52"/>
      <c r="AC73" s="52"/>
      <c r="AD73" s="52"/>
      <c r="AE73" s="52"/>
    </row>
    <row r="74">
      <c r="A74" s="31" t="s">
        <v>95</v>
      </c>
      <c r="B74" s="75" t="s">
        <v>170</v>
      </c>
      <c r="C74" s="95" t="str">
        <f>VLOOKUP($B74,'Rate card'!$A$4:$G285,2,FALSE)</f>
        <v>Carpentry</v>
      </c>
      <c r="D74" s="95" t="str">
        <f>VLOOKUP($B74,'Rate card'!$A$4:$G285,3,FALSE)</f>
        <v>Carcass Storage</v>
      </c>
      <c r="E74" s="95" t="str">
        <f>VLOOKUP($B74,'Rate card'!$A$4:$G285,4,FALSE)</f>
        <v>Laminate Finish</v>
      </c>
      <c r="F74" s="95" t="str">
        <f>VLOOKUP($B74,'Rate card'!$A$4:$G285,5,FALSE)</f>
        <v>MR ply + Inside laminate + finish laminate</v>
      </c>
      <c r="G74" s="95" t="str">
        <f>VLOOKUP($B74,'Rate card'!$A$4:$G285,6,FALSE)</f>
        <v>Sqft</v>
      </c>
      <c r="H74" s="75">
        <v>3000.0</v>
      </c>
      <c r="I74" s="31"/>
      <c r="J74" s="31">
        <f>4*7</f>
        <v>28</v>
      </c>
      <c r="K74" s="69">
        <f t="shared" si="18"/>
        <v>84000</v>
      </c>
      <c r="L74" s="67">
        <f>3*8.5</f>
        <v>25.5</v>
      </c>
      <c r="M74" s="67"/>
      <c r="N74" s="69">
        <f t="shared" si="16"/>
        <v>76500</v>
      </c>
      <c r="O74" s="70"/>
      <c r="P74" s="32">
        <f t="shared" si="14"/>
        <v>0</v>
      </c>
      <c r="Q74" s="31" t="s">
        <v>195</v>
      </c>
      <c r="R74" s="67"/>
      <c r="S74" s="76"/>
      <c r="T74" s="76"/>
      <c r="U74" s="69">
        <f t="shared" si="19"/>
        <v>76500</v>
      </c>
      <c r="V74" s="76"/>
      <c r="W74" s="52"/>
      <c r="X74" s="52"/>
      <c r="Y74" s="52"/>
      <c r="Z74" s="52"/>
      <c r="AA74" s="52"/>
      <c r="AB74" s="52"/>
      <c r="AC74" s="52"/>
      <c r="AD74" s="52"/>
      <c r="AE74" s="52"/>
    </row>
    <row r="75">
      <c r="A75" s="31" t="s">
        <v>97</v>
      </c>
      <c r="B75" s="75" t="s">
        <v>170</v>
      </c>
      <c r="C75" s="95" t="str">
        <f>VLOOKUP($B75,'Rate card'!$A$4:$G285,2,FALSE)</f>
        <v>Carpentry</v>
      </c>
      <c r="D75" s="95" t="str">
        <f>VLOOKUP($B75,'Rate card'!$A$4:$G285,3,FALSE)</f>
        <v>Carcass Storage</v>
      </c>
      <c r="E75" s="75" t="s">
        <v>196</v>
      </c>
      <c r="F75" s="95" t="str">
        <f>F72</f>
        <v>MR ply + Inside laminate + pu finish</v>
      </c>
      <c r="G75" s="95" t="str">
        <f>VLOOKUP($B75,'Rate card'!$A$4:$G285,6,FALSE)</f>
        <v>Sqft</v>
      </c>
      <c r="H75" s="75">
        <v>2500.0</v>
      </c>
      <c r="I75" s="31"/>
      <c r="J75" s="31">
        <f>5*3.5</f>
        <v>17.5</v>
      </c>
      <c r="K75" s="69">
        <f t="shared" si="18"/>
        <v>43750</v>
      </c>
      <c r="L75" s="67">
        <f>3*3</f>
        <v>9</v>
      </c>
      <c r="M75" s="67"/>
      <c r="N75" s="69">
        <f t="shared" si="16"/>
        <v>22500</v>
      </c>
      <c r="O75" s="70"/>
      <c r="P75" s="32">
        <f t="shared" si="14"/>
        <v>0</v>
      </c>
      <c r="Q75" s="31" t="s">
        <v>183</v>
      </c>
      <c r="R75" s="62" t="s">
        <v>197</v>
      </c>
      <c r="S75" s="76"/>
      <c r="T75" s="76"/>
      <c r="U75" s="69">
        <f t="shared" si="19"/>
        <v>22500</v>
      </c>
      <c r="V75" s="76"/>
      <c r="W75" s="52"/>
      <c r="X75" s="52"/>
      <c r="Y75" s="52"/>
      <c r="Z75" s="52"/>
      <c r="AA75" s="52"/>
      <c r="AB75" s="52"/>
      <c r="AC75" s="52"/>
      <c r="AD75" s="52"/>
      <c r="AE75" s="52"/>
    </row>
    <row r="76">
      <c r="A76" s="31" t="s">
        <v>100</v>
      </c>
      <c r="B76" s="95" t="s">
        <v>179</v>
      </c>
      <c r="C76" s="95" t="s">
        <v>31</v>
      </c>
      <c r="D76" s="33" t="s">
        <v>180</v>
      </c>
      <c r="E76" s="75" t="s">
        <v>198</v>
      </c>
      <c r="F76" s="75" t="s">
        <v>181</v>
      </c>
      <c r="G76" s="95" t="str">
        <f>VLOOKUP($B76,'Rate card'!$A$4:$G285,6,FALSE)</f>
        <v>Sqft</v>
      </c>
      <c r="H76" s="75">
        <v>1500.0</v>
      </c>
      <c r="I76" s="31"/>
      <c r="J76" s="31">
        <f>12*10</f>
        <v>120</v>
      </c>
      <c r="K76" s="69">
        <f t="shared" si="18"/>
        <v>180000</v>
      </c>
      <c r="L76" s="67">
        <f>12.5*8.5</f>
        <v>106.25</v>
      </c>
      <c r="M76" s="67"/>
      <c r="N76" s="69">
        <f t="shared" si="16"/>
        <v>159375</v>
      </c>
      <c r="O76" s="70">
        <v>0.5</v>
      </c>
      <c r="P76" s="32">
        <f t="shared" si="14"/>
        <v>79687.5</v>
      </c>
      <c r="Q76" s="32" t="s">
        <v>199</v>
      </c>
      <c r="R76" s="62" t="s">
        <v>200</v>
      </c>
      <c r="S76" s="76"/>
      <c r="T76" s="76"/>
      <c r="U76" s="75">
        <v>84375.0</v>
      </c>
      <c r="V76" s="75">
        <v>75000.0</v>
      </c>
      <c r="W76" s="52"/>
      <c r="X76" s="52"/>
      <c r="Y76" s="52"/>
      <c r="Z76" s="52"/>
      <c r="AA76" s="52"/>
      <c r="AB76" s="52"/>
      <c r="AC76" s="52"/>
      <c r="AD76" s="52"/>
      <c r="AE76" s="52"/>
    </row>
    <row r="77">
      <c r="A77" s="31" t="s">
        <v>103</v>
      </c>
      <c r="B77" s="95" t="s">
        <v>179</v>
      </c>
      <c r="C77" s="95" t="s">
        <v>31</v>
      </c>
      <c r="D77" s="33" t="s">
        <v>180</v>
      </c>
      <c r="E77" s="75" t="s">
        <v>201</v>
      </c>
      <c r="F77" s="75" t="s">
        <v>192</v>
      </c>
      <c r="G77" s="95" t="str">
        <f>VLOOKUP($B77,'Rate card'!$A$4:$G285,6,FALSE)</f>
        <v>Sqft</v>
      </c>
      <c r="H77" s="75">
        <v>1800.0</v>
      </c>
      <c r="I77" s="31"/>
      <c r="J77" s="31">
        <f>29*10</f>
        <v>290</v>
      </c>
      <c r="K77" s="69">
        <f t="shared" si="18"/>
        <v>522000</v>
      </c>
      <c r="L77" s="67">
        <f>34*8.5</f>
        <v>289</v>
      </c>
      <c r="M77" s="67"/>
      <c r="N77" s="69">
        <f t="shared" si="16"/>
        <v>520200</v>
      </c>
      <c r="O77" s="70">
        <v>0.4</v>
      </c>
      <c r="P77" s="32">
        <f t="shared" si="14"/>
        <v>208080</v>
      </c>
      <c r="Q77" s="32" t="s">
        <v>202</v>
      </c>
      <c r="R77" s="67"/>
      <c r="S77" s="76"/>
      <c r="T77" s="75"/>
      <c r="U77" s="69">
        <f t="shared" ref="U77:U79" si="20">N77</f>
        <v>520200</v>
      </c>
      <c r="V77" s="76"/>
      <c r="W77" s="52"/>
      <c r="X77" s="52"/>
      <c r="Y77" s="52"/>
      <c r="Z77" s="52"/>
      <c r="AA77" s="52"/>
      <c r="AB77" s="52"/>
      <c r="AC77" s="52"/>
      <c r="AD77" s="52"/>
      <c r="AE77" s="52"/>
    </row>
    <row r="78">
      <c r="A78" s="31" t="s">
        <v>104</v>
      </c>
      <c r="B78" s="95"/>
      <c r="C78" s="75" t="s">
        <v>31</v>
      </c>
      <c r="D78" s="33"/>
      <c r="E78" s="75"/>
      <c r="F78" s="75"/>
      <c r="G78" s="95"/>
      <c r="H78" s="75"/>
      <c r="I78" s="31"/>
      <c r="J78" s="31"/>
      <c r="K78" s="69"/>
      <c r="L78" s="67"/>
      <c r="M78" s="67"/>
      <c r="N78" s="32">
        <v>45000.0</v>
      </c>
      <c r="O78" s="70"/>
      <c r="P78" s="32">
        <f t="shared" si="14"/>
        <v>0</v>
      </c>
      <c r="Q78" s="32"/>
      <c r="R78" s="62"/>
      <c r="S78" s="76"/>
      <c r="T78" s="76"/>
      <c r="U78" s="69">
        <f t="shared" si="20"/>
        <v>45000</v>
      </c>
      <c r="V78" s="76"/>
      <c r="W78" s="52"/>
      <c r="X78" s="52"/>
      <c r="Y78" s="52"/>
      <c r="Z78" s="52"/>
      <c r="AA78" s="52"/>
      <c r="AB78" s="52"/>
      <c r="AC78" s="52"/>
      <c r="AD78" s="52"/>
      <c r="AE78" s="52"/>
    </row>
    <row r="79">
      <c r="A79" s="31" t="s">
        <v>107</v>
      </c>
      <c r="B79" s="95" t="s">
        <v>179</v>
      </c>
      <c r="C79" s="95" t="s">
        <v>31</v>
      </c>
      <c r="D79" s="33" t="s">
        <v>180</v>
      </c>
      <c r="E79" s="75" t="s">
        <v>174</v>
      </c>
      <c r="F79" s="75" t="s">
        <v>181</v>
      </c>
      <c r="G79" s="95" t="str">
        <f>VLOOKUP($B79,'Rate card'!$A$4:$G285,6,FALSE)</f>
        <v>Sqft</v>
      </c>
      <c r="H79" s="75">
        <v>850.0</v>
      </c>
      <c r="I79" s="31"/>
      <c r="J79" s="31">
        <f>12*10</f>
        <v>120</v>
      </c>
      <c r="K79" s="69">
        <f>H79*J79</f>
        <v>102000</v>
      </c>
      <c r="L79" s="67">
        <f>5*8.5</f>
        <v>42.5</v>
      </c>
      <c r="M79" s="67"/>
      <c r="N79" s="69">
        <f>L79*H79</f>
        <v>36125</v>
      </c>
      <c r="O79" s="70">
        <v>0.75</v>
      </c>
      <c r="P79" s="32">
        <f t="shared" si="14"/>
        <v>27093.75</v>
      </c>
      <c r="Q79" s="32" t="s">
        <v>203</v>
      </c>
      <c r="R79" s="62" t="s">
        <v>204</v>
      </c>
      <c r="S79" s="76"/>
      <c r="T79" s="76"/>
      <c r="U79" s="69">
        <f t="shared" si="20"/>
        <v>36125</v>
      </c>
      <c r="V79" s="76"/>
      <c r="W79" s="52"/>
      <c r="X79" s="52"/>
      <c r="Y79" s="52"/>
      <c r="Z79" s="52"/>
      <c r="AA79" s="52"/>
      <c r="AB79" s="52"/>
      <c r="AC79" s="52"/>
      <c r="AD79" s="52"/>
      <c r="AE79" s="52"/>
    </row>
    <row r="80">
      <c r="A80" s="24" t="s">
        <v>205</v>
      </c>
      <c r="B80" s="28"/>
      <c r="C80" s="28"/>
      <c r="D80" s="28"/>
      <c r="E80" s="28"/>
      <c r="F80" s="28"/>
      <c r="G80" s="28"/>
      <c r="H80" s="64"/>
      <c r="I80" s="98"/>
      <c r="J80" s="98"/>
      <c r="K80" s="28"/>
      <c r="L80" s="28"/>
      <c r="M80" s="64"/>
      <c r="N80" s="64"/>
      <c r="O80" s="88"/>
      <c r="P80" s="28"/>
      <c r="Q80" s="28"/>
      <c r="R80" s="28"/>
      <c r="S80" s="67"/>
      <c r="T80" s="67"/>
      <c r="U80" s="67"/>
      <c r="V80" s="67"/>
      <c r="W80" s="1"/>
      <c r="X80" s="1"/>
      <c r="Y80" s="1"/>
      <c r="Z80" s="1"/>
      <c r="AA80" s="1"/>
      <c r="AB80" s="1"/>
      <c r="AC80" s="1"/>
      <c r="AD80" s="1"/>
      <c r="AE80" s="1"/>
    </row>
    <row r="81">
      <c r="A81" s="31" t="s">
        <v>16</v>
      </c>
      <c r="B81" s="62" t="s">
        <v>170</v>
      </c>
      <c r="C81" s="94" t="str">
        <f>VLOOKUP($B81,'Rate card'!$A$4:$G285,2,FALSE)</f>
        <v>Carpentry</v>
      </c>
      <c r="D81" s="94" t="str">
        <f>VLOOKUP($B81,'Rate card'!$A$4:$G285,3,FALSE)</f>
        <v>Carcass Storage</v>
      </c>
      <c r="E81" s="62" t="s">
        <v>206</v>
      </c>
      <c r="F81" s="62" t="s">
        <v>207</v>
      </c>
      <c r="G81" s="94" t="str">
        <f>VLOOKUP($B81,'Rate card'!$A$4:$G285,6,FALSE)</f>
        <v>Sqft</v>
      </c>
      <c r="H81" s="62">
        <v>2700.0</v>
      </c>
      <c r="I81" s="31"/>
      <c r="J81" s="31">
        <f>18.5*2.5</f>
        <v>46.25</v>
      </c>
      <c r="K81" s="79">
        <f t="shared" ref="K81:K85" si="21">H81*J81</f>
        <v>124875</v>
      </c>
      <c r="L81" s="67">
        <f>20*2.5</f>
        <v>50</v>
      </c>
      <c r="M81" s="67"/>
      <c r="N81" s="33">
        <f t="shared" ref="N81:N91" si="22">L81*H81</f>
        <v>135000</v>
      </c>
      <c r="O81" s="85">
        <v>0.3</v>
      </c>
      <c r="P81" s="32">
        <f t="shared" ref="P81:P87" si="23">O81*N81</f>
        <v>40500</v>
      </c>
      <c r="Q81" s="62" t="s">
        <v>208</v>
      </c>
      <c r="R81" s="67"/>
      <c r="S81" s="62"/>
      <c r="T81" s="67"/>
      <c r="U81" s="62"/>
      <c r="V81" s="67"/>
      <c r="W81" s="1"/>
      <c r="X81" s="1"/>
      <c r="Y81" s="1"/>
      <c r="Z81" s="1"/>
      <c r="AA81" s="1"/>
      <c r="AB81" s="1"/>
      <c r="AC81" s="1"/>
      <c r="AD81" s="1"/>
      <c r="AE81" s="1"/>
    </row>
    <row r="82">
      <c r="A82" s="31" t="s">
        <v>18</v>
      </c>
      <c r="B82" s="62" t="s">
        <v>170</v>
      </c>
      <c r="C82" s="94" t="str">
        <f>VLOOKUP($B82,'Rate card'!$A$4:$G285,2,FALSE)</f>
        <v>Carpentry</v>
      </c>
      <c r="D82" s="94" t="str">
        <f>VLOOKUP($B82,'Rate card'!$A$4:$G285,3,FALSE)</f>
        <v>Carcass Storage</v>
      </c>
      <c r="E82" s="62" t="s">
        <v>206</v>
      </c>
      <c r="F82" s="62" t="s">
        <v>207</v>
      </c>
      <c r="G82" s="94" t="str">
        <f>VLOOKUP($B82,'Rate card'!$A$4:$G285,6,FALSE)</f>
        <v>Sqft</v>
      </c>
      <c r="H82" s="62">
        <v>2700.0</v>
      </c>
      <c r="I82" s="31"/>
      <c r="J82" s="31">
        <f>28+11.25*2.5+4*2.5</f>
        <v>66.125</v>
      </c>
      <c r="K82" s="79">
        <f t="shared" si="21"/>
        <v>178537.5</v>
      </c>
      <c r="L82" s="67">
        <f>20*5.5</f>
        <v>110</v>
      </c>
      <c r="M82" s="67"/>
      <c r="N82" s="33">
        <f t="shared" si="22"/>
        <v>297000</v>
      </c>
      <c r="O82" s="85">
        <v>0.3</v>
      </c>
      <c r="P82" s="32">
        <f t="shared" si="23"/>
        <v>89100</v>
      </c>
      <c r="Q82" s="62" t="s">
        <v>209</v>
      </c>
      <c r="R82" s="67"/>
      <c r="S82" s="62"/>
      <c r="T82" s="62"/>
      <c r="U82" s="67"/>
      <c r="V82" s="67"/>
      <c r="W82" s="1"/>
      <c r="X82" s="1"/>
      <c r="Y82" s="1"/>
      <c r="Z82" s="1"/>
      <c r="AA82" s="1"/>
      <c r="AB82" s="1"/>
      <c r="AC82" s="1"/>
      <c r="AD82" s="1"/>
      <c r="AE82" s="1"/>
    </row>
    <row r="83">
      <c r="A83" s="31" t="s">
        <v>24</v>
      </c>
      <c r="B83" s="62" t="s">
        <v>170</v>
      </c>
      <c r="C83" s="94" t="str">
        <f>VLOOKUP($B83,'Rate card'!$A$4:$G285,2,FALSE)</f>
        <v>Carpentry</v>
      </c>
      <c r="D83" s="94" t="str">
        <f>VLOOKUP($B83,'Rate card'!$A$4:$G285,3,FALSE)</f>
        <v>Carcass Storage</v>
      </c>
      <c r="E83" s="62" t="s">
        <v>206</v>
      </c>
      <c r="F83" s="62" t="s">
        <v>207</v>
      </c>
      <c r="G83" s="94" t="str">
        <f>VLOOKUP($B83,'Rate card'!$A$4:$G285,6,FALSE)</f>
        <v>Sqft</v>
      </c>
      <c r="H83" s="62">
        <v>2700.0</v>
      </c>
      <c r="I83" s="31"/>
      <c r="J83" s="31">
        <f>4*10</f>
        <v>40</v>
      </c>
      <c r="K83" s="79">
        <f t="shared" si="21"/>
        <v>108000</v>
      </c>
      <c r="L83" s="67">
        <f>4*10.5</f>
        <v>42</v>
      </c>
      <c r="M83" s="67"/>
      <c r="N83" s="33">
        <f t="shared" si="22"/>
        <v>113400</v>
      </c>
      <c r="O83" s="85">
        <v>0.3</v>
      </c>
      <c r="P83" s="32">
        <f t="shared" si="23"/>
        <v>34020</v>
      </c>
      <c r="Q83" s="62" t="s">
        <v>210</v>
      </c>
      <c r="R83" s="67"/>
      <c r="S83" s="62"/>
      <c r="T83" s="67"/>
      <c r="U83" s="67"/>
      <c r="V83" s="67"/>
      <c r="W83" s="1"/>
      <c r="X83" s="1"/>
      <c r="Y83" s="1"/>
      <c r="Z83" s="1"/>
      <c r="AA83" s="1"/>
      <c r="AB83" s="1"/>
      <c r="AC83" s="1"/>
      <c r="AD83" s="1"/>
      <c r="AE83" s="1"/>
    </row>
    <row r="84">
      <c r="A84" s="31" t="s">
        <v>27</v>
      </c>
      <c r="B84" s="62" t="s">
        <v>211</v>
      </c>
      <c r="C84" s="94" t="str">
        <f>VLOOKUP($B84,'Rate card'!$A$4:$G285,2,FALSE)</f>
        <v>Carpentry</v>
      </c>
      <c r="D84" s="94" t="str">
        <f>VLOOKUP($B84,'Rate card'!$A$4:$G285,3,FALSE)</f>
        <v>Kitchen Basket </v>
      </c>
      <c r="E84" s="62" t="s">
        <v>212</v>
      </c>
      <c r="F84" s="94" t="str">
        <f>VLOOKUP($B84,'Rate card'!$A$4:$G285,5,FALSE)</f>
        <v>Basket + Channel+Fitting charges</v>
      </c>
      <c r="G84" s="94" t="str">
        <f>VLOOKUP($B84,'Rate card'!$A$4:$G285,6,FALSE)</f>
        <v>Nos</v>
      </c>
      <c r="H84" s="62">
        <v>8000.0</v>
      </c>
      <c r="I84" s="78"/>
      <c r="J84" s="78" t="s">
        <v>30</v>
      </c>
      <c r="K84" s="79">
        <f t="shared" si="21"/>
        <v>40000</v>
      </c>
      <c r="L84" s="62">
        <v>14.0</v>
      </c>
      <c r="M84" s="67"/>
      <c r="N84" s="33">
        <f t="shared" si="22"/>
        <v>112000</v>
      </c>
      <c r="O84" s="85">
        <v>0.3</v>
      </c>
      <c r="P84" s="32">
        <f t="shared" si="23"/>
        <v>33600</v>
      </c>
      <c r="Q84" s="62" t="s">
        <v>213</v>
      </c>
      <c r="R84" s="67"/>
      <c r="S84" s="62"/>
      <c r="T84" s="67"/>
      <c r="U84" s="67"/>
      <c r="V84" s="67"/>
      <c r="W84" s="1"/>
      <c r="X84" s="1"/>
      <c r="Y84" s="1"/>
      <c r="Z84" s="1"/>
      <c r="AA84" s="1"/>
      <c r="AB84" s="1"/>
      <c r="AC84" s="1"/>
      <c r="AD84" s="1"/>
      <c r="AE84" s="1"/>
    </row>
    <row r="85">
      <c r="A85" s="31" t="s">
        <v>30</v>
      </c>
      <c r="B85" s="62" t="s">
        <v>214</v>
      </c>
      <c r="C85" s="94" t="str">
        <f>VLOOKUP($B85,'Rate card'!$A$4:$G285,2,FALSE)</f>
        <v>Carpentry</v>
      </c>
      <c r="D85" s="94" t="str">
        <f>VLOOKUP($B85,'Rate card'!$A$4:$G285,3,FALSE)</f>
        <v>Wicker basket</v>
      </c>
      <c r="E85" s="94" t="str">
        <f>VLOOKUP($B85,'Rate card'!$A$4:$G285,4,FALSE)</f>
        <v>Wicker basket</v>
      </c>
      <c r="F85" s="94" t="str">
        <f>VLOOKUP($B85,'Rate card'!$A$4:$G285,5,FALSE)</f>
        <v>Basket + Channel+Fitting charges</v>
      </c>
      <c r="G85" s="94" t="str">
        <f>VLOOKUP($B85,'Rate card'!$A$4:$G285,6,FALSE)</f>
        <v>Nos</v>
      </c>
      <c r="H85" s="62">
        <v>6000.0</v>
      </c>
      <c r="I85" s="78"/>
      <c r="J85" s="78" t="s">
        <v>18</v>
      </c>
      <c r="K85" s="79">
        <f t="shared" si="21"/>
        <v>12000</v>
      </c>
      <c r="L85" s="62">
        <v>2.0</v>
      </c>
      <c r="M85" s="67"/>
      <c r="N85" s="33">
        <f t="shared" si="22"/>
        <v>12000</v>
      </c>
      <c r="O85" s="85">
        <v>0.3</v>
      </c>
      <c r="P85" s="32">
        <f t="shared" si="23"/>
        <v>3600</v>
      </c>
      <c r="Q85" s="62" t="s">
        <v>213</v>
      </c>
      <c r="R85" s="67"/>
      <c r="S85" s="67"/>
      <c r="T85" s="67"/>
      <c r="U85" s="67"/>
      <c r="V85" s="67"/>
      <c r="W85" s="1"/>
      <c r="X85" s="1"/>
      <c r="Y85" s="1"/>
      <c r="Z85" s="1"/>
      <c r="AA85" s="1"/>
      <c r="AB85" s="1"/>
      <c r="AC85" s="1"/>
      <c r="AD85" s="1"/>
      <c r="AE85" s="1"/>
    </row>
    <row r="86">
      <c r="A86" s="62">
        <v>6.0</v>
      </c>
      <c r="B86" s="67"/>
      <c r="C86" s="67"/>
      <c r="D86" s="62" t="s">
        <v>215</v>
      </c>
      <c r="E86" s="67"/>
      <c r="F86" s="67"/>
      <c r="G86" s="62" t="s">
        <v>175</v>
      </c>
      <c r="H86" s="80">
        <v>950.0</v>
      </c>
      <c r="I86" s="78"/>
      <c r="J86" s="78"/>
      <c r="K86" s="79"/>
      <c r="L86" s="78" t="s">
        <v>216</v>
      </c>
      <c r="M86" s="77"/>
      <c r="N86" s="79">
        <f t="shared" si="22"/>
        <v>28500</v>
      </c>
      <c r="O86" s="85">
        <v>0.3</v>
      </c>
      <c r="P86" s="32">
        <f t="shared" si="23"/>
        <v>8550</v>
      </c>
      <c r="Q86" s="67"/>
      <c r="R86" s="67"/>
      <c r="S86" s="67"/>
      <c r="T86" s="67"/>
      <c r="U86" s="67"/>
      <c r="V86" s="67"/>
      <c r="W86" s="1"/>
      <c r="X86" s="1"/>
      <c r="Y86" s="1"/>
      <c r="Z86" s="1"/>
      <c r="AA86" s="1"/>
      <c r="AB86" s="1"/>
      <c r="AC86" s="1"/>
      <c r="AD86" s="1"/>
      <c r="AE86" s="1"/>
    </row>
    <row r="87">
      <c r="A87" s="31" t="s">
        <v>34</v>
      </c>
      <c r="B87" s="62"/>
      <c r="C87" s="94" t="s">
        <v>31</v>
      </c>
      <c r="D87" s="94" t="s">
        <v>217</v>
      </c>
      <c r="E87" s="94" t="s">
        <v>218</v>
      </c>
      <c r="F87" s="94" t="s">
        <v>205</v>
      </c>
      <c r="G87" s="94" t="s">
        <v>175</v>
      </c>
      <c r="H87" s="62">
        <v>1650.0</v>
      </c>
      <c r="I87" s="78"/>
      <c r="J87" s="78">
        <f>3*7</f>
        <v>21</v>
      </c>
      <c r="K87" s="79">
        <f>H87*J87</f>
        <v>34650</v>
      </c>
      <c r="L87" s="67">
        <f>3*7.5</f>
        <v>22.5</v>
      </c>
      <c r="M87" s="67"/>
      <c r="N87" s="33">
        <f t="shared" si="22"/>
        <v>37125</v>
      </c>
      <c r="O87" s="85">
        <v>0.3</v>
      </c>
      <c r="P87" s="32">
        <f t="shared" si="23"/>
        <v>11137.5</v>
      </c>
      <c r="Q87" s="62" t="s">
        <v>219</v>
      </c>
      <c r="R87" s="67"/>
      <c r="S87" s="67"/>
      <c r="T87" s="67"/>
      <c r="U87" s="67"/>
      <c r="V87" s="67"/>
      <c r="W87" s="1"/>
      <c r="X87" s="1"/>
      <c r="Y87" s="1"/>
      <c r="Z87" s="1"/>
      <c r="AA87" s="1"/>
      <c r="AB87" s="1"/>
      <c r="AC87" s="1"/>
      <c r="AD87" s="1"/>
      <c r="AE87" s="1"/>
    </row>
    <row r="88">
      <c r="A88" s="30" t="s">
        <v>220</v>
      </c>
      <c r="B88" s="28"/>
      <c r="C88" s="28"/>
      <c r="D88" s="28"/>
      <c r="E88" s="28"/>
      <c r="F88" s="28"/>
      <c r="G88" s="28"/>
      <c r="H88" s="64"/>
      <c r="I88" s="98"/>
      <c r="J88" s="98"/>
      <c r="K88" s="28"/>
      <c r="L88" s="28"/>
      <c r="M88" s="28"/>
      <c r="N88" s="40">
        <f t="shared" si="22"/>
        <v>0</v>
      </c>
      <c r="O88" s="88"/>
      <c r="P88" s="64"/>
      <c r="Q88" s="64"/>
      <c r="R88" s="28"/>
      <c r="S88" s="67"/>
      <c r="T88" s="67"/>
      <c r="U88" s="67"/>
      <c r="V88" s="67"/>
      <c r="W88" s="1"/>
      <c r="X88" s="1"/>
      <c r="Y88" s="1"/>
      <c r="Z88" s="1"/>
      <c r="AA88" s="1"/>
      <c r="AB88" s="1"/>
      <c r="AC88" s="1"/>
      <c r="AD88" s="1"/>
      <c r="AE88" s="1"/>
    </row>
    <row r="89">
      <c r="A89" s="31" t="s">
        <v>16</v>
      </c>
      <c r="B89" s="62" t="s">
        <v>170</v>
      </c>
      <c r="C89" s="94" t="str">
        <f>VLOOKUP($B89,'Rate card'!$A$4:$G285,2,FALSE)</f>
        <v>Carpentry</v>
      </c>
      <c r="D89" s="94" t="str">
        <f>VLOOKUP($B89,'Rate card'!$A$4:$G285,3,FALSE)</f>
        <v>Carcass Storage</v>
      </c>
      <c r="E89" s="94" t="str">
        <f>VLOOKUP($B89,'Rate card'!$A$4:$G285,4,FALSE)</f>
        <v>Laminate Finish</v>
      </c>
      <c r="F89" s="62" t="s">
        <v>221</v>
      </c>
      <c r="G89" s="94" t="str">
        <f>VLOOKUP($B89,'Rate card'!$A$4:$G285,6,FALSE)</f>
        <v>Sqft</v>
      </c>
      <c r="H89" s="62">
        <v>1800.0</v>
      </c>
      <c r="I89" s="31"/>
      <c r="J89" s="31">
        <f>5.5*2.5</f>
        <v>13.75</v>
      </c>
      <c r="K89" s="79">
        <f t="shared" ref="K89:K91" si="24">H89*J89</f>
        <v>24750</v>
      </c>
      <c r="L89" s="67">
        <f>12*2.5</f>
        <v>30</v>
      </c>
      <c r="M89" s="67"/>
      <c r="N89" s="33">
        <f t="shared" si="22"/>
        <v>54000</v>
      </c>
      <c r="O89" s="85">
        <v>0.3</v>
      </c>
      <c r="P89" s="32">
        <f t="shared" ref="P89:P91" si="25">O89*N89</f>
        <v>16200</v>
      </c>
      <c r="Q89" s="62" t="s">
        <v>208</v>
      </c>
      <c r="R89" s="67"/>
      <c r="S89" s="67"/>
      <c r="T89" s="67"/>
      <c r="U89" s="77">
        <f t="shared" ref="U89:U91" si="26">N89</f>
        <v>54000</v>
      </c>
      <c r="V89" s="67"/>
      <c r="W89" s="1"/>
      <c r="X89" s="1"/>
      <c r="Y89" s="1"/>
      <c r="Z89" s="1"/>
      <c r="AA89" s="1"/>
      <c r="AB89" s="1"/>
      <c r="AC89" s="1"/>
      <c r="AD89" s="1"/>
      <c r="AE89" s="1"/>
    </row>
    <row r="90">
      <c r="A90" s="31" t="s">
        <v>18</v>
      </c>
      <c r="B90" s="62" t="s">
        <v>170</v>
      </c>
      <c r="C90" s="94" t="str">
        <f>VLOOKUP($B90,'Rate card'!$A$4:$G285,2,FALSE)</f>
        <v>Carpentry</v>
      </c>
      <c r="D90" s="94" t="str">
        <f>VLOOKUP($B90,'Rate card'!$A$4:$G285,3,FALSE)</f>
        <v>Carcass Storage</v>
      </c>
      <c r="E90" s="94" t="str">
        <f>VLOOKUP($B90,'Rate card'!$A$4:$G285,4,FALSE)</f>
        <v>Laminate Finish</v>
      </c>
      <c r="F90" s="62" t="s">
        <v>221</v>
      </c>
      <c r="G90" s="94" t="str">
        <f>VLOOKUP($B90,'Rate card'!$A$4:$G285,6,FALSE)</f>
        <v>Sqft</v>
      </c>
      <c r="H90" s="62">
        <v>650.0</v>
      </c>
      <c r="I90" s="31"/>
      <c r="J90" s="31">
        <f>10*10</f>
        <v>100</v>
      </c>
      <c r="K90" s="79">
        <f t="shared" si="24"/>
        <v>65000</v>
      </c>
      <c r="L90" s="67">
        <f>12*8.5</f>
        <v>102</v>
      </c>
      <c r="M90" s="67"/>
      <c r="N90" s="33">
        <f t="shared" si="22"/>
        <v>66300</v>
      </c>
      <c r="O90" s="85">
        <v>0.3</v>
      </c>
      <c r="P90" s="32">
        <f t="shared" si="25"/>
        <v>19890</v>
      </c>
      <c r="Q90" s="62" t="s">
        <v>222</v>
      </c>
      <c r="R90" s="67"/>
      <c r="S90" s="67"/>
      <c r="T90" s="67"/>
      <c r="U90" s="77">
        <f t="shared" si="26"/>
        <v>66300</v>
      </c>
      <c r="V90" s="67"/>
      <c r="W90" s="1"/>
      <c r="X90" s="1"/>
      <c r="Y90" s="1"/>
      <c r="Z90" s="1"/>
      <c r="AA90" s="1"/>
      <c r="AB90" s="1"/>
      <c r="AC90" s="1"/>
      <c r="AD90" s="1"/>
      <c r="AE90" s="1"/>
    </row>
    <row r="91">
      <c r="A91" s="31" t="s">
        <v>24</v>
      </c>
      <c r="B91" s="62" t="s">
        <v>223</v>
      </c>
      <c r="C91" s="94" t="str">
        <f>VLOOKUP($B91,'Rate card'!$A$4:$G285,2,FALSE)</f>
        <v>Carpentry</v>
      </c>
      <c r="D91" s="77" t="str">
        <f>VLOOKUP($B91,'Rate card'!$A$4:$G285,3,FALSE)</f>
        <v>Carcass Storage</v>
      </c>
      <c r="E91" s="77" t="str">
        <f>VLOOKUP($B91,'Rate card'!$A$4:$G285,4,FALSE)</f>
        <v>Laminate Finish</v>
      </c>
      <c r="F91" s="62" t="s">
        <v>221</v>
      </c>
      <c r="G91" s="94" t="str">
        <f>VLOOKUP($B91,'Rate card'!$A$4:$G285,6,FALSE)</f>
        <v>Sqft</v>
      </c>
      <c r="H91" s="62">
        <v>1800.0</v>
      </c>
      <c r="I91" s="31"/>
      <c r="J91" s="31" t="s">
        <v>224</v>
      </c>
      <c r="K91" s="79">
        <f t="shared" si="24"/>
        <v>39600</v>
      </c>
      <c r="L91" s="67">
        <f>4*5</f>
        <v>20</v>
      </c>
      <c r="M91" s="67"/>
      <c r="N91" s="33">
        <f t="shared" si="22"/>
        <v>36000</v>
      </c>
      <c r="O91" s="70">
        <v>0.3</v>
      </c>
      <c r="P91" s="32">
        <f t="shared" si="25"/>
        <v>10800</v>
      </c>
      <c r="Q91" s="31" t="s">
        <v>225</v>
      </c>
      <c r="R91" s="67"/>
      <c r="S91" s="67"/>
      <c r="T91" s="67"/>
      <c r="U91" s="77">
        <f t="shared" si="26"/>
        <v>36000</v>
      </c>
      <c r="V91" s="67"/>
      <c r="W91" s="1"/>
      <c r="X91" s="1"/>
      <c r="Y91" s="1"/>
      <c r="Z91" s="1"/>
      <c r="AA91" s="1"/>
      <c r="AB91" s="1"/>
      <c r="AC91" s="1"/>
      <c r="AD91" s="1"/>
      <c r="AE91" s="1"/>
    </row>
    <row r="92">
      <c r="A92" s="30" t="s">
        <v>226</v>
      </c>
      <c r="B92" s="28"/>
      <c r="C92" s="28"/>
      <c r="D92" s="28"/>
      <c r="E92" s="28"/>
      <c r="F92" s="28"/>
      <c r="G92" s="28"/>
      <c r="H92" s="64"/>
      <c r="I92" s="40"/>
      <c r="J92" s="40"/>
      <c r="K92" s="64"/>
      <c r="L92" s="64"/>
      <c r="M92" s="40"/>
      <c r="N92" s="28"/>
      <c r="O92" s="88"/>
      <c r="P92" s="28"/>
      <c r="Q92" s="28"/>
      <c r="R92" s="28"/>
      <c r="S92" s="67"/>
      <c r="T92" s="67"/>
      <c r="U92" s="67"/>
      <c r="V92" s="67"/>
      <c r="W92" s="1"/>
      <c r="X92" s="1"/>
      <c r="Y92" s="1"/>
      <c r="Z92" s="1"/>
      <c r="AA92" s="1"/>
      <c r="AB92" s="1"/>
      <c r="AC92" s="1"/>
      <c r="AD92" s="1"/>
      <c r="AE92" s="1"/>
    </row>
    <row r="93">
      <c r="A93" s="33" t="s">
        <v>16</v>
      </c>
      <c r="B93" s="94" t="s">
        <v>227</v>
      </c>
      <c r="C93" s="94" t="str">
        <f>VLOOKUP($B93,'Rate card'!$A$4:$G285,2,FALSE)</f>
        <v>Carpentry</v>
      </c>
      <c r="D93" s="94" t="str">
        <f>VLOOKUP($B93,'Rate card'!$A$4:$G285,3,FALSE)</f>
        <v>Bed</v>
      </c>
      <c r="E93" s="94" t="str">
        <f>VLOOKUP($B93,'Rate card'!$A$4:$G285,4,FALSE)</f>
        <v>Laminate Finish</v>
      </c>
      <c r="F93" s="94" t="s">
        <v>228</v>
      </c>
      <c r="G93" s="94" t="str">
        <f>VLOOKUP($B93,'Rate card'!$A$4:$G285,6,FALSE)</f>
        <v>Sqft</v>
      </c>
      <c r="H93" s="62">
        <v>1800.0</v>
      </c>
      <c r="I93" s="78"/>
      <c r="J93" s="78">
        <f>5.5*6.5</f>
        <v>35.75</v>
      </c>
      <c r="K93" s="79">
        <f t="shared" ref="K93:K101" si="27">H93*J93</f>
        <v>64350</v>
      </c>
      <c r="L93" s="67">
        <f>6*6.5</f>
        <v>39</v>
      </c>
      <c r="M93" s="67"/>
      <c r="N93" s="33">
        <f t="shared" ref="N93:N101" si="28">L93*H93</f>
        <v>70200</v>
      </c>
      <c r="O93" s="70">
        <v>0.7</v>
      </c>
      <c r="P93" s="32">
        <f t="shared" ref="P93:P162" si="29">O93*N93</f>
        <v>49140</v>
      </c>
      <c r="Q93" s="75" t="s">
        <v>229</v>
      </c>
      <c r="R93" s="67"/>
      <c r="S93" s="67"/>
      <c r="T93" s="67"/>
      <c r="U93" s="77">
        <f t="shared" ref="U93:U94" si="30">N93</f>
        <v>70200</v>
      </c>
      <c r="V93" s="67"/>
      <c r="W93" s="1"/>
      <c r="X93" s="1"/>
      <c r="Y93" s="1"/>
      <c r="Z93" s="1"/>
      <c r="AA93" s="1"/>
      <c r="AB93" s="1"/>
      <c r="AC93" s="1"/>
      <c r="AD93" s="1"/>
      <c r="AE93" s="1"/>
    </row>
    <row r="94">
      <c r="A94" s="33" t="s">
        <v>18</v>
      </c>
      <c r="B94" s="94" t="s">
        <v>230</v>
      </c>
      <c r="C94" s="94" t="str">
        <f>VLOOKUP($B94,'Rate card'!$A$4:$G285,2,FALSE)</f>
        <v>Carpentry</v>
      </c>
      <c r="D94" s="94" t="str">
        <f>VLOOKUP($B94,'Rate card'!$A$4:$G285,3,FALSE)</f>
        <v>Headboard</v>
      </c>
      <c r="E94" s="94" t="str">
        <f>VLOOKUP($B94,'Rate card'!$A$4:$G285,4,FALSE)</f>
        <v>Fabric Finish</v>
      </c>
      <c r="F94" s="94" t="str">
        <f>VLOOKUP($B94,'Rate card'!$A$4:$G285,5,FALSE)</f>
        <v>MR ply panelling + Foam material and labour. Excludes Fabric cost</v>
      </c>
      <c r="G94" s="94" t="str">
        <f>VLOOKUP($B94,'Rate card'!$A$4:$G285,6,FALSE)</f>
        <v>Sqft</v>
      </c>
      <c r="H94" s="94">
        <v>1300.0</v>
      </c>
      <c r="I94" s="78"/>
      <c r="J94" s="78">
        <f>5.5*3</f>
        <v>16.5</v>
      </c>
      <c r="K94" s="79">
        <f t="shared" si="27"/>
        <v>21450</v>
      </c>
      <c r="L94" s="67">
        <f>9*4.5</f>
        <v>40.5</v>
      </c>
      <c r="M94" s="67"/>
      <c r="N94" s="33">
        <f t="shared" si="28"/>
        <v>52650</v>
      </c>
      <c r="O94" s="81"/>
      <c r="P94" s="32">
        <f t="shared" si="29"/>
        <v>0</v>
      </c>
      <c r="Q94" s="95" t="s">
        <v>231</v>
      </c>
      <c r="R94" s="67"/>
      <c r="S94" s="67"/>
      <c r="T94" s="67"/>
      <c r="U94" s="77">
        <f t="shared" si="30"/>
        <v>52650</v>
      </c>
      <c r="V94" s="67"/>
      <c r="W94" s="1"/>
      <c r="X94" s="1"/>
      <c r="Y94" s="1"/>
      <c r="Z94" s="1"/>
      <c r="AA94" s="1"/>
      <c r="AB94" s="1"/>
      <c r="AC94" s="1"/>
      <c r="AD94" s="1"/>
      <c r="AE94" s="1"/>
    </row>
    <row r="95">
      <c r="A95" s="99" t="s">
        <v>24</v>
      </c>
      <c r="B95" s="62" t="s">
        <v>232</v>
      </c>
      <c r="C95" s="94" t="str">
        <f>VLOOKUP($B95,'Rate card'!$A$4:$G285,2,FALSE)</f>
        <v>Carpentry</v>
      </c>
      <c r="D95" s="62" t="s">
        <v>233</v>
      </c>
      <c r="E95" s="94" t="str">
        <f>VLOOKUP($B95,'Rate card'!$A$4:$G285,4,FALSE)</f>
        <v>Laminate Finish</v>
      </c>
      <c r="F95" s="94" t="str">
        <f>VLOOKUP($B95,'Rate card'!$A$4:$G285,5,FALSE)</f>
        <v>MR ply + Inside laminate + finish laminate (1 Drawer)</v>
      </c>
      <c r="G95" s="94" t="str">
        <f>VLOOKUP($B95,'Rate card'!$A$4:$G285,6,FALSE)</f>
        <v>Nos</v>
      </c>
      <c r="H95" s="62">
        <v>20000.0</v>
      </c>
      <c r="I95" s="78"/>
      <c r="J95" s="78" t="s">
        <v>18</v>
      </c>
      <c r="K95" s="79">
        <f t="shared" si="27"/>
        <v>40000</v>
      </c>
      <c r="L95" s="62">
        <v>2.0</v>
      </c>
      <c r="M95" s="67"/>
      <c r="N95" s="33">
        <f t="shared" si="28"/>
        <v>40000</v>
      </c>
      <c r="O95" s="70"/>
      <c r="P95" s="32">
        <f t="shared" si="29"/>
        <v>0</v>
      </c>
      <c r="Q95" s="75" t="s">
        <v>233</v>
      </c>
      <c r="R95" s="67"/>
      <c r="S95" s="77">
        <f>N95</f>
        <v>40000</v>
      </c>
      <c r="T95" s="67"/>
      <c r="U95" s="67"/>
      <c r="V95" s="67"/>
      <c r="W95" s="1"/>
      <c r="X95" s="1"/>
      <c r="Y95" s="1"/>
      <c r="Z95" s="1"/>
      <c r="AA95" s="1"/>
      <c r="AB95" s="1"/>
      <c r="AC95" s="1"/>
      <c r="AD95" s="1"/>
      <c r="AE95" s="1"/>
    </row>
    <row r="96">
      <c r="A96" s="33" t="s">
        <v>27</v>
      </c>
      <c r="B96" s="62" t="s">
        <v>170</v>
      </c>
      <c r="C96" s="94" t="str">
        <f>VLOOKUP($B96,'Rate card'!$A$4:$G285,2,FALSE)</f>
        <v>Carpentry</v>
      </c>
      <c r="D96" s="94" t="str">
        <f>VLOOKUP($B96,'Rate card'!$A$4:$G285,3,FALSE)</f>
        <v>Carcass Storage</v>
      </c>
      <c r="E96" s="94" t="str">
        <f>VLOOKUP($B96,'Rate card'!$A$4:$G285,4,FALSE)</f>
        <v>Laminate Finish</v>
      </c>
      <c r="F96" s="94" t="str">
        <f>VLOOKUP($B96,'Rate card'!$A$4:$G285,5,FALSE)</f>
        <v>MR ply + Inside laminate + finish laminate</v>
      </c>
      <c r="G96" s="62" t="s">
        <v>175</v>
      </c>
      <c r="H96" s="62">
        <v>1800.0</v>
      </c>
      <c r="I96" s="78"/>
      <c r="J96" s="78" t="s">
        <v>34</v>
      </c>
      <c r="K96" s="79">
        <f t="shared" si="27"/>
        <v>12600</v>
      </c>
      <c r="L96" s="67">
        <f>7*1</f>
        <v>7</v>
      </c>
      <c r="M96" s="67"/>
      <c r="N96" s="33">
        <f t="shared" si="28"/>
        <v>12600</v>
      </c>
      <c r="O96" s="70">
        <v>0.35</v>
      </c>
      <c r="P96" s="32">
        <f t="shared" si="29"/>
        <v>4410</v>
      </c>
      <c r="Q96" s="31" t="s">
        <v>234</v>
      </c>
      <c r="R96" s="67"/>
      <c r="S96" s="67"/>
      <c r="T96" s="67"/>
      <c r="U96" s="67"/>
      <c r="V96" s="67"/>
      <c r="W96" s="1"/>
      <c r="X96" s="1"/>
      <c r="Y96" s="1"/>
      <c r="Z96" s="1"/>
      <c r="AA96" s="1"/>
      <c r="AB96" s="1"/>
      <c r="AC96" s="1"/>
      <c r="AD96" s="1"/>
      <c r="AE96" s="1"/>
    </row>
    <row r="97">
      <c r="A97" s="33" t="s">
        <v>30</v>
      </c>
      <c r="B97" s="62" t="s">
        <v>170</v>
      </c>
      <c r="C97" s="94" t="str">
        <f>VLOOKUP($B97,'Rate card'!$A$4:$G285,2,FALSE)</f>
        <v>Carpentry</v>
      </c>
      <c r="D97" s="94" t="str">
        <f>VLOOKUP($B97,'Rate card'!$A$4:$G285,3,FALSE)</f>
        <v>Carcass Storage</v>
      </c>
      <c r="E97" s="94" t="str">
        <f>VLOOKUP($B97,'Rate card'!$A$4:$G285,4,FALSE)</f>
        <v>Laminate Finish</v>
      </c>
      <c r="F97" s="94" t="str">
        <f>VLOOKUP($B97,'Rate card'!$A$4:$G285,5,FALSE)</f>
        <v>MR ply + Inside laminate + finish laminate</v>
      </c>
      <c r="G97" s="94" t="str">
        <f>VLOOKUP($B97,'Rate card'!$A$4:$G285,6,FALSE)</f>
        <v>Sqft</v>
      </c>
      <c r="H97" s="94">
        <f>VLOOKUP($B97,'Rate card'!$A$4:$J285,8,FALSE)</f>
        <v>1800</v>
      </c>
      <c r="I97" s="78"/>
      <c r="J97" s="78">
        <f>5*10</f>
        <v>50</v>
      </c>
      <c r="K97" s="79">
        <f t="shared" si="27"/>
        <v>90000</v>
      </c>
      <c r="L97" s="67">
        <f>5*9</f>
        <v>45</v>
      </c>
      <c r="M97" s="67"/>
      <c r="N97" s="33">
        <f t="shared" si="28"/>
        <v>81000</v>
      </c>
      <c r="O97" s="70">
        <v>0.5</v>
      </c>
      <c r="P97" s="32">
        <f t="shared" si="29"/>
        <v>40500</v>
      </c>
      <c r="Q97" s="75" t="s">
        <v>235</v>
      </c>
      <c r="R97" s="67"/>
      <c r="S97" s="67"/>
      <c r="T97" s="77">
        <f>N97</f>
        <v>81000</v>
      </c>
      <c r="U97" s="67"/>
      <c r="V97" s="67"/>
      <c r="W97" s="1"/>
      <c r="X97" s="1"/>
      <c r="Y97" s="1"/>
      <c r="Z97" s="1"/>
      <c r="AA97" s="1"/>
      <c r="AB97" s="1"/>
      <c r="AC97" s="1"/>
      <c r="AD97" s="1"/>
      <c r="AE97" s="1"/>
    </row>
    <row r="98">
      <c r="A98" s="33" t="s">
        <v>32</v>
      </c>
      <c r="B98" s="62" t="s">
        <v>236</v>
      </c>
      <c r="C98" s="94" t="str">
        <f>VLOOKUP($B98,'Rate card'!$A$4:$G285,2,FALSE)</f>
        <v>Carpentry</v>
      </c>
      <c r="D98" s="94" t="str">
        <f>VLOOKUP($B98,'Rate card'!$A$4:$G285,3,FALSE)</f>
        <v>Panelling with framing</v>
      </c>
      <c r="E98" s="94" t="str">
        <f>VLOOKUP($B98,'Rate card'!$A$4:$G285,4,FALSE)</f>
        <v>Mirror Finish</v>
      </c>
      <c r="F98" s="94" t="str">
        <f>VLOOKUP($B98,'Rate card'!$A$4:$G285,5,FALSE)</f>
        <v>MR ply + ply framing + 5mm clear mirror</v>
      </c>
      <c r="G98" s="94" t="str">
        <f>VLOOKUP($B98,'Rate card'!$A$4:$G285,6,FALSE)</f>
        <v>Sqft</v>
      </c>
      <c r="H98" s="94">
        <f>VLOOKUP($B98,'Rate card'!$A$4:$J285,8,FALSE)</f>
        <v>750</v>
      </c>
      <c r="I98" s="78"/>
      <c r="J98" s="78">
        <f>2.5*7</f>
        <v>17.5</v>
      </c>
      <c r="K98" s="79">
        <f t="shared" si="27"/>
        <v>13125</v>
      </c>
      <c r="L98" s="67">
        <f>7*2</f>
        <v>14</v>
      </c>
      <c r="M98" s="67"/>
      <c r="N98" s="33">
        <f t="shared" si="28"/>
        <v>10500</v>
      </c>
      <c r="O98" s="70">
        <v>0.25</v>
      </c>
      <c r="P98" s="32">
        <f t="shared" si="29"/>
        <v>2625</v>
      </c>
      <c r="Q98" s="75" t="s">
        <v>237</v>
      </c>
      <c r="R98" s="67"/>
      <c r="S98" s="67"/>
      <c r="T98" s="67"/>
      <c r="U98" s="77">
        <f t="shared" ref="U98:U99" si="31">N98</f>
        <v>10500</v>
      </c>
      <c r="V98" s="67"/>
      <c r="W98" s="1"/>
      <c r="X98" s="1"/>
      <c r="Y98" s="1"/>
      <c r="Z98" s="1"/>
      <c r="AA98" s="1"/>
      <c r="AB98" s="1"/>
      <c r="AC98" s="1"/>
      <c r="AD98" s="1"/>
      <c r="AE98" s="1"/>
    </row>
    <row r="99" ht="26.25" customHeight="1">
      <c r="A99" s="33" t="s">
        <v>34</v>
      </c>
      <c r="B99" s="75" t="s">
        <v>238</v>
      </c>
      <c r="C99" s="95" t="s">
        <v>31</v>
      </c>
      <c r="D99" s="33" t="s">
        <v>180</v>
      </c>
      <c r="E99" s="95" t="str">
        <f>VLOOKUP($B99,'Rate card'!$A$4:$G285,4,FALSE)</f>
        <v>Laminate Finish</v>
      </c>
      <c r="F99" s="76" t="s">
        <v>239</v>
      </c>
      <c r="G99" s="95" t="str">
        <f>VLOOKUP($B99,'Rate card'!$A$4:$G285,6,FALSE)</f>
        <v>Sqft</v>
      </c>
      <c r="H99" s="75">
        <v>950.0</v>
      </c>
      <c r="I99" s="31"/>
      <c r="J99" s="31" t="s">
        <v>240</v>
      </c>
      <c r="K99" s="69">
        <f t="shared" si="27"/>
        <v>76000</v>
      </c>
      <c r="L99" s="67">
        <f>9*5</f>
        <v>45</v>
      </c>
      <c r="M99" s="67"/>
      <c r="N99" s="33">
        <f t="shared" si="28"/>
        <v>42750</v>
      </c>
      <c r="O99" s="70"/>
      <c r="P99" s="32">
        <f t="shared" si="29"/>
        <v>0</v>
      </c>
      <c r="Q99" s="32" t="s">
        <v>241</v>
      </c>
      <c r="R99" s="62" t="s">
        <v>242</v>
      </c>
      <c r="S99" s="76"/>
      <c r="T99" s="76"/>
      <c r="U99" s="33">
        <f t="shared" si="31"/>
        <v>42750</v>
      </c>
      <c r="V99" s="76"/>
      <c r="W99" s="52"/>
      <c r="X99" s="52"/>
      <c r="Y99" s="52"/>
      <c r="Z99" s="52"/>
      <c r="AA99" s="52"/>
      <c r="AB99" s="52"/>
      <c r="AC99" s="52"/>
      <c r="AD99" s="52"/>
      <c r="AE99" s="52"/>
    </row>
    <row r="100">
      <c r="A100" s="33" t="s">
        <v>36</v>
      </c>
      <c r="B100" s="62" t="s">
        <v>243</v>
      </c>
      <c r="C100" s="94" t="str">
        <f>VLOOKUP($B100,'Rate card'!$A$4:$G285,2,FALSE)</f>
        <v>Carpentry</v>
      </c>
      <c r="D100" s="94" t="str">
        <f>VLOOKUP($B100,'Rate card'!$A$4:$G285,3,FALSE)</f>
        <v>Wardrobe</v>
      </c>
      <c r="E100" s="94" t="str">
        <f>VLOOKUP($B100,'Rate card'!$A$4:$G285,4,FALSE)</f>
        <v>Laminate Finish</v>
      </c>
      <c r="F100" s="94" t="str">
        <f>VLOOKUP($B100,'Rate card'!$A$4:$G285,5,FALSE)</f>
        <v>MR ply + Inside laminate + finish laminate. (Includes 4 pencil drawers, Handles of base rate Rs.1000/pc)</v>
      </c>
      <c r="G100" s="94" t="str">
        <f>VLOOKUP($B100,'Rate card'!$A$4:$G285,6,FALSE)</f>
        <v>Sqft</v>
      </c>
      <c r="H100" s="62">
        <v>1800.0</v>
      </c>
      <c r="I100" s="78"/>
      <c r="J100" s="78">
        <f>7.5*10</f>
        <v>75</v>
      </c>
      <c r="K100" s="79">
        <f t="shared" si="27"/>
        <v>135000</v>
      </c>
      <c r="L100" s="67">
        <f>10*9</f>
        <v>90</v>
      </c>
      <c r="M100" s="67"/>
      <c r="N100" s="33">
        <f t="shared" si="28"/>
        <v>162000</v>
      </c>
      <c r="O100" s="70">
        <v>0.5</v>
      </c>
      <c r="P100" s="32">
        <f t="shared" si="29"/>
        <v>81000</v>
      </c>
      <c r="Q100" s="75" t="s">
        <v>244</v>
      </c>
      <c r="R100" s="67"/>
      <c r="S100" s="67"/>
      <c r="T100" s="77">
        <f>N100</f>
        <v>162000</v>
      </c>
      <c r="U100" s="67"/>
      <c r="V100" s="67"/>
      <c r="W100" s="1"/>
      <c r="X100" s="1"/>
      <c r="Y100" s="1"/>
      <c r="Z100" s="1"/>
      <c r="AA100" s="1"/>
      <c r="AB100" s="1"/>
      <c r="AC100" s="1"/>
      <c r="AD100" s="1"/>
      <c r="AE100" s="1"/>
    </row>
    <row r="101">
      <c r="A101" s="33" t="s">
        <v>92</v>
      </c>
      <c r="B101" s="62" t="s">
        <v>179</v>
      </c>
      <c r="C101" s="94" t="str">
        <f>VLOOKUP($B101,'Rate card'!$A$4:$G285,2,FALSE)</f>
        <v>Carpentry</v>
      </c>
      <c r="D101" s="94" t="str">
        <f>VLOOKUP($B101,'Rate card'!$A$4:$G285,3,FALSE)</f>
        <v>Panelling with framing</v>
      </c>
      <c r="E101" s="94" t="str">
        <f>VLOOKUP($B101,'Rate card'!$A$4:$G285,4,FALSE)</f>
        <v>MDF</v>
      </c>
      <c r="F101" s="94" t="str">
        <f>VLOOKUP($B101,'Rate card'!$A$4:$G285,5,FALSE)</f>
        <v>MR ply + ply framing + 12mm MDF</v>
      </c>
      <c r="G101" s="94" t="str">
        <f>VLOOKUP($B101,'Rate card'!$A$4:$G285,6,FALSE)</f>
        <v>Sqft</v>
      </c>
      <c r="H101" s="62">
        <v>600.0</v>
      </c>
      <c r="I101" s="78"/>
      <c r="J101" s="78">
        <f>12*2.5</f>
        <v>30</v>
      </c>
      <c r="K101" s="79">
        <f t="shared" si="27"/>
        <v>18000</v>
      </c>
      <c r="L101" s="67">
        <f>10*2</f>
        <v>20</v>
      </c>
      <c r="M101" s="67"/>
      <c r="N101" s="33">
        <f t="shared" si="28"/>
        <v>12000</v>
      </c>
      <c r="O101" s="70">
        <v>0.9</v>
      </c>
      <c r="P101" s="32">
        <f t="shared" si="29"/>
        <v>10800</v>
      </c>
      <c r="Q101" s="75" t="s">
        <v>245</v>
      </c>
      <c r="R101" s="67"/>
      <c r="S101" s="67"/>
      <c r="T101" s="67"/>
      <c r="U101" s="77">
        <f>N101</f>
        <v>12000</v>
      </c>
      <c r="V101" s="67"/>
      <c r="W101" s="1"/>
      <c r="X101" s="1"/>
      <c r="Y101" s="1"/>
      <c r="Z101" s="1"/>
      <c r="AA101" s="1"/>
      <c r="AB101" s="1"/>
      <c r="AC101" s="1"/>
      <c r="AD101" s="1"/>
      <c r="AE101" s="1"/>
    </row>
    <row r="102">
      <c r="A102" s="30" t="s">
        <v>246</v>
      </c>
      <c r="B102" s="28"/>
      <c r="C102" s="28"/>
      <c r="D102" s="28"/>
      <c r="E102" s="28"/>
      <c r="F102" s="28"/>
      <c r="G102" s="28"/>
      <c r="H102" s="64"/>
      <c r="I102" s="40"/>
      <c r="J102" s="40"/>
      <c r="K102" s="64"/>
      <c r="L102" s="64"/>
      <c r="M102" s="40"/>
      <c r="N102" s="28"/>
      <c r="O102" s="88"/>
      <c r="P102" s="32">
        <f t="shared" si="29"/>
        <v>0</v>
      </c>
      <c r="Q102" s="28"/>
      <c r="R102" s="28"/>
      <c r="S102" s="67"/>
      <c r="T102" s="67"/>
      <c r="U102" s="67"/>
      <c r="V102" s="67"/>
      <c r="W102" s="1"/>
      <c r="X102" s="1"/>
      <c r="Y102" s="1"/>
      <c r="Z102" s="1"/>
      <c r="AA102" s="1"/>
      <c r="AB102" s="1"/>
      <c r="AC102" s="1"/>
      <c r="AD102" s="1"/>
      <c r="AE102" s="1"/>
    </row>
    <row r="103">
      <c r="A103" s="33" t="s">
        <v>16</v>
      </c>
      <c r="B103" s="94" t="s">
        <v>227</v>
      </c>
      <c r="C103" s="94" t="str">
        <f>VLOOKUP($B103,'Rate card'!$A$4:$G285,2,FALSE)</f>
        <v>Carpentry</v>
      </c>
      <c r="D103" s="94" t="str">
        <f>VLOOKUP($B103,'Rate card'!$A$4:$G285,3,FALSE)</f>
        <v>Bed</v>
      </c>
      <c r="E103" s="94" t="str">
        <f>VLOOKUP($B103,'Rate card'!$A$4:$G285,4,FALSE)</f>
        <v>Laminate Finish</v>
      </c>
      <c r="F103" s="94" t="str">
        <f>VLOOKUP($B103,'Rate card'!$A$4:$G285,5,FALSE)</f>
        <v>MR ply + Inside laminate + finish laminate</v>
      </c>
      <c r="G103" s="94" t="str">
        <f>VLOOKUP($B103,'Rate card'!$A$4:$G285,6,FALSE)</f>
        <v>Sqft</v>
      </c>
      <c r="H103" s="94">
        <v>2200.0</v>
      </c>
      <c r="I103" s="77"/>
      <c r="J103" s="77">
        <f>6*6.5</f>
        <v>39</v>
      </c>
      <c r="K103" s="79">
        <f t="shared" ref="K103:K114" si="32">H103*J103</f>
        <v>85800</v>
      </c>
      <c r="L103" s="67">
        <f>6*6.5</f>
        <v>39</v>
      </c>
      <c r="M103" s="67"/>
      <c r="N103" s="79">
        <f t="shared" ref="N103:N114" si="33">L103*H103</f>
        <v>85800</v>
      </c>
      <c r="O103" s="70">
        <v>0.7</v>
      </c>
      <c r="P103" s="32">
        <f t="shared" si="29"/>
        <v>60060</v>
      </c>
      <c r="Q103" s="95" t="s">
        <v>247</v>
      </c>
      <c r="R103" s="67"/>
      <c r="S103" s="67"/>
      <c r="T103" s="67"/>
      <c r="U103" s="79">
        <f t="shared" ref="U103:U104" si="34">N103</f>
        <v>85800</v>
      </c>
      <c r="V103" s="67"/>
      <c r="W103" s="1"/>
      <c r="X103" s="1"/>
      <c r="Y103" s="1"/>
      <c r="Z103" s="1"/>
      <c r="AA103" s="1"/>
      <c r="AB103" s="1"/>
      <c r="AC103" s="1"/>
      <c r="AD103" s="1"/>
      <c r="AE103" s="1"/>
    </row>
    <row r="104">
      <c r="A104" s="33" t="s">
        <v>18</v>
      </c>
      <c r="B104" s="94" t="s">
        <v>230</v>
      </c>
      <c r="C104" s="94" t="str">
        <f>VLOOKUP($B104,'Rate card'!$A$4:$G285,2,FALSE)</f>
        <v>Carpentry</v>
      </c>
      <c r="D104" s="94" t="str">
        <f>VLOOKUP($B104,'Rate card'!$A$4:$G285,3,FALSE)</f>
        <v>Headboard</v>
      </c>
      <c r="E104" s="94" t="str">
        <f>VLOOKUP($B104,'Rate card'!$A$4:$G285,4,FALSE)</f>
        <v>Fabric Finish</v>
      </c>
      <c r="F104" s="94" t="str">
        <f>VLOOKUP($B104,'Rate card'!$A$4:$G285,5,FALSE)</f>
        <v>MR ply panelling + Foam material and labour. Excludes Fabric cost</v>
      </c>
      <c r="G104" s="94" t="str">
        <f>VLOOKUP($B104,'Rate card'!$A$4:$G285,6,FALSE)</f>
        <v>Sqft</v>
      </c>
      <c r="H104" s="94">
        <v>1300.0</v>
      </c>
      <c r="I104" s="77"/>
      <c r="J104" s="77">
        <f>6*3.5</f>
        <v>21</v>
      </c>
      <c r="K104" s="79">
        <f t="shared" si="32"/>
        <v>27300</v>
      </c>
      <c r="L104" s="67">
        <f>6*4.5</f>
        <v>27</v>
      </c>
      <c r="M104" s="67"/>
      <c r="N104" s="79">
        <f t="shared" si="33"/>
        <v>35100</v>
      </c>
      <c r="O104" s="81"/>
      <c r="P104" s="32">
        <f t="shared" si="29"/>
        <v>0</v>
      </c>
      <c r="Q104" s="95" t="s">
        <v>231</v>
      </c>
      <c r="R104" s="67"/>
      <c r="S104" s="67"/>
      <c r="T104" s="67"/>
      <c r="U104" s="79">
        <f t="shared" si="34"/>
        <v>35100</v>
      </c>
      <c r="V104" s="67"/>
      <c r="W104" s="1"/>
      <c r="X104" s="1"/>
      <c r="Y104" s="1"/>
      <c r="Z104" s="1"/>
      <c r="AA104" s="1"/>
      <c r="AB104" s="1"/>
      <c r="AC104" s="1"/>
      <c r="AD104" s="1"/>
      <c r="AE104" s="1"/>
    </row>
    <row r="105">
      <c r="A105" s="99" t="s">
        <v>24</v>
      </c>
      <c r="B105" s="62" t="s">
        <v>232</v>
      </c>
      <c r="C105" s="94" t="str">
        <f>VLOOKUP($B105,'Rate card'!$A$4:$G285,2,FALSE)</f>
        <v>Carpentry</v>
      </c>
      <c r="D105" s="62" t="s">
        <v>233</v>
      </c>
      <c r="E105" s="94" t="str">
        <f>VLOOKUP($B105,'Rate card'!$A$4:$G285,4,FALSE)</f>
        <v>Laminate Finish</v>
      </c>
      <c r="F105" s="94" t="str">
        <f>VLOOKUP($B105,'Rate card'!$A$4:$G285,5,FALSE)</f>
        <v>MR ply + Inside laminate + finish laminate (1 Drawer)</v>
      </c>
      <c r="G105" s="94" t="str">
        <f>VLOOKUP($B105,'Rate card'!$A$4:$G285,6,FALSE)</f>
        <v>Nos</v>
      </c>
      <c r="H105" s="62">
        <v>20000.0</v>
      </c>
      <c r="I105" s="78"/>
      <c r="J105" s="78" t="s">
        <v>16</v>
      </c>
      <c r="K105" s="79">
        <f t="shared" si="32"/>
        <v>20000</v>
      </c>
      <c r="L105" s="62">
        <v>2.0</v>
      </c>
      <c r="M105" s="67"/>
      <c r="N105" s="79">
        <f t="shared" si="33"/>
        <v>40000</v>
      </c>
      <c r="O105" s="70"/>
      <c r="P105" s="32">
        <f t="shared" si="29"/>
        <v>0</v>
      </c>
      <c r="Q105" s="75" t="s">
        <v>233</v>
      </c>
      <c r="R105" s="67"/>
      <c r="S105" s="79">
        <f>N105</f>
        <v>40000</v>
      </c>
      <c r="T105" s="67"/>
      <c r="U105" s="67"/>
      <c r="V105" s="67"/>
      <c r="W105" s="1"/>
      <c r="X105" s="1"/>
      <c r="Y105" s="1"/>
      <c r="Z105" s="1"/>
      <c r="AA105" s="1"/>
      <c r="AB105" s="1"/>
      <c r="AC105" s="1"/>
      <c r="AD105" s="1"/>
      <c r="AE105" s="1"/>
    </row>
    <row r="106">
      <c r="A106" s="99" t="s">
        <v>27</v>
      </c>
      <c r="B106" s="62" t="s">
        <v>248</v>
      </c>
      <c r="C106" s="94" t="str">
        <f>VLOOKUP($B106,'Rate card'!$A$4:$G285,2,FALSE)</f>
        <v>Carpentry</v>
      </c>
      <c r="D106" s="94" t="str">
        <f>VLOOKUP($B106,'Rate card'!$A$4:$G285,3,FALSE)</f>
        <v>Study Table</v>
      </c>
      <c r="E106" s="94" t="str">
        <f>VLOOKUP($B106,'Rate card'!$A$4:$G285,4,FALSE)</f>
        <v>Laminate Finish</v>
      </c>
      <c r="F106" s="94" t="str">
        <f>VLOOKUP($B106,'Rate card'!$A$4:$G285,5,FALSE)</f>
        <v>MR ply + Inside laminate + finish laminate (2 pencil drawers)</v>
      </c>
      <c r="G106" s="94" t="str">
        <f>VLOOKUP($B106,'Rate card'!$A$4:$G285,6,FALSE)</f>
        <v>Rft</v>
      </c>
      <c r="H106" s="62">
        <v>4500.0</v>
      </c>
      <c r="I106" s="78"/>
      <c r="J106" s="78" t="s">
        <v>27</v>
      </c>
      <c r="K106" s="79">
        <f t="shared" si="32"/>
        <v>18000</v>
      </c>
      <c r="L106" s="62">
        <v>4.5</v>
      </c>
      <c r="M106" s="67"/>
      <c r="N106" s="79">
        <f t="shared" si="33"/>
        <v>20250</v>
      </c>
      <c r="O106" s="70">
        <v>0.65</v>
      </c>
      <c r="P106" s="32">
        <f t="shared" si="29"/>
        <v>13162.5</v>
      </c>
      <c r="Q106" s="75" t="s">
        <v>249</v>
      </c>
      <c r="R106" s="67"/>
      <c r="S106" s="67"/>
      <c r="T106" s="79">
        <f t="shared" ref="T106:T108" si="35">N106</f>
        <v>20250</v>
      </c>
      <c r="U106" s="67"/>
      <c r="V106" s="67"/>
      <c r="W106" s="1"/>
      <c r="X106" s="1"/>
      <c r="Y106" s="1"/>
      <c r="Z106" s="1"/>
      <c r="AA106" s="1"/>
      <c r="AB106" s="1"/>
      <c r="AC106" s="1"/>
      <c r="AD106" s="1"/>
      <c r="AE106" s="1"/>
    </row>
    <row r="107">
      <c r="A107" s="33" t="s">
        <v>30</v>
      </c>
      <c r="B107" s="62" t="s">
        <v>170</v>
      </c>
      <c r="C107" s="94" t="str">
        <f>VLOOKUP($B107,'Rate card'!$A$4:$G285,2,FALSE)</f>
        <v>Carpentry</v>
      </c>
      <c r="D107" s="94" t="str">
        <f>VLOOKUP($B107,'Rate card'!$A$4:$G285,3,FALSE)</f>
        <v>Carcass Storage</v>
      </c>
      <c r="E107" s="94" t="str">
        <f>VLOOKUP($B107,'Rate card'!$A$4:$G285,4,FALSE)</f>
        <v>Laminate Finish</v>
      </c>
      <c r="F107" s="94" t="str">
        <f>VLOOKUP($B107,'Rate card'!$A$4:$G285,5,FALSE)</f>
        <v>MR ply + Inside laminate + finish laminate</v>
      </c>
      <c r="G107" s="94" t="str">
        <f>VLOOKUP($B107,'Rate card'!$A$4:$G285,6,FALSE)</f>
        <v>Sqft</v>
      </c>
      <c r="H107" s="94">
        <f>VLOOKUP($B107,'Rate card'!$A$4:$J285,8,FALSE)</f>
        <v>1800</v>
      </c>
      <c r="I107" s="78"/>
      <c r="J107" s="78" t="s">
        <v>121</v>
      </c>
      <c r="K107" s="79">
        <f t="shared" si="32"/>
        <v>36000</v>
      </c>
      <c r="L107" s="67">
        <f>4.5*5.5</f>
        <v>24.75</v>
      </c>
      <c r="M107" s="67"/>
      <c r="N107" s="79">
        <f t="shared" si="33"/>
        <v>44550</v>
      </c>
      <c r="O107" s="70">
        <v>0.55</v>
      </c>
      <c r="P107" s="32">
        <f t="shared" si="29"/>
        <v>24502.5</v>
      </c>
      <c r="Q107" s="75" t="s">
        <v>250</v>
      </c>
      <c r="R107" s="67"/>
      <c r="S107" s="67"/>
      <c r="T107" s="79">
        <f t="shared" si="35"/>
        <v>44550</v>
      </c>
      <c r="U107" s="67"/>
      <c r="V107" s="67"/>
      <c r="W107" s="1"/>
      <c r="X107" s="1"/>
      <c r="Y107" s="1"/>
      <c r="Z107" s="1"/>
      <c r="AA107" s="1"/>
      <c r="AB107" s="1"/>
      <c r="AC107" s="1"/>
      <c r="AD107" s="1"/>
      <c r="AE107" s="1"/>
    </row>
    <row r="108">
      <c r="A108" s="33" t="s">
        <v>32</v>
      </c>
      <c r="B108" s="62" t="s">
        <v>170</v>
      </c>
      <c r="C108" s="94" t="str">
        <f>VLOOKUP($B108,'Rate card'!$A$4:$G285,2,FALSE)</f>
        <v>Carpentry</v>
      </c>
      <c r="D108" s="94" t="str">
        <f>VLOOKUP($B108,'Rate card'!$A$4:$G285,3,FALSE)</f>
        <v>Carcass Storage</v>
      </c>
      <c r="E108" s="94" t="str">
        <f>VLOOKUP($B108,'Rate card'!$A$4:$G285,4,FALSE)</f>
        <v>Laminate Finish</v>
      </c>
      <c r="F108" s="94" t="str">
        <f>VLOOKUP($B108,'Rate card'!$A$4:$G285,5,FALSE)</f>
        <v>MR ply + Inside laminate + finish laminate</v>
      </c>
      <c r="G108" s="94" t="str">
        <f>VLOOKUP($B108,'Rate card'!$A$4:$G285,6,FALSE)</f>
        <v>Sqft</v>
      </c>
      <c r="H108" s="94">
        <f>VLOOKUP($B108,'Rate card'!$A$4:$J285,8,FALSE)</f>
        <v>1800</v>
      </c>
      <c r="I108" s="78"/>
      <c r="J108" s="78" t="s">
        <v>116</v>
      </c>
      <c r="K108" s="79">
        <f t="shared" si="32"/>
        <v>32400</v>
      </c>
      <c r="L108" s="67">
        <f>5*7</f>
        <v>35</v>
      </c>
      <c r="M108" s="67"/>
      <c r="N108" s="79">
        <f t="shared" si="33"/>
        <v>63000</v>
      </c>
      <c r="O108" s="70"/>
      <c r="P108" s="32">
        <f t="shared" si="29"/>
        <v>0</v>
      </c>
      <c r="Q108" s="75" t="s">
        <v>251</v>
      </c>
      <c r="R108" s="67"/>
      <c r="S108" s="67"/>
      <c r="T108" s="79">
        <f t="shared" si="35"/>
        <v>63000</v>
      </c>
      <c r="U108" s="67"/>
      <c r="V108" s="67"/>
      <c r="W108" s="1"/>
      <c r="X108" s="1"/>
      <c r="Y108" s="1"/>
      <c r="Z108" s="1"/>
      <c r="AA108" s="1"/>
      <c r="AB108" s="1"/>
      <c r="AC108" s="1"/>
      <c r="AD108" s="1"/>
      <c r="AE108" s="1"/>
    </row>
    <row r="109">
      <c r="A109" s="33" t="s">
        <v>34</v>
      </c>
      <c r="B109" s="62" t="s">
        <v>236</v>
      </c>
      <c r="C109" s="94" t="str">
        <f>VLOOKUP($B109,'Rate card'!$A$4:$G285,2,FALSE)</f>
        <v>Carpentry</v>
      </c>
      <c r="D109" s="94" t="str">
        <f>VLOOKUP($B109,'Rate card'!$A$4:$G285,3,FALSE)</f>
        <v>Panelling with framing</v>
      </c>
      <c r="E109" s="94" t="str">
        <f>VLOOKUP($B109,'Rate card'!$A$4:$G285,4,FALSE)</f>
        <v>Mirror Finish</v>
      </c>
      <c r="F109" s="94" t="str">
        <f>VLOOKUP($B109,'Rate card'!$A$4:$G285,5,FALSE)</f>
        <v>MR ply + ply framing + 5mm clear mirror</v>
      </c>
      <c r="G109" s="94" t="str">
        <f>VLOOKUP($B109,'Rate card'!$A$4:$G285,6,FALSE)</f>
        <v>Sqft</v>
      </c>
      <c r="H109" s="94">
        <f>VLOOKUP($B109,'Rate card'!$A$4:$J285,8,FALSE)</f>
        <v>750</v>
      </c>
      <c r="I109" s="78"/>
      <c r="J109" s="78">
        <f>2*5</f>
        <v>10</v>
      </c>
      <c r="K109" s="79">
        <f t="shared" si="32"/>
        <v>7500</v>
      </c>
      <c r="L109" s="67">
        <f>3*3</f>
        <v>9</v>
      </c>
      <c r="M109" s="67"/>
      <c r="N109" s="79">
        <f t="shared" si="33"/>
        <v>6750</v>
      </c>
      <c r="O109" s="70"/>
      <c r="P109" s="32">
        <f t="shared" si="29"/>
        <v>0</v>
      </c>
      <c r="Q109" s="75" t="s">
        <v>237</v>
      </c>
      <c r="R109" s="67"/>
      <c r="S109" s="67"/>
      <c r="T109" s="67"/>
      <c r="U109" s="79">
        <f>N109</f>
        <v>6750</v>
      </c>
      <c r="V109" s="67"/>
      <c r="W109" s="1"/>
      <c r="X109" s="1"/>
      <c r="Y109" s="1"/>
      <c r="Z109" s="1"/>
      <c r="AA109" s="1"/>
      <c r="AB109" s="1"/>
      <c r="AC109" s="1"/>
      <c r="AD109" s="1"/>
      <c r="AE109" s="1"/>
    </row>
    <row r="110">
      <c r="A110" s="33" t="s">
        <v>36</v>
      </c>
      <c r="B110" s="62" t="s">
        <v>252</v>
      </c>
      <c r="C110" s="94" t="str">
        <f>VLOOKUP($B110,'Rate card'!$A$4:$G285,2,FALSE)</f>
        <v>Carpentry</v>
      </c>
      <c r="D110" s="94" t="str">
        <f>VLOOKUP($B110,'Rate card'!$A$4:$G285,3,FALSE)</f>
        <v>Dresser</v>
      </c>
      <c r="E110" s="77" t="str">
        <f>VLOOKUP($B110,'Rate card'!$A$4:$G285,4,FALSE)</f>
        <v>Laminate Finish</v>
      </c>
      <c r="F110" s="77" t="str">
        <f>VLOOKUP($B110,'Rate card'!$A$4:$G285,5,FALSE)</f>
        <v>MRply + Inside laminate + finish laminate </v>
      </c>
      <c r="G110" s="94" t="str">
        <f>VLOOKUP($B110,'Rate card'!$A$4:$G285,6,FALSE)</f>
        <v>Sqft</v>
      </c>
      <c r="H110" s="62">
        <v>1800.0</v>
      </c>
      <c r="I110" s="78"/>
      <c r="J110" s="78" t="s">
        <v>32</v>
      </c>
      <c r="K110" s="79">
        <f t="shared" si="32"/>
        <v>10800</v>
      </c>
      <c r="L110" s="62">
        <v>0.0</v>
      </c>
      <c r="M110" s="67"/>
      <c r="N110" s="79">
        <f t="shared" si="33"/>
        <v>0</v>
      </c>
      <c r="O110" s="70">
        <v>0.5</v>
      </c>
      <c r="P110" s="32">
        <f t="shared" si="29"/>
        <v>0</v>
      </c>
      <c r="Q110" s="75" t="s">
        <v>234</v>
      </c>
      <c r="R110" s="67"/>
      <c r="S110" s="67"/>
      <c r="T110" s="67"/>
      <c r="U110" s="67"/>
      <c r="V110" s="67"/>
      <c r="W110" s="1"/>
      <c r="X110" s="1"/>
      <c r="Y110" s="1"/>
      <c r="Z110" s="1"/>
      <c r="AA110" s="1"/>
      <c r="AB110" s="1"/>
      <c r="AC110" s="1"/>
      <c r="AD110" s="1"/>
      <c r="AE110" s="1"/>
    </row>
    <row r="111">
      <c r="A111" s="33" t="s">
        <v>92</v>
      </c>
      <c r="B111" s="62" t="s">
        <v>238</v>
      </c>
      <c r="C111" s="94" t="s">
        <v>31</v>
      </c>
      <c r="D111" s="77" t="s">
        <v>180</v>
      </c>
      <c r="E111" s="94" t="str">
        <f>VLOOKUP($B111,'Rate card'!$A$4:$G285,4,FALSE)</f>
        <v>Laminate Finish</v>
      </c>
      <c r="F111" s="100" t="s">
        <v>239</v>
      </c>
      <c r="G111" s="94" t="str">
        <f>VLOOKUP($B111,'Rate card'!$A$4:$G285,6,FALSE)</f>
        <v>Sqft</v>
      </c>
      <c r="H111" s="94">
        <f>VLOOKUP($B111,'Rate card'!$A$4:$J285,8,FALSE)</f>
        <v>650</v>
      </c>
      <c r="I111" s="78"/>
      <c r="J111" s="78" t="s">
        <v>64</v>
      </c>
      <c r="K111" s="79">
        <f t="shared" si="32"/>
        <v>26000</v>
      </c>
      <c r="L111" s="62">
        <v>0.0</v>
      </c>
      <c r="M111" s="67"/>
      <c r="N111" s="79">
        <f t="shared" si="33"/>
        <v>0</v>
      </c>
      <c r="O111" s="85">
        <v>0.65</v>
      </c>
      <c r="P111" s="32">
        <f t="shared" si="29"/>
        <v>0</v>
      </c>
      <c r="Q111" s="80" t="s">
        <v>241</v>
      </c>
      <c r="R111" s="67"/>
      <c r="S111" s="67"/>
      <c r="T111" s="67"/>
      <c r="U111" s="67"/>
      <c r="V111" s="67"/>
      <c r="W111" s="1"/>
      <c r="X111" s="1"/>
      <c r="Y111" s="1"/>
      <c r="Z111" s="1"/>
      <c r="AA111" s="1"/>
      <c r="AB111" s="1"/>
      <c r="AC111" s="1"/>
      <c r="AD111" s="1"/>
      <c r="AE111" s="1"/>
    </row>
    <row r="112">
      <c r="A112" s="33" t="s">
        <v>95</v>
      </c>
      <c r="B112" s="62" t="s">
        <v>243</v>
      </c>
      <c r="C112" s="94" t="str">
        <f>VLOOKUP($B112,'Rate card'!$A$4:$G285,2,FALSE)</f>
        <v>Carpentry</v>
      </c>
      <c r="D112" s="94" t="str">
        <f>VLOOKUP($B112,'Rate card'!$A$4:$G285,3,FALSE)</f>
        <v>Wardrobe</v>
      </c>
      <c r="E112" s="62" t="s">
        <v>253</v>
      </c>
      <c r="F112" s="94" t="str">
        <f>VLOOKUP($B112,'Rate card'!$A$4:$G285,5,FALSE)</f>
        <v>MR ply + Inside laminate + finish laminate. (Includes 4 pencil drawers, Handles of base rate Rs.1000/pc)</v>
      </c>
      <c r="G112" s="94" t="str">
        <f>VLOOKUP($B112,'Rate card'!$A$4:$G285,6,FALSE)</f>
        <v>Sqft</v>
      </c>
      <c r="H112" s="62">
        <v>2500.0</v>
      </c>
      <c r="I112" s="78"/>
      <c r="J112" s="78">
        <f>5*10</f>
        <v>50</v>
      </c>
      <c r="K112" s="79">
        <f t="shared" si="32"/>
        <v>125000</v>
      </c>
      <c r="L112" s="67">
        <f>5*9</f>
        <v>45</v>
      </c>
      <c r="M112" s="67"/>
      <c r="N112" s="79">
        <f t="shared" si="33"/>
        <v>112500</v>
      </c>
      <c r="O112" s="70">
        <v>0.5</v>
      </c>
      <c r="P112" s="32">
        <f t="shared" si="29"/>
        <v>56250</v>
      </c>
      <c r="Q112" s="75" t="s">
        <v>254</v>
      </c>
      <c r="R112" s="67"/>
      <c r="S112" s="67"/>
      <c r="T112" s="79">
        <f t="shared" ref="T112:T113" si="36">N112</f>
        <v>112500</v>
      </c>
      <c r="U112" s="67"/>
      <c r="V112" s="67"/>
      <c r="W112" s="1"/>
      <c r="X112" s="1"/>
      <c r="Y112" s="1"/>
      <c r="Z112" s="1"/>
      <c r="AA112" s="1"/>
      <c r="AB112" s="1"/>
      <c r="AC112" s="1"/>
      <c r="AD112" s="1"/>
      <c r="AE112" s="1"/>
    </row>
    <row r="113">
      <c r="A113" s="31" t="s">
        <v>97</v>
      </c>
      <c r="B113" s="62" t="s">
        <v>243</v>
      </c>
      <c r="C113" s="94" t="str">
        <f>VLOOKUP($B113,'Rate card'!$A$4:$G285,2,FALSE)</f>
        <v>Carpentry</v>
      </c>
      <c r="D113" s="94" t="str">
        <f>VLOOKUP($B113,'Rate card'!$A$4:$G285,3,FALSE)</f>
        <v>Wardrobe</v>
      </c>
      <c r="E113" s="62" t="s">
        <v>253</v>
      </c>
      <c r="F113" s="94" t="str">
        <f>VLOOKUP($B113,'Rate card'!$A$4:$G285,5,FALSE)</f>
        <v>MR ply + Inside laminate + finish laminate. (Includes 4 pencil drawers, Handles of base rate Rs.1000/pc)</v>
      </c>
      <c r="G113" s="94" t="str">
        <f>VLOOKUP($B113,'Rate card'!$A$4:$G285,6,FALSE)</f>
        <v>Sqft</v>
      </c>
      <c r="H113" s="62">
        <v>2500.0</v>
      </c>
      <c r="I113" s="78"/>
      <c r="J113" s="78">
        <f>4.25*10</f>
        <v>42.5</v>
      </c>
      <c r="K113" s="79">
        <f t="shared" si="32"/>
        <v>106250</v>
      </c>
      <c r="L113" s="67">
        <f>6*9</f>
        <v>54</v>
      </c>
      <c r="M113" s="67"/>
      <c r="N113" s="79">
        <f t="shared" si="33"/>
        <v>135000</v>
      </c>
      <c r="O113" s="70">
        <v>0.5</v>
      </c>
      <c r="P113" s="32">
        <f t="shared" si="29"/>
        <v>67500</v>
      </c>
      <c r="Q113" s="75" t="s">
        <v>255</v>
      </c>
      <c r="R113" s="67"/>
      <c r="S113" s="67"/>
      <c r="T113" s="79">
        <f t="shared" si="36"/>
        <v>135000</v>
      </c>
      <c r="U113" s="67"/>
      <c r="V113" s="67"/>
      <c r="W113" s="1"/>
      <c r="X113" s="1"/>
      <c r="Y113" s="1"/>
      <c r="Z113" s="1"/>
      <c r="AA113" s="1"/>
      <c r="AB113" s="1"/>
      <c r="AC113" s="1"/>
      <c r="AD113" s="1"/>
      <c r="AE113" s="1"/>
    </row>
    <row r="114">
      <c r="A114" s="31" t="s">
        <v>100</v>
      </c>
      <c r="B114" s="62" t="s">
        <v>179</v>
      </c>
      <c r="C114" s="94" t="str">
        <f>VLOOKUP($B114,'Rate card'!$A$4:$G285,2,FALSE)</f>
        <v>Carpentry</v>
      </c>
      <c r="D114" s="94" t="str">
        <f>VLOOKUP($B114,'Rate card'!$A$4:$G285,3,FALSE)</f>
        <v>Panelling with framing</v>
      </c>
      <c r="E114" s="94" t="str">
        <f>VLOOKUP($B114,'Rate card'!$A$4:$G285,4,FALSE)</f>
        <v>MDF</v>
      </c>
      <c r="F114" s="94" t="str">
        <f>VLOOKUP($B114,'Rate card'!$A$4:$G285,5,FALSE)</f>
        <v>MR ply + ply framing + 12mm MDF</v>
      </c>
      <c r="G114" s="94" t="str">
        <f>VLOOKUP($B114,'Rate card'!$A$4:$G285,6,FALSE)</f>
        <v>Sqft</v>
      </c>
      <c r="H114" s="62">
        <v>600.0</v>
      </c>
      <c r="I114" s="78"/>
      <c r="J114" s="78">
        <f>12*2.5</f>
        <v>30</v>
      </c>
      <c r="K114" s="79">
        <f t="shared" si="32"/>
        <v>18000</v>
      </c>
      <c r="L114" s="67">
        <f>10*2</f>
        <v>20</v>
      </c>
      <c r="M114" s="67"/>
      <c r="N114" s="79">
        <f t="shared" si="33"/>
        <v>12000</v>
      </c>
      <c r="O114" s="70">
        <v>0.9</v>
      </c>
      <c r="P114" s="32">
        <f t="shared" si="29"/>
        <v>10800</v>
      </c>
      <c r="Q114" s="75" t="s">
        <v>245</v>
      </c>
      <c r="R114" s="67"/>
      <c r="S114" s="67"/>
      <c r="T114" s="67"/>
      <c r="U114" s="79">
        <f>N114</f>
        <v>12000</v>
      </c>
      <c r="V114" s="67"/>
      <c r="W114" s="1"/>
      <c r="X114" s="1"/>
      <c r="Y114" s="1"/>
      <c r="Z114" s="1"/>
      <c r="AA114" s="1"/>
      <c r="AB114" s="1"/>
      <c r="AC114" s="1"/>
      <c r="AD114" s="1"/>
      <c r="AE114" s="1"/>
    </row>
    <row r="115">
      <c r="A115" s="30" t="s">
        <v>256</v>
      </c>
      <c r="B115" s="28"/>
      <c r="C115" s="28"/>
      <c r="D115" s="28"/>
      <c r="E115" s="28"/>
      <c r="F115" s="28"/>
      <c r="G115" s="28"/>
      <c r="H115" s="64"/>
      <c r="I115" s="40"/>
      <c r="J115" s="40"/>
      <c r="K115" s="64"/>
      <c r="L115" s="64"/>
      <c r="M115" s="40"/>
      <c r="N115" s="28"/>
      <c r="O115" s="88"/>
      <c r="P115" s="32">
        <f t="shared" si="29"/>
        <v>0</v>
      </c>
      <c r="Q115" s="28"/>
      <c r="R115" s="28"/>
      <c r="S115" s="67"/>
      <c r="T115" s="67"/>
      <c r="U115" s="67"/>
      <c r="V115" s="67"/>
      <c r="W115" s="1"/>
      <c r="X115" s="1"/>
      <c r="Y115" s="1"/>
      <c r="Z115" s="1"/>
      <c r="AA115" s="1"/>
      <c r="AB115" s="1"/>
      <c r="AC115" s="1"/>
      <c r="AD115" s="1"/>
      <c r="AE115" s="1"/>
    </row>
    <row r="116">
      <c r="A116" s="31" t="s">
        <v>16</v>
      </c>
      <c r="B116" s="62" t="s">
        <v>227</v>
      </c>
      <c r="C116" s="94" t="str">
        <f>VLOOKUP($B116,'Rate card'!$A$4:$G285,2,FALSE)</f>
        <v>Carpentry</v>
      </c>
      <c r="D116" s="94" t="str">
        <f>VLOOKUP($B116,'Rate card'!$A$4:$G285,3,FALSE)</f>
        <v>Bed</v>
      </c>
      <c r="E116" s="94" t="str">
        <f>VLOOKUP($B116,'Rate card'!$A$4:$G285,4,FALSE)</f>
        <v>Laminate Finish</v>
      </c>
      <c r="F116" s="94" t="s">
        <v>228</v>
      </c>
      <c r="G116" s="94" t="str">
        <f>VLOOKUP($B116,'Rate card'!$A$4:$G285,6,FALSE)</f>
        <v>Sqft</v>
      </c>
      <c r="H116" s="62">
        <v>2200.0</v>
      </c>
      <c r="I116" s="78"/>
      <c r="J116" s="78">
        <f t="shared" ref="J116:J117" si="37">J103</f>
        <v>39</v>
      </c>
      <c r="K116" s="79">
        <f t="shared" ref="K116:K127" si="38">H116*J116</f>
        <v>85800</v>
      </c>
      <c r="L116" s="67">
        <f>6*6.5</f>
        <v>39</v>
      </c>
      <c r="M116" s="67"/>
      <c r="N116" s="77">
        <f t="shared" ref="N116:N127" si="39">L116*H116</f>
        <v>85800</v>
      </c>
      <c r="O116" s="70">
        <v>0.7</v>
      </c>
      <c r="P116" s="32">
        <f t="shared" si="29"/>
        <v>60060</v>
      </c>
      <c r="Q116" s="75" t="s">
        <v>247</v>
      </c>
      <c r="R116" s="67"/>
      <c r="S116" s="67"/>
      <c r="T116" s="67"/>
      <c r="U116" s="77">
        <f t="shared" ref="U116:U117" si="40">N116</f>
        <v>85800</v>
      </c>
      <c r="V116" s="67"/>
      <c r="W116" s="1"/>
      <c r="X116" s="1"/>
      <c r="Y116" s="1"/>
      <c r="Z116" s="1"/>
      <c r="AA116" s="1"/>
      <c r="AB116" s="1"/>
      <c r="AC116" s="1"/>
      <c r="AD116" s="1"/>
      <c r="AE116" s="1"/>
    </row>
    <row r="117">
      <c r="A117" s="31" t="s">
        <v>18</v>
      </c>
      <c r="B117" s="62" t="s">
        <v>230</v>
      </c>
      <c r="C117" s="94" t="str">
        <f>VLOOKUP($B117,'Rate card'!$A$4:$G285,2,FALSE)</f>
        <v>Carpentry</v>
      </c>
      <c r="D117" s="94" t="str">
        <f>VLOOKUP($B117,'Rate card'!$A$4:$G285,3,FALSE)</f>
        <v>Headboard</v>
      </c>
      <c r="E117" s="94" t="str">
        <f>VLOOKUP($B117,'Rate card'!$A$4:$G285,4,FALSE)</f>
        <v>Fabric Finish</v>
      </c>
      <c r="F117" s="94" t="str">
        <f>VLOOKUP($B117,'Rate card'!$A$4:$G285,5,FALSE)</f>
        <v>MR ply panelling + Foam material and labour. Excludes Fabric cost</v>
      </c>
      <c r="G117" s="94" t="str">
        <f>VLOOKUP($B117,'Rate card'!$A$4:$G285,6,FALSE)</f>
        <v>Sqft</v>
      </c>
      <c r="H117" s="62">
        <v>1300.0</v>
      </c>
      <c r="I117" s="78"/>
      <c r="J117" s="78">
        <f t="shared" si="37"/>
        <v>21</v>
      </c>
      <c r="K117" s="79">
        <f t="shared" si="38"/>
        <v>27300</v>
      </c>
      <c r="L117" s="67">
        <f>6*4.5</f>
        <v>27</v>
      </c>
      <c r="M117" s="67"/>
      <c r="N117" s="77">
        <f t="shared" si="39"/>
        <v>35100</v>
      </c>
      <c r="O117" s="70"/>
      <c r="P117" s="32">
        <f t="shared" si="29"/>
        <v>0</v>
      </c>
      <c r="Q117" s="75" t="s">
        <v>231</v>
      </c>
      <c r="R117" s="67"/>
      <c r="S117" s="67"/>
      <c r="T117" s="67"/>
      <c r="U117" s="77">
        <f t="shared" si="40"/>
        <v>35100</v>
      </c>
      <c r="V117" s="67"/>
      <c r="W117" s="1"/>
      <c r="X117" s="1"/>
      <c r="Y117" s="1"/>
      <c r="Z117" s="1"/>
      <c r="AA117" s="1"/>
      <c r="AB117" s="1"/>
      <c r="AC117" s="1"/>
      <c r="AD117" s="1"/>
      <c r="AE117" s="1"/>
    </row>
    <row r="118">
      <c r="A118" s="97" t="s">
        <v>24</v>
      </c>
      <c r="B118" s="62" t="s">
        <v>232</v>
      </c>
      <c r="C118" s="94" t="str">
        <f>VLOOKUP($B118,'Rate card'!$A$4:$G285,2,FALSE)</f>
        <v>Carpentry</v>
      </c>
      <c r="D118" s="62" t="s">
        <v>233</v>
      </c>
      <c r="E118" s="94" t="str">
        <f>VLOOKUP($B118,'Rate card'!$A$4:$G285,4,FALSE)</f>
        <v>Laminate Finish</v>
      </c>
      <c r="F118" s="94" t="str">
        <f>VLOOKUP($B118,'Rate card'!$A$4:$G285,5,FALSE)</f>
        <v>MR ply + Inside laminate + finish laminate (1 Drawer)</v>
      </c>
      <c r="G118" s="94" t="str">
        <f>VLOOKUP($B118,'Rate card'!$A$4:$G285,6,FALSE)</f>
        <v>Nos</v>
      </c>
      <c r="H118" s="62">
        <v>20000.0</v>
      </c>
      <c r="I118" s="78"/>
      <c r="J118" s="78" t="s">
        <v>18</v>
      </c>
      <c r="K118" s="79">
        <f t="shared" si="38"/>
        <v>40000</v>
      </c>
      <c r="L118" s="62">
        <v>2.0</v>
      </c>
      <c r="M118" s="67"/>
      <c r="N118" s="77">
        <f t="shared" si="39"/>
        <v>40000</v>
      </c>
      <c r="O118" s="70"/>
      <c r="P118" s="32">
        <f t="shared" si="29"/>
        <v>0</v>
      </c>
      <c r="Q118" s="75" t="s">
        <v>233</v>
      </c>
      <c r="R118" s="67"/>
      <c r="S118" s="77">
        <f t="shared" ref="S118:S119" si="41">N118</f>
        <v>40000</v>
      </c>
      <c r="T118" s="67"/>
      <c r="U118" s="67"/>
      <c r="V118" s="67"/>
      <c r="W118" s="1"/>
      <c r="X118" s="1"/>
      <c r="Y118" s="1"/>
      <c r="Z118" s="1"/>
      <c r="AA118" s="1"/>
      <c r="AB118" s="1"/>
      <c r="AC118" s="1"/>
      <c r="AD118" s="1"/>
      <c r="AE118" s="1"/>
    </row>
    <row r="119">
      <c r="A119" s="97" t="s">
        <v>27</v>
      </c>
      <c r="B119" s="62" t="s">
        <v>248</v>
      </c>
      <c r="C119" s="94" t="str">
        <f>VLOOKUP($B119,'Rate card'!$A$4:$G285,2,FALSE)</f>
        <v>Carpentry</v>
      </c>
      <c r="D119" s="94" t="str">
        <f>VLOOKUP($B119,'Rate card'!$A$4:$G285,3,FALSE)</f>
        <v>Study Table</v>
      </c>
      <c r="E119" s="94" t="str">
        <f>VLOOKUP($B119,'Rate card'!$A$4:$G285,4,FALSE)</f>
        <v>Laminate Finish</v>
      </c>
      <c r="F119" s="94" t="str">
        <f>VLOOKUP($B119,'Rate card'!$A$4:$G285,5,FALSE)</f>
        <v>MR ply + Inside laminate + finish laminate (2 pencil drawers)</v>
      </c>
      <c r="G119" s="94" t="str">
        <f>VLOOKUP($B119,'Rate card'!$A$4:$G285,6,FALSE)</f>
        <v>Rft</v>
      </c>
      <c r="H119" s="62">
        <v>4500.0</v>
      </c>
      <c r="I119" s="78"/>
      <c r="J119" s="78" t="s">
        <v>27</v>
      </c>
      <c r="K119" s="79">
        <f t="shared" si="38"/>
        <v>18000</v>
      </c>
      <c r="L119" s="62">
        <v>5.0</v>
      </c>
      <c r="M119" s="67"/>
      <c r="N119" s="77">
        <f t="shared" si="39"/>
        <v>22500</v>
      </c>
      <c r="O119" s="70"/>
      <c r="P119" s="32">
        <f t="shared" si="29"/>
        <v>0</v>
      </c>
      <c r="Q119" s="75" t="s">
        <v>249</v>
      </c>
      <c r="R119" s="67"/>
      <c r="S119" s="77">
        <f t="shared" si="41"/>
        <v>22500</v>
      </c>
      <c r="T119" s="67"/>
      <c r="U119" s="67"/>
      <c r="V119" s="67"/>
      <c r="W119" s="1"/>
      <c r="X119" s="1"/>
      <c r="Y119" s="1"/>
      <c r="Z119" s="1"/>
      <c r="AA119" s="1"/>
      <c r="AB119" s="1"/>
      <c r="AC119" s="1"/>
      <c r="AD119" s="1"/>
      <c r="AE119" s="1"/>
    </row>
    <row r="120">
      <c r="A120" s="31" t="s">
        <v>30</v>
      </c>
      <c r="B120" s="62" t="s">
        <v>170</v>
      </c>
      <c r="C120" s="94" t="str">
        <f>VLOOKUP($B120,'Rate card'!$A$4:$G285,2,FALSE)</f>
        <v>Carpentry</v>
      </c>
      <c r="D120" s="94" t="str">
        <f>VLOOKUP($B120,'Rate card'!$A$4:$G285,3,FALSE)</f>
        <v>Carcass Storage</v>
      </c>
      <c r="E120" s="94" t="str">
        <f>VLOOKUP($B120,'Rate card'!$A$4:$G285,4,FALSE)</f>
        <v>Laminate Finish</v>
      </c>
      <c r="F120" s="94" t="str">
        <f>VLOOKUP($B120,'Rate card'!$A$4:$G285,5,FALSE)</f>
        <v>MR ply + Inside laminate + finish laminate</v>
      </c>
      <c r="G120" s="94" t="str">
        <f>VLOOKUP($B120,'Rate card'!$A$4:$G285,6,FALSE)</f>
        <v>Sqft</v>
      </c>
      <c r="H120" s="62">
        <v>650.0</v>
      </c>
      <c r="I120" s="78"/>
      <c r="J120" s="78">
        <f>4*3</f>
        <v>12</v>
      </c>
      <c r="K120" s="79">
        <f t="shared" si="38"/>
        <v>7800</v>
      </c>
      <c r="L120" s="62">
        <v>32.0</v>
      </c>
      <c r="M120" s="67"/>
      <c r="N120" s="77">
        <f t="shared" si="39"/>
        <v>20800</v>
      </c>
      <c r="O120" s="70">
        <v>0.25</v>
      </c>
      <c r="P120" s="32">
        <f t="shared" si="29"/>
        <v>5200</v>
      </c>
      <c r="Q120" s="75" t="s">
        <v>257</v>
      </c>
      <c r="R120" s="67"/>
      <c r="S120" s="67"/>
      <c r="T120" s="67"/>
      <c r="U120" s="101">
        <f>N120</f>
        <v>20800</v>
      </c>
      <c r="V120" s="67"/>
      <c r="W120" s="1"/>
      <c r="X120" s="1"/>
      <c r="Y120" s="1"/>
      <c r="Z120" s="1"/>
      <c r="AA120" s="1"/>
      <c r="AB120" s="1"/>
      <c r="AC120" s="1"/>
      <c r="AD120" s="1"/>
      <c r="AE120" s="1"/>
    </row>
    <row r="121">
      <c r="A121" s="31" t="s">
        <v>32</v>
      </c>
      <c r="B121" s="62" t="s">
        <v>170</v>
      </c>
      <c r="C121" s="94" t="str">
        <f>VLOOKUP($B121,'Rate card'!$A$4:$G285,2,FALSE)</f>
        <v>Carpentry</v>
      </c>
      <c r="D121" s="94" t="str">
        <f>VLOOKUP($B121,'Rate card'!$A$4:$G285,3,FALSE)</f>
        <v>Carcass Storage</v>
      </c>
      <c r="E121" s="94" t="str">
        <f>VLOOKUP($B121,'Rate card'!$A$4:$G285,4,FALSE)</f>
        <v>Laminate Finish</v>
      </c>
      <c r="F121" s="94" t="str">
        <f>VLOOKUP($B121,'Rate card'!$A$4:$G285,5,FALSE)</f>
        <v>MR ply + Inside laminate + finish laminate</v>
      </c>
      <c r="G121" s="62" t="s">
        <v>188</v>
      </c>
      <c r="H121" s="62">
        <v>4500.0</v>
      </c>
      <c r="I121" s="78"/>
      <c r="J121" s="78" t="s">
        <v>258</v>
      </c>
      <c r="K121" s="79">
        <f t="shared" si="38"/>
        <v>42750</v>
      </c>
      <c r="L121" s="62">
        <v>9.0</v>
      </c>
      <c r="M121" s="67"/>
      <c r="N121" s="77">
        <f t="shared" si="39"/>
        <v>40500</v>
      </c>
      <c r="O121" s="70"/>
      <c r="P121" s="32">
        <f t="shared" si="29"/>
        <v>0</v>
      </c>
      <c r="Q121" s="31" t="s">
        <v>190</v>
      </c>
      <c r="R121" s="67"/>
      <c r="S121" s="77">
        <f>N121</f>
        <v>40500</v>
      </c>
      <c r="T121" s="67"/>
      <c r="U121" s="67"/>
      <c r="V121" s="67"/>
      <c r="W121" s="1"/>
      <c r="X121" s="1"/>
      <c r="Y121" s="1"/>
      <c r="Z121" s="1"/>
      <c r="AA121" s="1"/>
      <c r="AB121" s="1"/>
      <c r="AC121" s="1"/>
      <c r="AD121" s="1"/>
      <c r="AE121" s="1"/>
    </row>
    <row r="122">
      <c r="A122" s="33" t="s">
        <v>97</v>
      </c>
      <c r="B122" s="62" t="s">
        <v>179</v>
      </c>
      <c r="C122" s="94" t="str">
        <f>VLOOKUP($B122,'Rate card'!$A$4:$G285,2,FALSE)</f>
        <v>Carpentry</v>
      </c>
      <c r="D122" s="94" t="str">
        <f>VLOOKUP($B122,'Rate card'!$A$4:$G285,3,FALSE)</f>
        <v>Panelling with framing</v>
      </c>
      <c r="E122" s="62" t="s">
        <v>259</v>
      </c>
      <c r="F122" s="94" t="str">
        <f>VLOOKUP($B122,'Rate card'!$A$4:$G285,5,FALSE)</f>
        <v>MR ply + ply framing + 12mm MDF</v>
      </c>
      <c r="G122" s="94" t="str">
        <f>VLOOKUP($B122,'Rate card'!$A$4:$G285,6,FALSE)</f>
        <v>Sqft</v>
      </c>
      <c r="H122" s="62">
        <v>850.0</v>
      </c>
      <c r="I122" s="78"/>
      <c r="J122" s="78">
        <f>12*2.5</f>
        <v>30</v>
      </c>
      <c r="K122" s="79">
        <f t="shared" si="38"/>
        <v>25500</v>
      </c>
      <c r="L122" s="67">
        <f>12*9</f>
        <v>108</v>
      </c>
      <c r="M122" s="67"/>
      <c r="N122" s="79">
        <f t="shared" si="39"/>
        <v>91800</v>
      </c>
      <c r="O122" s="70">
        <v>0.6</v>
      </c>
      <c r="P122" s="32">
        <f t="shared" si="29"/>
        <v>55080</v>
      </c>
      <c r="Q122" s="75" t="s">
        <v>260</v>
      </c>
      <c r="R122" s="67"/>
      <c r="S122" s="67"/>
      <c r="T122" s="67"/>
      <c r="U122" s="79">
        <f t="shared" ref="U122:U123" si="42">N122</f>
        <v>91800</v>
      </c>
      <c r="V122" s="67"/>
      <c r="W122" s="1"/>
      <c r="X122" s="1"/>
      <c r="Y122" s="1"/>
      <c r="Z122" s="1"/>
      <c r="AA122" s="1"/>
      <c r="AB122" s="1"/>
      <c r="AC122" s="1"/>
      <c r="AD122" s="1"/>
      <c r="AE122" s="1"/>
    </row>
    <row r="123">
      <c r="A123" s="31" t="s">
        <v>34</v>
      </c>
      <c r="B123" s="62" t="s">
        <v>236</v>
      </c>
      <c r="C123" s="94" t="str">
        <f>VLOOKUP($B123,'Rate card'!$A$4:$G285,2,FALSE)</f>
        <v>Carpentry</v>
      </c>
      <c r="D123" s="94" t="str">
        <f>VLOOKUP($B123,'Rate card'!$A$4:$G285,3,FALSE)</f>
        <v>Panelling with framing</v>
      </c>
      <c r="E123" s="94" t="str">
        <f>VLOOKUP($B123,'Rate card'!$A$4:$G285,4,FALSE)</f>
        <v>Mirror Finish</v>
      </c>
      <c r="F123" s="94" t="str">
        <f>VLOOKUP($B123,'Rate card'!$A$4:$G285,5,FALSE)</f>
        <v>MR ply + ply framing + 5mm clear mirror</v>
      </c>
      <c r="G123" s="94" t="str">
        <f>VLOOKUP($B123,'Rate card'!$A$4:$G285,6,FALSE)</f>
        <v>Sqft</v>
      </c>
      <c r="H123" s="94">
        <f>VLOOKUP($B123,'Rate card'!$A$4:$J285,8,FALSE)</f>
        <v>750</v>
      </c>
      <c r="I123" s="78"/>
      <c r="J123" s="78">
        <f>2.5*10</f>
        <v>25</v>
      </c>
      <c r="K123" s="79">
        <f t="shared" si="38"/>
        <v>18750</v>
      </c>
      <c r="L123" s="67">
        <f>2.5*9</f>
        <v>22.5</v>
      </c>
      <c r="M123" s="67"/>
      <c r="N123" s="77">
        <f t="shared" si="39"/>
        <v>16875</v>
      </c>
      <c r="O123" s="70"/>
      <c r="P123" s="32">
        <f t="shared" si="29"/>
        <v>0</v>
      </c>
      <c r="Q123" s="75" t="s">
        <v>237</v>
      </c>
      <c r="R123" s="67"/>
      <c r="S123" s="67"/>
      <c r="T123" s="67"/>
      <c r="U123" s="102">
        <f t="shared" si="42"/>
        <v>16875</v>
      </c>
      <c r="V123" s="67"/>
      <c r="W123" s="1"/>
      <c r="X123" s="1"/>
      <c r="Y123" s="1"/>
      <c r="Z123" s="1"/>
      <c r="AA123" s="1"/>
      <c r="AB123" s="1"/>
      <c r="AC123" s="1"/>
      <c r="AD123" s="1"/>
      <c r="AE123" s="1"/>
    </row>
    <row r="124">
      <c r="A124" s="31" t="s">
        <v>36</v>
      </c>
      <c r="B124" s="62" t="s">
        <v>252</v>
      </c>
      <c r="C124" s="94" t="str">
        <f>VLOOKUP($B124,'Rate card'!$A$4:$G285,2,FALSE)</f>
        <v>Carpentry</v>
      </c>
      <c r="D124" s="94" t="str">
        <f>VLOOKUP($B124,'Rate card'!$A$4:$G285,3,FALSE)</f>
        <v>Dresser</v>
      </c>
      <c r="E124" s="77" t="str">
        <f>VLOOKUP($B124,'Rate card'!$A$4:$G285,4,FALSE)</f>
        <v>Laminate Finish</v>
      </c>
      <c r="F124" s="77" t="str">
        <f>VLOOKUP($B124,'Rate card'!$A$4:$G285,5,FALSE)</f>
        <v>MRply + Inside laminate + finish laminate </v>
      </c>
      <c r="G124" s="94" t="str">
        <f>VLOOKUP($B124,'Rate card'!$A$4:$G285,6,FALSE)</f>
        <v>Sqft</v>
      </c>
      <c r="H124" s="62">
        <v>1800.0</v>
      </c>
      <c r="I124" s="78"/>
      <c r="J124" s="78">
        <f>3*7</f>
        <v>21</v>
      </c>
      <c r="K124" s="79">
        <f t="shared" si="38"/>
        <v>37800</v>
      </c>
      <c r="L124" s="67">
        <f>3.5*9</f>
        <v>31.5</v>
      </c>
      <c r="M124" s="67"/>
      <c r="N124" s="77">
        <f t="shared" si="39"/>
        <v>56700</v>
      </c>
      <c r="O124" s="70">
        <v>0.3</v>
      </c>
      <c r="P124" s="32">
        <f t="shared" si="29"/>
        <v>17010</v>
      </c>
      <c r="Q124" s="75" t="s">
        <v>261</v>
      </c>
      <c r="R124" s="67"/>
      <c r="S124" s="67"/>
      <c r="T124" s="67"/>
      <c r="U124" s="67"/>
      <c r="V124" s="67"/>
      <c r="W124" s="1"/>
      <c r="X124" s="1"/>
      <c r="Y124" s="1"/>
      <c r="Z124" s="1"/>
      <c r="AA124" s="1"/>
      <c r="AB124" s="1"/>
      <c r="AC124" s="1"/>
      <c r="AD124" s="1"/>
      <c r="AE124" s="1"/>
    </row>
    <row r="125">
      <c r="A125" s="31" t="s">
        <v>92</v>
      </c>
      <c r="B125" s="62" t="s">
        <v>238</v>
      </c>
      <c r="C125" s="94" t="s">
        <v>31</v>
      </c>
      <c r="D125" s="77" t="s">
        <v>180</v>
      </c>
      <c r="E125" s="94" t="str">
        <f>VLOOKUP($B125,'Rate card'!$A$4:$G285,4,FALSE)</f>
        <v>Laminate Finish</v>
      </c>
      <c r="F125" s="100" t="s">
        <v>239</v>
      </c>
      <c r="G125" s="94" t="str">
        <f>VLOOKUP($B125,'Rate card'!$A$4:$G285,6,FALSE)</f>
        <v>Sqft</v>
      </c>
      <c r="H125" s="62">
        <v>1500.0</v>
      </c>
      <c r="I125" s="78"/>
      <c r="J125" s="78" t="s">
        <v>262</v>
      </c>
      <c r="K125" s="79">
        <f t="shared" si="38"/>
        <v>135000</v>
      </c>
      <c r="L125" s="67">
        <f>9*9</f>
        <v>81</v>
      </c>
      <c r="M125" s="67"/>
      <c r="N125" s="77">
        <f t="shared" si="39"/>
        <v>121500</v>
      </c>
      <c r="O125" s="85">
        <v>0.5</v>
      </c>
      <c r="P125" s="32">
        <f t="shared" si="29"/>
        <v>60750</v>
      </c>
      <c r="Q125" s="80" t="s">
        <v>241</v>
      </c>
      <c r="R125" s="67"/>
      <c r="S125" s="67"/>
      <c r="T125" s="67"/>
      <c r="U125" s="67"/>
      <c r="V125" s="77">
        <f>N125</f>
        <v>121500</v>
      </c>
      <c r="W125" s="1"/>
      <c r="X125" s="1"/>
      <c r="Y125" s="1"/>
      <c r="Z125" s="1"/>
      <c r="AA125" s="1"/>
      <c r="AB125" s="1"/>
      <c r="AC125" s="1"/>
      <c r="AD125" s="1"/>
      <c r="AE125" s="1"/>
    </row>
    <row r="126">
      <c r="A126" s="31" t="s">
        <v>95</v>
      </c>
      <c r="B126" s="62" t="s">
        <v>263</v>
      </c>
      <c r="C126" s="94" t="str">
        <f>VLOOKUP($B126,'Rate card'!$A$4:$G285,2,FALSE)</f>
        <v>Carpentry</v>
      </c>
      <c r="D126" s="94" t="str">
        <f>VLOOKUP($B126,'Rate card'!$A$4:$G285,3,FALSE)</f>
        <v>Wardrobe</v>
      </c>
      <c r="E126" s="62" t="s">
        <v>264</v>
      </c>
      <c r="F126" s="94" t="str">
        <f>VLOOKUP($B126,'Rate card'!$A$4:$G285,5,FALSE)</f>
        <v>MR ply + Inside laminate + Profile section for glass+ 5mm toughned backpainted extra clear glass(Includes 4 pencil drawers, Handles of base rate Rs.1000/pc)</v>
      </c>
      <c r="G126" s="94" t="str">
        <f>VLOOKUP($B126,'Rate card'!$A$4:$G285,6,FALSE)</f>
        <v>Sqft</v>
      </c>
      <c r="H126" s="62">
        <v>2800.0</v>
      </c>
      <c r="I126" s="78"/>
      <c r="J126" s="78">
        <f>6.5*10</f>
        <v>65</v>
      </c>
      <c r="K126" s="79">
        <f t="shared" si="38"/>
        <v>182000</v>
      </c>
      <c r="L126" s="67">
        <f>6.5*9</f>
        <v>58.5</v>
      </c>
      <c r="M126" s="67"/>
      <c r="N126" s="77">
        <f t="shared" si="39"/>
        <v>163800</v>
      </c>
      <c r="O126" s="70">
        <v>0.5</v>
      </c>
      <c r="P126" s="32">
        <f t="shared" si="29"/>
        <v>81900</v>
      </c>
      <c r="Q126" s="75" t="s">
        <v>244</v>
      </c>
      <c r="R126" s="67"/>
      <c r="S126" s="67"/>
      <c r="T126" s="77">
        <f>N126</f>
        <v>163800</v>
      </c>
      <c r="U126" s="67"/>
      <c r="V126" s="67"/>
      <c r="W126" s="1"/>
      <c r="X126" s="1"/>
      <c r="Y126" s="1"/>
      <c r="Z126" s="1"/>
      <c r="AA126" s="1"/>
      <c r="AB126" s="1"/>
      <c r="AC126" s="1"/>
      <c r="AD126" s="1"/>
      <c r="AE126" s="1"/>
    </row>
    <row r="127">
      <c r="A127" s="31" t="s">
        <v>97</v>
      </c>
      <c r="B127" s="62" t="s">
        <v>179</v>
      </c>
      <c r="C127" s="94" t="str">
        <f>VLOOKUP($B127,'Rate card'!$A$4:$G285,2,FALSE)</f>
        <v>Carpentry</v>
      </c>
      <c r="D127" s="94" t="str">
        <f>VLOOKUP($B127,'Rate card'!$A$4:$G285,3,FALSE)</f>
        <v>Panelling with framing</v>
      </c>
      <c r="E127" s="94" t="str">
        <f>VLOOKUP($B127,'Rate card'!$A$4:$G285,4,FALSE)</f>
        <v>MDF</v>
      </c>
      <c r="F127" s="94" t="str">
        <f>VLOOKUP($B127,'Rate card'!$A$4:$G285,5,FALSE)</f>
        <v>MR ply + ply framing + 12mm MDF</v>
      </c>
      <c r="G127" s="94" t="str">
        <f>VLOOKUP($B127,'Rate card'!$A$4:$G285,6,FALSE)</f>
        <v>Sqft</v>
      </c>
      <c r="H127" s="62">
        <v>600.0</v>
      </c>
      <c r="I127" s="78"/>
      <c r="J127" s="78">
        <f>11*2.5</f>
        <v>27.5</v>
      </c>
      <c r="K127" s="79">
        <f t="shared" si="38"/>
        <v>16500</v>
      </c>
      <c r="L127" s="67">
        <f>10*2</f>
        <v>20</v>
      </c>
      <c r="M127" s="67"/>
      <c r="N127" s="77">
        <f t="shared" si="39"/>
        <v>12000</v>
      </c>
      <c r="O127" s="70">
        <v>0.9</v>
      </c>
      <c r="P127" s="32">
        <f t="shared" si="29"/>
        <v>10800</v>
      </c>
      <c r="Q127" s="75" t="s">
        <v>245</v>
      </c>
      <c r="R127" s="67"/>
      <c r="S127" s="67"/>
      <c r="T127" s="67"/>
      <c r="U127" s="77">
        <f>N127</f>
        <v>12000</v>
      </c>
      <c r="V127" s="67"/>
      <c r="W127" s="1"/>
      <c r="X127" s="1"/>
      <c r="Y127" s="1"/>
      <c r="Z127" s="1"/>
      <c r="AA127" s="1"/>
      <c r="AB127" s="1"/>
      <c r="AC127" s="1"/>
      <c r="AD127" s="1"/>
      <c r="AE127" s="1"/>
    </row>
    <row r="128">
      <c r="A128" s="30" t="s">
        <v>265</v>
      </c>
      <c r="B128" s="28"/>
      <c r="C128" s="28"/>
      <c r="D128" s="28"/>
      <c r="E128" s="28"/>
      <c r="F128" s="28"/>
      <c r="G128" s="28"/>
      <c r="H128" s="64"/>
      <c r="I128" s="40"/>
      <c r="J128" s="40"/>
      <c r="K128" s="64"/>
      <c r="L128" s="64"/>
      <c r="M128" s="40"/>
      <c r="N128" s="28"/>
      <c r="O128" s="88"/>
      <c r="P128" s="32">
        <f t="shared" si="29"/>
        <v>0</v>
      </c>
      <c r="Q128" s="28"/>
      <c r="R128" s="28"/>
      <c r="S128" s="67"/>
      <c r="T128" s="67"/>
      <c r="U128" s="67"/>
      <c r="V128" s="67"/>
      <c r="W128" s="1"/>
      <c r="X128" s="1"/>
      <c r="Y128" s="1"/>
      <c r="Z128" s="1"/>
      <c r="AA128" s="1"/>
      <c r="AB128" s="1"/>
      <c r="AC128" s="1"/>
      <c r="AD128" s="1"/>
      <c r="AE128" s="1"/>
    </row>
    <row r="129">
      <c r="A129" s="31" t="s">
        <v>16</v>
      </c>
      <c r="B129" s="62" t="s">
        <v>227</v>
      </c>
      <c r="C129" s="94" t="str">
        <f>VLOOKUP($B129,'Rate card'!$A$4:$G285,2,FALSE)</f>
        <v>Carpentry</v>
      </c>
      <c r="D129" s="94" t="str">
        <f>VLOOKUP($B129,'Rate card'!$A$4:$G285,3,FALSE)</f>
        <v>Bed</v>
      </c>
      <c r="E129" s="62" t="s">
        <v>266</v>
      </c>
      <c r="F129" s="94" t="s">
        <v>228</v>
      </c>
      <c r="G129" s="94" t="str">
        <f>VLOOKUP($B129,'Rate card'!$A$4:$G285,6,FALSE)</f>
        <v>Sqft</v>
      </c>
      <c r="H129" s="62">
        <v>2200.0</v>
      </c>
      <c r="I129" s="78"/>
      <c r="J129" s="78">
        <f t="shared" ref="J129:J130" si="43">J116</f>
        <v>39</v>
      </c>
      <c r="K129" s="79">
        <f t="shared" ref="K129:K136" si="44">H129*J129</f>
        <v>85800</v>
      </c>
      <c r="L129" s="67">
        <f>6*6.5</f>
        <v>39</v>
      </c>
      <c r="M129" s="67"/>
      <c r="N129" s="77">
        <f t="shared" ref="N129:N136" si="45">L129*H129</f>
        <v>85800</v>
      </c>
      <c r="O129" s="70">
        <v>0.7</v>
      </c>
      <c r="P129" s="32">
        <f t="shared" si="29"/>
        <v>60060</v>
      </c>
      <c r="Q129" s="75" t="s">
        <v>247</v>
      </c>
      <c r="R129" s="67"/>
      <c r="S129" s="67"/>
      <c r="T129" s="67"/>
      <c r="U129" s="77">
        <f t="shared" ref="U129:U130" si="46">N129</f>
        <v>85800</v>
      </c>
      <c r="V129" s="67"/>
      <c r="W129" s="1"/>
      <c r="X129" s="1"/>
      <c r="Y129" s="1"/>
      <c r="Z129" s="1"/>
      <c r="AA129" s="1"/>
      <c r="AB129" s="1"/>
      <c r="AC129" s="1"/>
      <c r="AD129" s="1"/>
      <c r="AE129" s="1"/>
    </row>
    <row r="130">
      <c r="A130" s="31" t="s">
        <v>18</v>
      </c>
      <c r="B130" s="62" t="s">
        <v>230</v>
      </c>
      <c r="C130" s="94" t="str">
        <f>VLOOKUP($B130,'Rate card'!$A$4:$G285,2,FALSE)</f>
        <v>Carpentry</v>
      </c>
      <c r="D130" s="94" t="str">
        <f>VLOOKUP($B130,'Rate card'!$A$4:$G285,3,FALSE)</f>
        <v>Headboard</v>
      </c>
      <c r="E130" s="94" t="str">
        <f>VLOOKUP($B130,'Rate card'!$A$4:$G285,4,FALSE)</f>
        <v>Fabric Finish</v>
      </c>
      <c r="F130" s="94" t="str">
        <f>VLOOKUP($B130,'Rate card'!$A$4:$G285,5,FALSE)</f>
        <v>MR ply panelling + Foam material and labour. Excludes Fabric cost</v>
      </c>
      <c r="G130" s="94" t="str">
        <f>VLOOKUP($B130,'Rate card'!$A$4:$G285,6,FALSE)</f>
        <v>Sqft</v>
      </c>
      <c r="H130" s="62">
        <v>2000.0</v>
      </c>
      <c r="I130" s="78"/>
      <c r="J130" s="78">
        <f t="shared" si="43"/>
        <v>21</v>
      </c>
      <c r="K130" s="79">
        <f t="shared" si="44"/>
        <v>42000</v>
      </c>
      <c r="L130" s="67">
        <f>9*4.5</f>
        <v>40.5</v>
      </c>
      <c r="M130" s="67"/>
      <c r="N130" s="77">
        <f t="shared" si="45"/>
        <v>81000</v>
      </c>
      <c r="O130" s="70"/>
      <c r="P130" s="32">
        <f t="shared" si="29"/>
        <v>0</v>
      </c>
      <c r="Q130" s="75" t="s">
        <v>231</v>
      </c>
      <c r="R130" s="67"/>
      <c r="S130" s="67"/>
      <c r="T130" s="67"/>
      <c r="U130" s="77">
        <f t="shared" si="46"/>
        <v>81000</v>
      </c>
      <c r="V130" s="67"/>
      <c r="W130" s="1"/>
      <c r="X130" s="1"/>
      <c r="Y130" s="1"/>
      <c r="Z130" s="1"/>
      <c r="AA130" s="1"/>
      <c r="AB130" s="1"/>
      <c r="AC130" s="1"/>
      <c r="AD130" s="1"/>
      <c r="AE130" s="1"/>
    </row>
    <row r="131">
      <c r="A131" s="31" t="s">
        <v>24</v>
      </c>
      <c r="B131" s="62" t="s">
        <v>232</v>
      </c>
      <c r="C131" s="94" t="str">
        <f>VLOOKUP($B131,'Rate card'!$A$4:$G285,2,FALSE)</f>
        <v>Carpentry</v>
      </c>
      <c r="D131" s="62" t="s">
        <v>233</v>
      </c>
      <c r="E131" s="94" t="str">
        <f>VLOOKUP($B131,'Rate card'!$A$4:$G285,4,FALSE)</f>
        <v>Laminate Finish</v>
      </c>
      <c r="F131" s="94" t="str">
        <f>VLOOKUP($B131,'Rate card'!$A$4:$G285,5,FALSE)</f>
        <v>MR ply + Inside laminate + finish laminate (1 Drawer)</v>
      </c>
      <c r="G131" s="94" t="str">
        <f>VLOOKUP($B131,'Rate card'!$A$4:$G285,6,FALSE)</f>
        <v>Nos</v>
      </c>
      <c r="H131" s="62">
        <v>20000.0</v>
      </c>
      <c r="I131" s="78"/>
      <c r="J131" s="78" t="s">
        <v>18</v>
      </c>
      <c r="K131" s="79">
        <f t="shared" si="44"/>
        <v>40000</v>
      </c>
      <c r="L131" s="62">
        <v>2.0</v>
      </c>
      <c r="M131" s="67"/>
      <c r="N131" s="77">
        <f t="shared" si="45"/>
        <v>40000</v>
      </c>
      <c r="O131" s="70"/>
      <c r="P131" s="32">
        <f t="shared" si="29"/>
        <v>0</v>
      </c>
      <c r="Q131" s="75" t="s">
        <v>233</v>
      </c>
      <c r="R131" s="67"/>
      <c r="S131" s="77">
        <f>N131</f>
        <v>40000</v>
      </c>
      <c r="T131" s="67"/>
      <c r="U131" s="67"/>
      <c r="V131" s="67"/>
      <c r="W131" s="1"/>
      <c r="X131" s="1"/>
      <c r="Y131" s="1"/>
      <c r="Z131" s="1"/>
      <c r="AA131" s="1"/>
      <c r="AB131" s="1"/>
      <c r="AC131" s="1"/>
      <c r="AD131" s="1"/>
      <c r="AE131" s="1"/>
    </row>
    <row r="132">
      <c r="A132" s="31" t="s">
        <v>27</v>
      </c>
      <c r="B132" s="62" t="s">
        <v>236</v>
      </c>
      <c r="C132" s="94" t="str">
        <f>VLOOKUP($B132,'Rate card'!$A$4:$G285,2,FALSE)</f>
        <v>Carpentry</v>
      </c>
      <c r="D132" s="94" t="str">
        <f>VLOOKUP($B132,'Rate card'!$A$4:$G285,3,FALSE)</f>
        <v>Panelling with framing</v>
      </c>
      <c r="E132" s="62" t="s">
        <v>267</v>
      </c>
      <c r="F132" s="94" t="str">
        <f>VLOOKUP($B132,'Rate card'!$A$4:$G285,5,FALSE)</f>
        <v>MR ply + ply framing + 5mm clear mirror</v>
      </c>
      <c r="G132" s="94" t="str">
        <f>VLOOKUP($B132,'Rate card'!$A$4:$G285,6,FALSE)</f>
        <v>Sqft</v>
      </c>
      <c r="H132" s="62">
        <v>1500.0</v>
      </c>
      <c r="I132" s="78"/>
      <c r="J132" s="78">
        <f>3*10</f>
        <v>30</v>
      </c>
      <c r="K132" s="79">
        <f t="shared" si="44"/>
        <v>45000</v>
      </c>
      <c r="L132" s="67">
        <f>12*9</f>
        <v>108</v>
      </c>
      <c r="M132" s="67"/>
      <c r="N132" s="77">
        <f t="shared" si="45"/>
        <v>162000</v>
      </c>
      <c r="O132" s="70">
        <v>0.4</v>
      </c>
      <c r="P132" s="32">
        <f t="shared" si="29"/>
        <v>64800</v>
      </c>
      <c r="Q132" s="75" t="s">
        <v>268</v>
      </c>
      <c r="R132" s="67"/>
      <c r="S132" s="67"/>
      <c r="T132" s="67"/>
      <c r="U132" s="67"/>
      <c r="V132" s="77">
        <f>N132</f>
        <v>162000</v>
      </c>
      <c r="W132" s="1"/>
      <c r="X132" s="1"/>
      <c r="Y132" s="1"/>
      <c r="Z132" s="1"/>
      <c r="AA132" s="1"/>
      <c r="AB132" s="1"/>
      <c r="AC132" s="1"/>
      <c r="AD132" s="1"/>
      <c r="AE132" s="1"/>
    </row>
    <row r="133">
      <c r="A133" s="31" t="s">
        <v>30</v>
      </c>
      <c r="B133" s="62" t="s">
        <v>252</v>
      </c>
      <c r="C133" s="94" t="str">
        <f>VLOOKUP($B133,'Rate card'!$A$4:$G285,2,FALSE)</f>
        <v>Carpentry</v>
      </c>
      <c r="D133" s="94" t="str">
        <f>VLOOKUP($B133,'Rate card'!$A$4:$G285,3,FALSE)</f>
        <v>Dresser</v>
      </c>
      <c r="E133" s="62" t="s">
        <v>174</v>
      </c>
      <c r="F133" s="62" t="s">
        <v>269</v>
      </c>
      <c r="G133" s="94" t="str">
        <f>VLOOKUP($B133,'Rate card'!$A$4:$G285,6,FALSE)</f>
        <v>Sqft</v>
      </c>
      <c r="H133" s="62">
        <v>750.0</v>
      </c>
      <c r="I133" s="78"/>
      <c r="J133" s="78">
        <f>2.5*7</f>
        <v>17.5</v>
      </c>
      <c r="K133" s="79">
        <f t="shared" si="44"/>
        <v>13125</v>
      </c>
      <c r="L133" s="62">
        <f>3*7</f>
        <v>21</v>
      </c>
      <c r="M133" s="67"/>
      <c r="N133" s="77">
        <f t="shared" si="45"/>
        <v>15750</v>
      </c>
      <c r="O133" s="70"/>
      <c r="P133" s="32">
        <f t="shared" si="29"/>
        <v>0</v>
      </c>
      <c r="Q133" s="75" t="s">
        <v>234</v>
      </c>
      <c r="R133" s="67"/>
      <c r="S133" s="67"/>
      <c r="T133" s="67"/>
      <c r="U133" s="77">
        <f t="shared" ref="U133:U134" si="47">N133</f>
        <v>15750</v>
      </c>
      <c r="V133" s="67"/>
      <c r="W133" s="1"/>
      <c r="X133" s="1"/>
      <c r="Y133" s="1"/>
      <c r="Z133" s="1"/>
      <c r="AA133" s="1"/>
      <c r="AB133" s="1"/>
      <c r="AC133" s="1"/>
      <c r="AD133" s="1"/>
      <c r="AE133" s="1"/>
    </row>
    <row r="134">
      <c r="A134" s="31" t="s">
        <v>32</v>
      </c>
      <c r="B134" s="62" t="s">
        <v>238</v>
      </c>
      <c r="C134" s="94" t="s">
        <v>31</v>
      </c>
      <c r="D134" s="77" t="s">
        <v>180</v>
      </c>
      <c r="E134" s="94" t="str">
        <f>VLOOKUP($B134,'Rate card'!$A$4:$G285,4,FALSE)</f>
        <v>Laminate Finish</v>
      </c>
      <c r="F134" s="100" t="s">
        <v>239</v>
      </c>
      <c r="G134" s="94" t="str">
        <f>VLOOKUP($B134,'Rate card'!$A$4:$G285,6,FALSE)</f>
        <v>Sqft</v>
      </c>
      <c r="H134" s="62">
        <v>800.0</v>
      </c>
      <c r="I134" s="78"/>
      <c r="J134" s="78" t="s">
        <v>270</v>
      </c>
      <c r="K134" s="79">
        <f t="shared" si="44"/>
        <v>40000</v>
      </c>
      <c r="L134" s="67">
        <f>12*9</f>
        <v>108</v>
      </c>
      <c r="M134" s="67"/>
      <c r="N134" s="77">
        <f t="shared" si="45"/>
        <v>86400</v>
      </c>
      <c r="O134" s="85">
        <v>0.35</v>
      </c>
      <c r="P134" s="32">
        <f t="shared" si="29"/>
        <v>30240</v>
      </c>
      <c r="Q134" s="80" t="s">
        <v>271</v>
      </c>
      <c r="R134" s="62" t="s">
        <v>272</v>
      </c>
      <c r="S134" s="67"/>
      <c r="T134" s="67"/>
      <c r="U134" s="77">
        <f t="shared" si="47"/>
        <v>86400</v>
      </c>
      <c r="V134" s="67"/>
      <c r="W134" s="1"/>
      <c r="X134" s="1"/>
      <c r="Y134" s="1"/>
      <c r="Z134" s="1"/>
      <c r="AA134" s="1"/>
      <c r="AB134" s="1"/>
      <c r="AC134" s="1"/>
      <c r="AD134" s="1"/>
      <c r="AE134" s="1"/>
    </row>
    <row r="135">
      <c r="A135" s="31" t="s">
        <v>34</v>
      </c>
      <c r="B135" s="62" t="s">
        <v>170</v>
      </c>
      <c r="C135" s="94" t="str">
        <f>VLOOKUP($B135,'Rate card'!$A$4:$G285,2,FALSE)</f>
        <v>Carpentry</v>
      </c>
      <c r="D135" s="94" t="str">
        <f>VLOOKUP($B135,'Rate card'!$A$4:$G285,3,FALSE)</f>
        <v>Carcass Storage</v>
      </c>
      <c r="E135" s="94" t="str">
        <f>VLOOKUP($B135,'Rate card'!$A$4:$G285,4,FALSE)</f>
        <v>Laminate Finish</v>
      </c>
      <c r="F135" s="94" t="str">
        <f>VLOOKUP($B135,'Rate card'!$A$4:$G285,5,FALSE)</f>
        <v>MR ply + Inside laminate + finish laminate</v>
      </c>
      <c r="G135" s="94" t="str">
        <f>VLOOKUP($B135,'Rate card'!$A$4:$G285,6,FALSE)</f>
        <v>Sqft</v>
      </c>
      <c r="H135" s="94">
        <f>VLOOKUP($B135,'Rate card'!$A$4:$J285,8,FALSE)</f>
        <v>1800</v>
      </c>
      <c r="I135" s="78"/>
      <c r="J135" s="78">
        <f>4*3.5</f>
        <v>14</v>
      </c>
      <c r="K135" s="79">
        <f t="shared" si="44"/>
        <v>25200</v>
      </c>
      <c r="L135" s="67"/>
      <c r="M135" s="67"/>
      <c r="N135" s="77">
        <f t="shared" si="45"/>
        <v>0</v>
      </c>
      <c r="O135" s="70"/>
      <c r="P135" s="32">
        <f t="shared" si="29"/>
        <v>0</v>
      </c>
      <c r="Q135" s="31" t="s">
        <v>183</v>
      </c>
      <c r="R135" s="67"/>
      <c r="S135" s="67"/>
      <c r="T135" s="67"/>
      <c r="U135" s="67"/>
      <c r="V135" s="67"/>
      <c r="W135" s="1"/>
      <c r="X135" s="1"/>
      <c r="Y135" s="1"/>
      <c r="Z135" s="1"/>
      <c r="AA135" s="1"/>
      <c r="AB135" s="1"/>
      <c r="AC135" s="1"/>
      <c r="AD135" s="1"/>
      <c r="AE135" s="1"/>
    </row>
    <row r="136">
      <c r="A136" s="97" t="s">
        <v>36</v>
      </c>
      <c r="B136" s="62" t="s">
        <v>170</v>
      </c>
      <c r="C136" s="94" t="str">
        <f>VLOOKUP($B136,'Rate card'!$A$4:$G285,2,FALSE)</f>
        <v>Carpentry</v>
      </c>
      <c r="D136" s="62" t="s">
        <v>273</v>
      </c>
      <c r="E136" s="62" t="s">
        <v>178</v>
      </c>
      <c r="F136" s="94" t="str">
        <f>VLOOKUP($B136,'Rate card'!$A$4:$G285,5,FALSE)</f>
        <v>MR ply + Inside laminate + finish laminate</v>
      </c>
      <c r="G136" s="62" t="s">
        <v>188</v>
      </c>
      <c r="H136" s="62">
        <v>4500.0</v>
      </c>
      <c r="I136" s="78"/>
      <c r="J136" s="78" t="s">
        <v>274</v>
      </c>
      <c r="K136" s="79">
        <f t="shared" si="44"/>
        <v>32625</v>
      </c>
      <c r="L136" s="62">
        <v>9.0</v>
      </c>
      <c r="M136" s="67"/>
      <c r="N136" s="77">
        <f t="shared" si="45"/>
        <v>40500</v>
      </c>
      <c r="O136" s="70"/>
      <c r="P136" s="32">
        <f t="shared" si="29"/>
        <v>0</v>
      </c>
      <c r="Q136" s="31" t="s">
        <v>190</v>
      </c>
      <c r="R136" s="67"/>
      <c r="S136" s="77">
        <f>N136</f>
        <v>40500</v>
      </c>
      <c r="T136" s="67"/>
      <c r="U136" s="67"/>
      <c r="V136" s="67"/>
      <c r="W136" s="1"/>
      <c r="X136" s="1"/>
      <c r="Y136" s="1"/>
      <c r="Z136" s="1"/>
      <c r="AA136" s="1"/>
      <c r="AB136" s="1"/>
      <c r="AC136" s="1"/>
      <c r="AD136" s="1"/>
      <c r="AE136" s="1"/>
    </row>
    <row r="137">
      <c r="A137" s="31" t="s">
        <v>92</v>
      </c>
      <c r="B137" s="62"/>
      <c r="C137" s="94"/>
      <c r="D137" s="94"/>
      <c r="E137" s="62" t="s">
        <v>275</v>
      </c>
      <c r="F137" s="94"/>
      <c r="G137" s="94"/>
      <c r="H137" s="62"/>
      <c r="I137" s="78"/>
      <c r="J137" s="78"/>
      <c r="K137" s="79"/>
      <c r="L137" s="67"/>
      <c r="M137" s="67"/>
      <c r="N137" s="78" t="s">
        <v>276</v>
      </c>
      <c r="O137" s="70"/>
      <c r="P137" s="32">
        <f t="shared" si="29"/>
        <v>0</v>
      </c>
      <c r="Q137" s="75"/>
      <c r="R137" s="67"/>
      <c r="S137" s="67"/>
      <c r="T137" s="67"/>
      <c r="U137" s="77" t="str">
        <f>N137</f>
        <v>40000</v>
      </c>
      <c r="V137" s="67"/>
      <c r="W137" s="1"/>
      <c r="X137" s="1"/>
      <c r="Y137" s="1"/>
      <c r="Z137" s="1"/>
      <c r="AA137" s="1"/>
      <c r="AB137" s="1"/>
      <c r="AC137" s="1"/>
      <c r="AD137" s="1"/>
      <c r="AE137" s="1"/>
    </row>
    <row r="138">
      <c r="A138" s="31" t="s">
        <v>95</v>
      </c>
      <c r="B138" s="62" t="s">
        <v>263</v>
      </c>
      <c r="C138" s="94" t="str">
        <f>VLOOKUP($B138,'Rate card'!$A$4:$G285,2,FALSE)</f>
        <v>Carpentry</v>
      </c>
      <c r="D138" s="94" t="str">
        <f>VLOOKUP($B138,'Rate card'!$A$4:$G285,3,FALSE)</f>
        <v>Wardrobe</v>
      </c>
      <c r="E138" s="62" t="s">
        <v>277</v>
      </c>
      <c r="F138" s="94" t="str">
        <f>VLOOKUP($B138,'Rate card'!$A$4:$G285,5,FALSE)</f>
        <v>MR ply + Inside laminate + Profile section for glass+ 5mm toughned backpainted extra clear glass(Includes 4 pencil drawers, Handles of base rate Rs.1000/pc)</v>
      </c>
      <c r="G138" s="94" t="str">
        <f>VLOOKUP($B138,'Rate card'!$A$4:$G285,6,FALSE)</f>
        <v>Sqft</v>
      </c>
      <c r="H138" s="62">
        <v>2400.0</v>
      </c>
      <c r="I138" s="78"/>
      <c r="J138" s="78">
        <f>8.75*10</f>
        <v>87.5</v>
      </c>
      <c r="K138" s="79">
        <f t="shared" ref="K138:K139" si="48">H138*J138</f>
        <v>210000</v>
      </c>
      <c r="L138" s="67">
        <f>9*9</f>
        <v>81</v>
      </c>
      <c r="M138" s="67"/>
      <c r="N138" s="77">
        <f t="shared" ref="N138:N143" si="49">L138*H138</f>
        <v>194400</v>
      </c>
      <c r="O138" s="70">
        <v>0.5</v>
      </c>
      <c r="P138" s="32">
        <f t="shared" si="29"/>
        <v>97200</v>
      </c>
      <c r="Q138" s="75" t="s">
        <v>244</v>
      </c>
      <c r="R138" s="67"/>
      <c r="S138" s="67"/>
      <c r="T138" s="77">
        <f>N138</f>
        <v>194400</v>
      </c>
      <c r="U138" s="67"/>
      <c r="V138" s="67"/>
      <c r="W138" s="1"/>
      <c r="X138" s="1"/>
      <c r="Y138" s="1"/>
      <c r="Z138" s="1"/>
      <c r="AA138" s="1"/>
      <c r="AB138" s="1"/>
      <c r="AC138" s="1"/>
      <c r="AD138" s="1"/>
      <c r="AE138" s="1"/>
    </row>
    <row r="139">
      <c r="A139" s="31" t="s">
        <v>97</v>
      </c>
      <c r="B139" s="62" t="s">
        <v>179</v>
      </c>
      <c r="C139" s="94" t="str">
        <f>VLOOKUP($B139,'Rate card'!$A$4:$G285,2,FALSE)</f>
        <v>Carpentry</v>
      </c>
      <c r="D139" s="94" t="str">
        <f>VLOOKUP($B139,'Rate card'!$A$4:$G285,3,FALSE)</f>
        <v>Panelling with framing</v>
      </c>
      <c r="E139" s="94" t="str">
        <f>VLOOKUP($B139,'Rate card'!$A$4:$G285,4,FALSE)</f>
        <v>MDF</v>
      </c>
      <c r="F139" s="94" t="str">
        <f>VLOOKUP($B139,'Rate card'!$A$4:$G285,5,FALSE)</f>
        <v>MR ply + ply framing + 12mm MDF</v>
      </c>
      <c r="G139" s="94" t="str">
        <f>VLOOKUP($B139,'Rate card'!$A$4:$G285,6,FALSE)</f>
        <v>Sqft</v>
      </c>
      <c r="H139" s="62">
        <v>600.0</v>
      </c>
      <c r="I139" s="78"/>
      <c r="J139" s="78">
        <f>14.25*2.5</f>
        <v>35.625</v>
      </c>
      <c r="K139" s="79">
        <f t="shared" si="48"/>
        <v>21375</v>
      </c>
      <c r="L139" s="67">
        <f>10*2</f>
        <v>20</v>
      </c>
      <c r="M139" s="67"/>
      <c r="N139" s="77">
        <f t="shared" si="49"/>
        <v>12000</v>
      </c>
      <c r="O139" s="70">
        <v>0.9</v>
      </c>
      <c r="P139" s="32">
        <f t="shared" si="29"/>
        <v>10800</v>
      </c>
      <c r="Q139" s="75" t="s">
        <v>245</v>
      </c>
      <c r="R139" s="67"/>
      <c r="S139" s="67"/>
      <c r="T139" s="67"/>
      <c r="U139" s="77">
        <f>N139</f>
        <v>12000</v>
      </c>
      <c r="V139" s="67"/>
      <c r="W139" s="1"/>
      <c r="X139" s="1"/>
      <c r="Y139" s="1"/>
      <c r="Z139" s="1"/>
      <c r="AA139" s="1"/>
      <c r="AB139" s="1"/>
      <c r="AC139" s="1"/>
      <c r="AD139" s="1"/>
      <c r="AE139" s="1"/>
    </row>
    <row r="140">
      <c r="A140" s="30" t="s">
        <v>278</v>
      </c>
      <c r="B140" s="28"/>
      <c r="C140" s="28"/>
      <c r="D140" s="28"/>
      <c r="E140" s="28"/>
      <c r="F140" s="28"/>
      <c r="G140" s="28"/>
      <c r="H140" s="64"/>
      <c r="I140" s="40"/>
      <c r="J140" s="40"/>
      <c r="K140" s="64"/>
      <c r="L140" s="64"/>
      <c r="M140" s="40"/>
      <c r="N140" s="40">
        <f t="shared" si="49"/>
        <v>0</v>
      </c>
      <c r="O140" s="88"/>
      <c r="P140" s="32">
        <f t="shared" si="29"/>
        <v>0</v>
      </c>
      <c r="Q140" s="28"/>
      <c r="R140" s="28"/>
      <c r="S140" s="67"/>
      <c r="T140" s="67"/>
      <c r="U140" s="67"/>
      <c r="V140" s="67"/>
      <c r="W140" s="1"/>
      <c r="X140" s="1"/>
      <c r="Y140" s="1"/>
      <c r="Z140" s="1"/>
      <c r="AA140" s="1"/>
      <c r="AB140" s="1"/>
      <c r="AC140" s="1"/>
      <c r="AD140" s="1"/>
      <c r="AE140" s="1"/>
    </row>
    <row r="141">
      <c r="A141" s="97" t="s">
        <v>16</v>
      </c>
      <c r="B141" s="62" t="s">
        <v>170</v>
      </c>
      <c r="C141" s="94" t="str">
        <f>VLOOKUP($B141,'Rate card'!$A$4:$G285,2,FALSE)</f>
        <v>Carpentry</v>
      </c>
      <c r="D141" s="94" t="str">
        <f>VLOOKUP($B141,'Rate card'!$A$4:$G285,3,FALSE)</f>
        <v>Carcass Storage</v>
      </c>
      <c r="E141" s="94" t="str">
        <f>VLOOKUP($B141,'Rate card'!$A$4:$G285,4,FALSE)</f>
        <v>Laminate Finish</v>
      </c>
      <c r="F141" s="94" t="str">
        <f>VLOOKUP($B141,'Rate card'!$A$4:$G285,5,FALSE)</f>
        <v>MR ply + Inside laminate + finish laminate</v>
      </c>
      <c r="G141" s="94" t="str">
        <f>VLOOKUP($B141,'Rate card'!$A$4:$G285,6,FALSE)</f>
        <v>Sqft</v>
      </c>
      <c r="H141" s="94">
        <f>VLOOKUP($B141,'Rate card'!$A$4:$J285,8,FALSE)</f>
        <v>1800</v>
      </c>
      <c r="I141" s="78"/>
      <c r="J141" s="78" t="s">
        <v>95</v>
      </c>
      <c r="K141" s="79">
        <f t="shared" ref="K141:K143" si="50">H141*J141</f>
        <v>18000</v>
      </c>
      <c r="L141" s="77" t="s">
        <v>95</v>
      </c>
      <c r="M141" s="67"/>
      <c r="N141" s="67">
        <f t="shared" si="49"/>
        <v>18000</v>
      </c>
      <c r="O141" s="85"/>
      <c r="P141" s="32">
        <f t="shared" si="29"/>
        <v>0</v>
      </c>
      <c r="Q141" s="62" t="s">
        <v>279</v>
      </c>
      <c r="R141" s="67"/>
      <c r="S141" s="67"/>
      <c r="T141" s="67"/>
      <c r="U141" s="67">
        <f t="shared" ref="U141:U143" si="51">N141</f>
        <v>18000</v>
      </c>
      <c r="V141" s="67"/>
      <c r="W141" s="1"/>
      <c r="X141" s="1"/>
      <c r="Y141" s="1"/>
      <c r="Z141" s="1"/>
      <c r="AA141" s="1"/>
      <c r="AB141" s="1"/>
      <c r="AC141" s="1"/>
      <c r="AD141" s="1"/>
      <c r="AE141" s="1"/>
    </row>
    <row r="142">
      <c r="A142" s="31">
        <f t="shared" ref="A142:A143" si="52">A141+1</f>
        <v>2</v>
      </c>
      <c r="B142" s="62" t="s">
        <v>280</v>
      </c>
      <c r="C142" s="95" t="str">
        <f>VLOOKUP($B142,'Rate card'!$A$4:$G285,2,FALSE)</f>
        <v>Carpentry</v>
      </c>
      <c r="D142" s="33" t="str">
        <f>VLOOKUP($B142,'Rate card'!$A$4:$G285,3,FALSE)</f>
        <v>Mirror panelling</v>
      </c>
      <c r="E142" s="33" t="str">
        <f>VLOOKUP($B142,'Rate card'!$A$4:$G285,4,FALSE)</f>
        <v>Mirror finish</v>
      </c>
      <c r="F142" s="33" t="str">
        <f>VLOOKUP($B142,'Rate card'!$A$4:$G285,5,FALSE)</f>
        <v>MRply + ply framing + finish mirror</v>
      </c>
      <c r="G142" s="95" t="str">
        <f>VLOOKUP($B142,'Rate card'!$A$4:$G285,6,FALSE)</f>
        <v>Ls</v>
      </c>
      <c r="H142" s="94">
        <f>VLOOKUP($B142,'Rate card'!$A$4:$J285,8,FALSE)</f>
        <v>7000</v>
      </c>
      <c r="I142" s="78"/>
      <c r="J142" s="78" t="s">
        <v>16</v>
      </c>
      <c r="K142" s="69">
        <f t="shared" si="50"/>
        <v>7000</v>
      </c>
      <c r="L142" s="77" t="s">
        <v>16</v>
      </c>
      <c r="M142" s="67"/>
      <c r="N142" s="67">
        <f t="shared" si="49"/>
        <v>7000</v>
      </c>
      <c r="O142" s="85"/>
      <c r="P142" s="32">
        <f t="shared" si="29"/>
        <v>0</v>
      </c>
      <c r="Q142" s="62" t="s">
        <v>281</v>
      </c>
      <c r="R142" s="67"/>
      <c r="S142" s="67"/>
      <c r="T142" s="67"/>
      <c r="U142" s="67">
        <f t="shared" si="51"/>
        <v>7000</v>
      </c>
      <c r="V142" s="67"/>
      <c r="W142" s="1"/>
      <c r="X142" s="1"/>
      <c r="Y142" s="1"/>
      <c r="Z142" s="1"/>
      <c r="AA142" s="1"/>
      <c r="AB142" s="1"/>
      <c r="AC142" s="1"/>
      <c r="AD142" s="1"/>
      <c r="AE142" s="1"/>
    </row>
    <row r="143">
      <c r="A143" s="31">
        <f t="shared" si="52"/>
        <v>3</v>
      </c>
      <c r="B143" s="62" t="s">
        <v>282</v>
      </c>
      <c r="C143" s="95" t="str">
        <f>VLOOKUP($B143,'Rate card'!$A$4:$G285,2,FALSE)</f>
        <v>Carpentry</v>
      </c>
      <c r="D143" s="95" t="str">
        <f>VLOOKUP($B143,'Rate card'!$A$4:$G285,3,FALSE)</f>
        <v>Glass Partiton</v>
      </c>
      <c r="E143" s="95" t="str">
        <f>VLOOKUP($B143,'Rate card'!$A$4:$G285,4,FALSE)</f>
        <v>12mm toughned glass</v>
      </c>
      <c r="F143" s="95" t="str">
        <f>VLOOKUP($B143,'Rate card'!$A$4:$G285,5,FALSE)</f>
        <v>12mm toughned glass + Fitting labour + loading, unloading + All fitting hardware + Silicon etc</v>
      </c>
      <c r="G143" s="95" t="str">
        <f>VLOOKUP($B143,'Rate card'!$A$4:$G285,6,FALSE)</f>
        <v>Sqft</v>
      </c>
      <c r="H143" s="62">
        <v>950.0</v>
      </c>
      <c r="I143" s="78"/>
      <c r="J143" s="78">
        <f>5*9</f>
        <v>45</v>
      </c>
      <c r="K143" s="69">
        <f t="shared" si="50"/>
        <v>42750</v>
      </c>
      <c r="L143" s="77">
        <f>5*9</f>
        <v>45</v>
      </c>
      <c r="M143" s="67"/>
      <c r="N143" s="67">
        <f t="shared" si="49"/>
        <v>42750</v>
      </c>
      <c r="O143" s="85"/>
      <c r="P143" s="32">
        <f t="shared" si="29"/>
        <v>0</v>
      </c>
      <c r="Q143" s="62" t="s">
        <v>283</v>
      </c>
      <c r="R143" s="67"/>
      <c r="S143" s="67"/>
      <c r="T143" s="67"/>
      <c r="U143" s="67">
        <f t="shared" si="51"/>
        <v>42750</v>
      </c>
      <c r="V143" s="67"/>
      <c r="W143" s="1"/>
      <c r="X143" s="1"/>
      <c r="Y143" s="1"/>
      <c r="Z143" s="1"/>
      <c r="AA143" s="1"/>
      <c r="AB143" s="1"/>
      <c r="AC143" s="1"/>
      <c r="AD143" s="1"/>
      <c r="AE143" s="1"/>
    </row>
    <row r="144">
      <c r="A144" s="30" t="s">
        <v>284</v>
      </c>
      <c r="B144" s="28"/>
      <c r="C144" s="28"/>
      <c r="D144" s="28"/>
      <c r="E144" s="28"/>
      <c r="F144" s="28"/>
      <c r="G144" s="28"/>
      <c r="H144" s="64"/>
      <c r="I144" s="40"/>
      <c r="J144" s="40"/>
      <c r="K144" s="64"/>
      <c r="L144" s="40"/>
      <c r="M144" s="28"/>
      <c r="N144" s="28"/>
      <c r="O144" s="88"/>
      <c r="P144" s="32">
        <f t="shared" si="29"/>
        <v>0</v>
      </c>
      <c r="Q144" s="28"/>
      <c r="R144" s="67"/>
      <c r="S144" s="67"/>
      <c r="T144" s="67"/>
      <c r="U144" s="67"/>
      <c r="V144" s="67"/>
      <c r="W144" s="1"/>
      <c r="X144" s="1"/>
      <c r="Y144" s="1"/>
      <c r="Z144" s="1"/>
      <c r="AA144" s="1"/>
      <c r="AB144" s="1"/>
      <c r="AC144" s="1"/>
      <c r="AD144" s="1"/>
      <c r="AE144" s="1"/>
    </row>
    <row r="145">
      <c r="A145" s="97" t="s">
        <v>16</v>
      </c>
      <c r="B145" s="62" t="s">
        <v>170</v>
      </c>
      <c r="C145" s="94" t="str">
        <f>VLOOKUP($B145,'Rate card'!$A$4:$G285,2,FALSE)</f>
        <v>Carpentry</v>
      </c>
      <c r="D145" s="94" t="str">
        <f>VLOOKUP($B145,'Rate card'!$A$4:$G285,3,FALSE)</f>
        <v>Carcass Storage</v>
      </c>
      <c r="E145" s="94" t="str">
        <f>VLOOKUP($B145,'Rate card'!$A$4:$G285,4,FALSE)</f>
        <v>Laminate Finish</v>
      </c>
      <c r="F145" s="94" t="str">
        <f>VLOOKUP($B145,'Rate card'!$A$4:$G285,5,FALSE)</f>
        <v>MR ply + Inside laminate + finish laminate</v>
      </c>
      <c r="G145" s="94" t="str">
        <f>VLOOKUP($B145,'Rate card'!$A$4:$G285,6,FALSE)</f>
        <v>Sqft</v>
      </c>
      <c r="H145" s="94">
        <f>VLOOKUP($B145,'Rate card'!$A$4:$J285,8,FALSE)</f>
        <v>1800</v>
      </c>
      <c r="I145" s="78"/>
      <c r="J145" s="78" t="s">
        <v>32</v>
      </c>
      <c r="K145" s="79">
        <f t="shared" ref="K145:K147" si="53">H145*J145</f>
        <v>10800</v>
      </c>
      <c r="L145" s="77" t="s">
        <v>32</v>
      </c>
      <c r="M145" s="67"/>
      <c r="N145" s="67">
        <f t="shared" ref="N145:N151" si="54">L145*H145</f>
        <v>10800</v>
      </c>
      <c r="O145" s="85"/>
      <c r="P145" s="32">
        <f t="shared" si="29"/>
        <v>0</v>
      </c>
      <c r="Q145" s="62" t="s">
        <v>279</v>
      </c>
      <c r="R145" s="67"/>
      <c r="S145" s="67"/>
      <c r="T145" s="67"/>
      <c r="U145" s="67">
        <f t="shared" ref="U145:U147" si="55">N145</f>
        <v>10800</v>
      </c>
      <c r="V145" s="67"/>
      <c r="W145" s="1"/>
      <c r="X145" s="1"/>
      <c r="Y145" s="1"/>
      <c r="Z145" s="1"/>
      <c r="AA145" s="1"/>
      <c r="AB145" s="1"/>
      <c r="AC145" s="1"/>
      <c r="AD145" s="1"/>
      <c r="AE145" s="1"/>
    </row>
    <row r="146">
      <c r="A146" s="31">
        <f t="shared" ref="A146:A147" si="56">A145+1</f>
        <v>2</v>
      </c>
      <c r="B146" s="62" t="s">
        <v>280</v>
      </c>
      <c r="C146" s="95" t="str">
        <f>VLOOKUP($B146,'Rate card'!$A$4:$G285,2,FALSE)</f>
        <v>Carpentry</v>
      </c>
      <c r="D146" s="33" t="str">
        <f>VLOOKUP($B146,'Rate card'!$A$4:$G285,3,FALSE)</f>
        <v>Mirror panelling</v>
      </c>
      <c r="E146" s="33" t="str">
        <f>VLOOKUP($B146,'Rate card'!$A$4:$G285,4,FALSE)</f>
        <v>Mirror finish</v>
      </c>
      <c r="F146" s="33" t="str">
        <f>VLOOKUP($B146,'Rate card'!$A$4:$G285,5,FALSE)</f>
        <v>MRply + ply framing + finish mirror</v>
      </c>
      <c r="G146" s="95" t="str">
        <f>VLOOKUP($B146,'Rate card'!$A$4:$G285,6,FALSE)</f>
        <v>Ls</v>
      </c>
      <c r="H146" s="94">
        <f>VLOOKUP($B146,'Rate card'!$A$4:$J285,8,FALSE)</f>
        <v>7000</v>
      </c>
      <c r="I146" s="78"/>
      <c r="J146" s="78" t="s">
        <v>16</v>
      </c>
      <c r="K146" s="69">
        <f t="shared" si="53"/>
        <v>7000</v>
      </c>
      <c r="L146" s="77" t="s">
        <v>16</v>
      </c>
      <c r="M146" s="67"/>
      <c r="N146" s="67">
        <f t="shared" si="54"/>
        <v>7000</v>
      </c>
      <c r="O146" s="85"/>
      <c r="P146" s="32">
        <f t="shared" si="29"/>
        <v>0</v>
      </c>
      <c r="Q146" s="62" t="s">
        <v>281</v>
      </c>
      <c r="R146" s="67"/>
      <c r="S146" s="67"/>
      <c r="T146" s="67"/>
      <c r="U146" s="67">
        <f t="shared" si="55"/>
        <v>7000</v>
      </c>
      <c r="V146" s="67"/>
      <c r="W146" s="1"/>
      <c r="X146" s="1"/>
      <c r="Y146" s="1"/>
      <c r="Z146" s="1"/>
      <c r="AA146" s="1"/>
      <c r="AB146" s="1"/>
      <c r="AC146" s="1"/>
      <c r="AD146" s="1"/>
      <c r="AE146" s="1"/>
    </row>
    <row r="147">
      <c r="A147" s="31">
        <f t="shared" si="56"/>
        <v>3</v>
      </c>
      <c r="B147" s="62" t="s">
        <v>282</v>
      </c>
      <c r="C147" s="95" t="str">
        <f>VLOOKUP($B147,'Rate card'!$A$4:$G285,2,FALSE)</f>
        <v>Carpentry</v>
      </c>
      <c r="D147" s="95" t="str">
        <f>VLOOKUP($B147,'Rate card'!$A$4:$G285,3,FALSE)</f>
        <v>Glass Partiton</v>
      </c>
      <c r="E147" s="95" t="str">
        <f>VLOOKUP($B147,'Rate card'!$A$4:$G285,4,FALSE)</f>
        <v>12mm toughned glass</v>
      </c>
      <c r="F147" s="95" t="str">
        <f>VLOOKUP($B147,'Rate card'!$A$4:$G285,5,FALSE)</f>
        <v>12mm toughned glass + Fitting labour + loading, unloading + All fitting hardware + Silicon etc</v>
      </c>
      <c r="G147" s="95" t="str">
        <f>VLOOKUP($B147,'Rate card'!$A$4:$G285,6,FALSE)</f>
        <v>Sqft</v>
      </c>
      <c r="H147" s="62">
        <v>950.0</v>
      </c>
      <c r="I147" s="78"/>
      <c r="J147" s="78">
        <f>5*9</f>
        <v>45</v>
      </c>
      <c r="K147" s="69">
        <f t="shared" si="53"/>
        <v>42750</v>
      </c>
      <c r="L147" s="77">
        <f>5*9</f>
        <v>45</v>
      </c>
      <c r="M147" s="67"/>
      <c r="N147" s="67">
        <f t="shared" si="54"/>
        <v>42750</v>
      </c>
      <c r="O147" s="85"/>
      <c r="P147" s="32">
        <f t="shared" si="29"/>
        <v>0</v>
      </c>
      <c r="Q147" s="62" t="s">
        <v>283</v>
      </c>
      <c r="R147" s="67"/>
      <c r="S147" s="67"/>
      <c r="T147" s="67"/>
      <c r="U147" s="67">
        <f t="shared" si="55"/>
        <v>42750</v>
      </c>
      <c r="V147" s="67"/>
      <c r="W147" s="1"/>
      <c r="X147" s="1"/>
      <c r="Y147" s="1"/>
      <c r="Z147" s="1"/>
      <c r="AA147" s="1"/>
      <c r="AB147" s="1"/>
      <c r="AC147" s="1"/>
      <c r="AD147" s="1"/>
      <c r="AE147" s="1"/>
    </row>
    <row r="148">
      <c r="A148" s="30" t="s">
        <v>285</v>
      </c>
      <c r="B148" s="28"/>
      <c r="C148" s="28"/>
      <c r="D148" s="28"/>
      <c r="E148" s="28"/>
      <c r="F148" s="28"/>
      <c r="G148" s="28"/>
      <c r="H148" s="64"/>
      <c r="I148" s="40"/>
      <c r="J148" s="40"/>
      <c r="K148" s="64"/>
      <c r="L148" s="40"/>
      <c r="M148" s="28"/>
      <c r="N148" s="64">
        <f t="shared" si="54"/>
        <v>0</v>
      </c>
      <c r="O148" s="88"/>
      <c r="P148" s="32">
        <f t="shared" si="29"/>
        <v>0</v>
      </c>
      <c r="Q148" s="28"/>
      <c r="R148" s="67"/>
      <c r="S148" s="67"/>
      <c r="T148" s="67"/>
      <c r="U148" s="67"/>
      <c r="V148" s="67"/>
      <c r="W148" s="1"/>
      <c r="X148" s="1"/>
      <c r="Y148" s="1"/>
      <c r="Z148" s="1"/>
      <c r="AA148" s="1"/>
      <c r="AB148" s="1"/>
      <c r="AC148" s="1"/>
      <c r="AD148" s="1"/>
      <c r="AE148" s="1"/>
    </row>
    <row r="149">
      <c r="A149" s="97" t="s">
        <v>16</v>
      </c>
      <c r="B149" s="62" t="s">
        <v>170</v>
      </c>
      <c r="C149" s="94" t="str">
        <f>VLOOKUP($B149,'Rate card'!$A$4:$G285,2,FALSE)</f>
        <v>Carpentry</v>
      </c>
      <c r="D149" s="94" t="str">
        <f>VLOOKUP($B149,'Rate card'!$A$4:$G285,3,FALSE)</f>
        <v>Carcass Storage</v>
      </c>
      <c r="E149" s="94" t="str">
        <f>VLOOKUP($B149,'Rate card'!$A$4:$G285,4,FALSE)</f>
        <v>Laminate Finish</v>
      </c>
      <c r="F149" s="94" t="str">
        <f>VLOOKUP($B149,'Rate card'!$A$4:$G285,5,FALSE)</f>
        <v>MR ply + Inside laminate + finish laminate</v>
      </c>
      <c r="G149" s="94" t="str">
        <f>VLOOKUP($B149,'Rate card'!$A$4:$G285,6,FALSE)</f>
        <v>Sqft</v>
      </c>
      <c r="H149" s="94">
        <f>VLOOKUP($B149,'Rate card'!$A$4:$J285,8,FALSE)</f>
        <v>1800</v>
      </c>
      <c r="I149" s="78"/>
      <c r="J149" s="78" t="s">
        <v>32</v>
      </c>
      <c r="K149" s="79">
        <f t="shared" ref="K149:K151" si="57">H149*J149</f>
        <v>10800</v>
      </c>
      <c r="L149" s="77" t="s">
        <v>32</v>
      </c>
      <c r="M149" s="67"/>
      <c r="N149" s="67">
        <f t="shared" si="54"/>
        <v>10800</v>
      </c>
      <c r="O149" s="85"/>
      <c r="P149" s="32">
        <f t="shared" si="29"/>
        <v>0</v>
      </c>
      <c r="Q149" s="62" t="s">
        <v>279</v>
      </c>
      <c r="R149" s="67"/>
      <c r="S149" s="67"/>
      <c r="T149" s="67"/>
      <c r="U149" s="67">
        <f t="shared" ref="U149:U151" si="58">N149</f>
        <v>10800</v>
      </c>
      <c r="V149" s="67"/>
      <c r="W149" s="1"/>
      <c r="X149" s="1"/>
      <c r="Y149" s="1"/>
      <c r="Z149" s="1"/>
      <c r="AA149" s="1"/>
      <c r="AB149" s="1"/>
      <c r="AC149" s="1"/>
      <c r="AD149" s="1"/>
      <c r="AE149" s="1"/>
    </row>
    <row r="150">
      <c r="A150" s="31">
        <f t="shared" ref="A150:A151" si="59">A149+1</f>
        <v>2</v>
      </c>
      <c r="B150" s="62" t="s">
        <v>280</v>
      </c>
      <c r="C150" s="95" t="str">
        <f>VLOOKUP($B150,'Rate card'!$A$4:$G285,2,FALSE)</f>
        <v>Carpentry</v>
      </c>
      <c r="D150" s="33" t="str">
        <f>VLOOKUP($B150,'Rate card'!$A$4:$G285,3,FALSE)</f>
        <v>Mirror panelling</v>
      </c>
      <c r="E150" s="33" t="str">
        <f>VLOOKUP($B150,'Rate card'!$A$4:$G285,4,FALSE)</f>
        <v>Mirror finish</v>
      </c>
      <c r="F150" s="33" t="str">
        <f>VLOOKUP($B150,'Rate card'!$A$4:$G285,5,FALSE)</f>
        <v>MRply + ply framing + finish mirror</v>
      </c>
      <c r="G150" s="95" t="str">
        <f>VLOOKUP($B150,'Rate card'!$A$4:$G285,6,FALSE)</f>
        <v>Ls</v>
      </c>
      <c r="H150" s="94">
        <f>VLOOKUP($B150,'Rate card'!$A$4:$J285,8,FALSE)</f>
        <v>7000</v>
      </c>
      <c r="I150" s="78"/>
      <c r="J150" s="78" t="s">
        <v>16</v>
      </c>
      <c r="K150" s="69">
        <f t="shared" si="57"/>
        <v>7000</v>
      </c>
      <c r="L150" s="77" t="s">
        <v>16</v>
      </c>
      <c r="M150" s="67"/>
      <c r="N150" s="67">
        <f t="shared" si="54"/>
        <v>7000</v>
      </c>
      <c r="O150" s="85"/>
      <c r="P150" s="32">
        <f t="shared" si="29"/>
        <v>0</v>
      </c>
      <c r="Q150" s="62" t="s">
        <v>281</v>
      </c>
      <c r="R150" s="67"/>
      <c r="S150" s="67"/>
      <c r="T150" s="67"/>
      <c r="U150" s="67">
        <f t="shared" si="58"/>
        <v>7000</v>
      </c>
      <c r="V150" s="67"/>
      <c r="W150" s="1"/>
      <c r="X150" s="1"/>
      <c r="Y150" s="1"/>
      <c r="Z150" s="1"/>
      <c r="AA150" s="1"/>
      <c r="AB150" s="1"/>
      <c r="AC150" s="1"/>
      <c r="AD150" s="1"/>
      <c r="AE150" s="1"/>
    </row>
    <row r="151">
      <c r="A151" s="31">
        <f t="shared" si="59"/>
        <v>3</v>
      </c>
      <c r="B151" s="62" t="s">
        <v>282</v>
      </c>
      <c r="C151" s="95" t="str">
        <f>VLOOKUP($B151,'Rate card'!$A$4:$G285,2,FALSE)</f>
        <v>Carpentry</v>
      </c>
      <c r="D151" s="95" t="str">
        <f>VLOOKUP($B151,'Rate card'!$A$4:$G285,3,FALSE)</f>
        <v>Glass Partiton</v>
      </c>
      <c r="E151" s="95" t="str">
        <f>VLOOKUP($B151,'Rate card'!$A$4:$G285,4,FALSE)</f>
        <v>12mm toughned glass</v>
      </c>
      <c r="F151" s="95" t="str">
        <f>VLOOKUP($B151,'Rate card'!$A$4:$G285,5,FALSE)</f>
        <v>12mm toughned glass + Fitting labour + loading, unloading + All fitting hardware + Silicon etc</v>
      </c>
      <c r="G151" s="95" t="str">
        <f>VLOOKUP($B151,'Rate card'!$A$4:$G285,6,FALSE)</f>
        <v>Sqft</v>
      </c>
      <c r="H151" s="62">
        <v>950.0</v>
      </c>
      <c r="I151" s="78"/>
      <c r="J151" s="78">
        <f>5*9</f>
        <v>45</v>
      </c>
      <c r="K151" s="69">
        <f t="shared" si="57"/>
        <v>42750</v>
      </c>
      <c r="L151" s="77">
        <f>5*9</f>
        <v>45</v>
      </c>
      <c r="M151" s="67"/>
      <c r="N151" s="67">
        <f t="shared" si="54"/>
        <v>42750</v>
      </c>
      <c r="O151" s="85"/>
      <c r="P151" s="32">
        <f t="shared" si="29"/>
        <v>0</v>
      </c>
      <c r="Q151" s="62" t="s">
        <v>283</v>
      </c>
      <c r="R151" s="67"/>
      <c r="S151" s="67"/>
      <c r="T151" s="67"/>
      <c r="U151" s="67">
        <f t="shared" si="58"/>
        <v>42750</v>
      </c>
      <c r="V151" s="67"/>
      <c r="W151" s="1"/>
      <c r="X151" s="1"/>
      <c r="Y151" s="1"/>
      <c r="Z151" s="1"/>
      <c r="AA151" s="1"/>
      <c r="AB151" s="1"/>
      <c r="AC151" s="1"/>
      <c r="AD151" s="1"/>
      <c r="AE151" s="1"/>
    </row>
    <row r="152">
      <c r="A152" s="30" t="s">
        <v>286</v>
      </c>
      <c r="B152" s="28"/>
      <c r="C152" s="28"/>
      <c r="D152" s="28"/>
      <c r="E152" s="28"/>
      <c r="F152" s="28"/>
      <c r="G152" s="28"/>
      <c r="H152" s="64"/>
      <c r="I152" s="40"/>
      <c r="J152" s="40"/>
      <c r="K152" s="64"/>
      <c r="L152" s="40"/>
      <c r="M152" s="28"/>
      <c r="N152" s="28"/>
      <c r="O152" s="88"/>
      <c r="P152" s="32">
        <f t="shared" si="29"/>
        <v>0</v>
      </c>
      <c r="Q152" s="28"/>
      <c r="R152" s="67"/>
      <c r="S152" s="67"/>
      <c r="T152" s="67"/>
      <c r="U152" s="67"/>
      <c r="V152" s="67"/>
      <c r="W152" s="1"/>
      <c r="X152" s="1"/>
      <c r="Y152" s="1"/>
      <c r="Z152" s="1"/>
      <c r="AA152" s="1"/>
      <c r="AB152" s="1"/>
      <c r="AC152" s="1"/>
      <c r="AD152" s="1"/>
      <c r="AE152" s="1"/>
    </row>
    <row r="153">
      <c r="A153" s="97" t="s">
        <v>16</v>
      </c>
      <c r="B153" s="62" t="s">
        <v>170</v>
      </c>
      <c r="C153" s="94" t="str">
        <f>VLOOKUP($B153,'Rate card'!$A$4:$G285,2,FALSE)</f>
        <v>Carpentry</v>
      </c>
      <c r="D153" s="94" t="str">
        <f>VLOOKUP($B153,'Rate card'!$A$4:$G285,3,FALSE)</f>
        <v>Carcass Storage</v>
      </c>
      <c r="E153" s="94" t="str">
        <f>VLOOKUP($B153,'Rate card'!$A$4:$G285,4,FALSE)</f>
        <v>Laminate Finish</v>
      </c>
      <c r="F153" s="94" t="str">
        <f>VLOOKUP($B153,'Rate card'!$A$4:$G285,5,FALSE)</f>
        <v>MR ply + Inside laminate + finish laminate</v>
      </c>
      <c r="G153" s="94" t="str">
        <f>VLOOKUP($B153,'Rate card'!$A$4:$G285,6,FALSE)</f>
        <v>Sqft</v>
      </c>
      <c r="H153" s="94">
        <f>VLOOKUP($B153,'Rate card'!$A$4:$J285,8,FALSE)</f>
        <v>1800</v>
      </c>
      <c r="I153" s="78"/>
      <c r="J153" s="78" t="s">
        <v>32</v>
      </c>
      <c r="K153" s="79">
        <f t="shared" ref="K153:K155" si="60">H153*J153</f>
        <v>10800</v>
      </c>
      <c r="L153" s="77" t="s">
        <v>32</v>
      </c>
      <c r="M153" s="67"/>
      <c r="N153" s="67">
        <f t="shared" ref="N153:N155" si="61">L153*H153</f>
        <v>10800</v>
      </c>
      <c r="O153" s="85"/>
      <c r="P153" s="32">
        <f t="shared" si="29"/>
        <v>0</v>
      </c>
      <c r="Q153" s="62" t="s">
        <v>279</v>
      </c>
      <c r="R153" s="67"/>
      <c r="S153" s="67"/>
      <c r="T153" s="67"/>
      <c r="U153" s="67">
        <f t="shared" ref="U153:U155" si="62">N153</f>
        <v>10800</v>
      </c>
      <c r="V153" s="67"/>
      <c r="W153" s="1"/>
      <c r="X153" s="1"/>
      <c r="Y153" s="1"/>
      <c r="Z153" s="1"/>
      <c r="AA153" s="1"/>
      <c r="AB153" s="1"/>
      <c r="AC153" s="1"/>
      <c r="AD153" s="1"/>
      <c r="AE153" s="1"/>
    </row>
    <row r="154">
      <c r="A154" s="31">
        <f t="shared" ref="A154:A155" si="63">A153+1</f>
        <v>2</v>
      </c>
      <c r="B154" s="62" t="s">
        <v>280</v>
      </c>
      <c r="C154" s="95" t="str">
        <f>VLOOKUP($B154,'Rate card'!$A$4:$G285,2,FALSE)</f>
        <v>Carpentry</v>
      </c>
      <c r="D154" s="33" t="str">
        <f>VLOOKUP($B154,'Rate card'!$A$4:$G285,3,FALSE)</f>
        <v>Mirror panelling</v>
      </c>
      <c r="E154" s="33" t="str">
        <f>VLOOKUP($B154,'Rate card'!$A$4:$G285,4,FALSE)</f>
        <v>Mirror finish</v>
      </c>
      <c r="F154" s="33" t="str">
        <f>VLOOKUP($B154,'Rate card'!$A$4:$G285,5,FALSE)</f>
        <v>MRply + ply framing + finish mirror</v>
      </c>
      <c r="G154" s="95" t="str">
        <f>VLOOKUP($B154,'Rate card'!$A$4:$G285,6,FALSE)</f>
        <v>Ls</v>
      </c>
      <c r="H154" s="94">
        <f>VLOOKUP($B154,'Rate card'!$A$4:$J285,8,FALSE)</f>
        <v>7000</v>
      </c>
      <c r="I154" s="78"/>
      <c r="J154" s="78" t="s">
        <v>16</v>
      </c>
      <c r="K154" s="69">
        <f t="shared" si="60"/>
        <v>7000</v>
      </c>
      <c r="L154" s="77" t="s">
        <v>16</v>
      </c>
      <c r="M154" s="67"/>
      <c r="N154" s="67">
        <f t="shared" si="61"/>
        <v>7000</v>
      </c>
      <c r="O154" s="85"/>
      <c r="P154" s="32">
        <f t="shared" si="29"/>
        <v>0</v>
      </c>
      <c r="Q154" s="62" t="s">
        <v>281</v>
      </c>
      <c r="R154" s="67"/>
      <c r="S154" s="67"/>
      <c r="T154" s="67"/>
      <c r="U154" s="67">
        <f t="shared" si="62"/>
        <v>7000</v>
      </c>
      <c r="V154" s="67"/>
      <c r="W154" s="1"/>
      <c r="X154" s="1"/>
      <c r="Y154" s="1"/>
      <c r="Z154" s="1"/>
      <c r="AA154" s="1"/>
      <c r="AB154" s="1"/>
      <c r="AC154" s="1"/>
      <c r="AD154" s="1"/>
      <c r="AE154" s="1"/>
    </row>
    <row r="155">
      <c r="A155" s="31">
        <f t="shared" si="63"/>
        <v>3</v>
      </c>
      <c r="B155" s="62" t="s">
        <v>282</v>
      </c>
      <c r="C155" s="95" t="str">
        <f>VLOOKUP($B155,'Rate card'!$A$4:$G285,2,FALSE)</f>
        <v>Carpentry</v>
      </c>
      <c r="D155" s="95" t="str">
        <f>VLOOKUP($B155,'Rate card'!$A$4:$G285,3,FALSE)</f>
        <v>Glass Partiton</v>
      </c>
      <c r="E155" s="95" t="str">
        <f>VLOOKUP($B155,'Rate card'!$A$4:$G285,4,FALSE)</f>
        <v>12mm toughned glass</v>
      </c>
      <c r="F155" s="95" t="str">
        <f>VLOOKUP($B155,'Rate card'!$A$4:$G285,5,FALSE)</f>
        <v>12mm toughned glass + Fitting labour + loading, unloading + All fitting hardware + Silicon etc</v>
      </c>
      <c r="G155" s="95" t="str">
        <f>VLOOKUP($B155,'Rate card'!$A$4:$G285,6,FALSE)</f>
        <v>Sqft</v>
      </c>
      <c r="H155" s="62">
        <v>950.0</v>
      </c>
      <c r="I155" s="78"/>
      <c r="J155" s="78">
        <f>6.5*9</f>
        <v>58.5</v>
      </c>
      <c r="K155" s="69">
        <f t="shared" si="60"/>
        <v>55575</v>
      </c>
      <c r="L155" s="77">
        <f>6.5*9</f>
        <v>58.5</v>
      </c>
      <c r="M155" s="67"/>
      <c r="N155" s="67">
        <f t="shared" si="61"/>
        <v>55575</v>
      </c>
      <c r="O155" s="85"/>
      <c r="P155" s="32">
        <f t="shared" si="29"/>
        <v>0</v>
      </c>
      <c r="Q155" s="62" t="s">
        <v>283</v>
      </c>
      <c r="R155" s="67"/>
      <c r="S155" s="67"/>
      <c r="T155" s="67"/>
      <c r="U155" s="67">
        <f t="shared" si="62"/>
        <v>55575</v>
      </c>
      <c r="V155" s="67"/>
      <c r="W155" s="1"/>
      <c r="X155" s="1"/>
      <c r="Y155" s="1"/>
      <c r="Z155" s="1"/>
      <c r="AA155" s="1"/>
      <c r="AB155" s="1"/>
      <c r="AC155" s="1"/>
      <c r="AD155" s="1"/>
      <c r="AE155" s="1"/>
    </row>
    <row r="156">
      <c r="A156" s="30" t="s">
        <v>287</v>
      </c>
      <c r="B156" s="28"/>
      <c r="C156" s="28"/>
      <c r="D156" s="28"/>
      <c r="E156" s="28"/>
      <c r="F156" s="28"/>
      <c r="G156" s="28"/>
      <c r="H156" s="64"/>
      <c r="I156" s="40"/>
      <c r="J156" s="40"/>
      <c r="K156" s="64"/>
      <c r="L156" s="64"/>
      <c r="M156" s="40"/>
      <c r="N156" s="28"/>
      <c r="O156" s="82"/>
      <c r="P156" s="32">
        <f t="shared" si="29"/>
        <v>0</v>
      </c>
      <c r="Q156" s="67"/>
      <c r="R156" s="67"/>
      <c r="S156" s="67"/>
      <c r="T156" s="67"/>
      <c r="U156" s="67"/>
      <c r="V156" s="67"/>
      <c r="W156" s="1"/>
      <c r="X156" s="1"/>
      <c r="Y156" s="1"/>
      <c r="Z156" s="1"/>
      <c r="AA156" s="1"/>
      <c r="AB156" s="1"/>
      <c r="AC156" s="1"/>
      <c r="AD156" s="1"/>
      <c r="AE156" s="1"/>
    </row>
    <row r="157">
      <c r="A157" s="31" t="s">
        <v>16</v>
      </c>
      <c r="B157" s="62"/>
      <c r="C157" s="62" t="s">
        <v>31</v>
      </c>
      <c r="D157" s="62" t="s">
        <v>288</v>
      </c>
      <c r="E157" s="62"/>
      <c r="F157" s="62"/>
      <c r="G157" s="62" t="s">
        <v>289</v>
      </c>
      <c r="H157" s="62">
        <v>7000.0</v>
      </c>
      <c r="I157" s="78"/>
      <c r="J157" s="78"/>
      <c r="K157" s="79"/>
      <c r="L157" s="80">
        <v>30.0</v>
      </c>
      <c r="M157" s="77"/>
      <c r="N157" s="79">
        <f t="shared" ref="N157:N158" si="64">L157*H157</f>
        <v>210000</v>
      </c>
      <c r="O157" s="82"/>
      <c r="P157" s="32">
        <f t="shared" si="29"/>
        <v>0</v>
      </c>
      <c r="Q157" s="67"/>
      <c r="R157" s="67"/>
      <c r="S157" s="67"/>
      <c r="T157" s="79">
        <f>N157</f>
        <v>210000</v>
      </c>
      <c r="U157" s="67"/>
      <c r="V157" s="67"/>
      <c r="W157" s="1"/>
      <c r="X157" s="1"/>
      <c r="Y157" s="1"/>
      <c r="Z157" s="1"/>
      <c r="AA157" s="1"/>
      <c r="AB157" s="1"/>
      <c r="AC157" s="1"/>
      <c r="AD157" s="1"/>
      <c r="AE157" s="1"/>
    </row>
    <row r="158">
      <c r="A158" s="31" t="s">
        <v>18</v>
      </c>
      <c r="B158" s="62" t="s">
        <v>170</v>
      </c>
      <c r="C158" s="94" t="str">
        <f>VLOOKUP($B158,'Rate card'!$A$4:$G285,2,FALSE)</f>
        <v>Carpentry</v>
      </c>
      <c r="D158" s="62" t="s">
        <v>290</v>
      </c>
      <c r="E158" s="62" t="s">
        <v>164</v>
      </c>
      <c r="F158" s="62" t="s">
        <v>291</v>
      </c>
      <c r="G158" s="62" t="s">
        <v>289</v>
      </c>
      <c r="H158" s="62">
        <v>40000.0</v>
      </c>
      <c r="I158" s="78"/>
      <c r="J158" s="78" t="s">
        <v>100</v>
      </c>
      <c r="K158" s="79">
        <f>H158*J158</f>
        <v>480000</v>
      </c>
      <c r="L158" s="80">
        <v>12.0</v>
      </c>
      <c r="M158" s="77"/>
      <c r="N158" s="79">
        <f t="shared" si="64"/>
        <v>480000</v>
      </c>
      <c r="O158" s="85">
        <v>0.75</v>
      </c>
      <c r="P158" s="32">
        <f t="shared" si="29"/>
        <v>360000</v>
      </c>
      <c r="Q158" s="67"/>
      <c r="R158" s="67"/>
      <c r="S158" s="67"/>
      <c r="T158" s="67"/>
      <c r="U158" s="79">
        <f>N158</f>
        <v>480000</v>
      </c>
      <c r="V158" s="67"/>
      <c r="W158" s="1"/>
      <c r="X158" s="1"/>
      <c r="Y158" s="1"/>
      <c r="Z158" s="1"/>
      <c r="AA158" s="1"/>
      <c r="AB158" s="1"/>
      <c r="AC158" s="1"/>
      <c r="AD158" s="1"/>
      <c r="AE158" s="1"/>
    </row>
    <row r="159">
      <c r="A159" s="30" t="s">
        <v>292</v>
      </c>
      <c r="B159" s="28"/>
      <c r="C159" s="28"/>
      <c r="D159" s="28"/>
      <c r="E159" s="28"/>
      <c r="F159" s="28"/>
      <c r="G159" s="28"/>
      <c r="H159" s="64"/>
      <c r="I159" s="40"/>
      <c r="J159" s="40"/>
      <c r="K159" s="64"/>
      <c r="L159" s="64"/>
      <c r="M159" s="40"/>
      <c r="N159" s="28"/>
      <c r="O159" s="82"/>
      <c r="P159" s="32">
        <f t="shared" si="29"/>
        <v>0</v>
      </c>
      <c r="Q159" s="67"/>
      <c r="R159" s="67"/>
      <c r="S159" s="67"/>
      <c r="T159" s="67"/>
      <c r="U159" s="67"/>
      <c r="V159" s="67"/>
      <c r="W159" s="1"/>
      <c r="X159" s="1"/>
      <c r="Y159" s="1"/>
      <c r="Z159" s="1"/>
      <c r="AA159" s="1"/>
      <c r="AB159" s="1"/>
      <c r="AC159" s="1"/>
      <c r="AD159" s="1"/>
      <c r="AE159" s="1"/>
    </row>
    <row r="160">
      <c r="A160" s="62">
        <v>1.0</v>
      </c>
      <c r="B160" s="100"/>
      <c r="C160" s="103" t="s">
        <v>293</v>
      </c>
      <c r="D160" s="100"/>
      <c r="E160" s="100"/>
      <c r="F160" s="62" t="s">
        <v>294</v>
      </c>
      <c r="G160" s="67"/>
      <c r="H160" s="80">
        <v>750.0</v>
      </c>
      <c r="I160" s="104"/>
      <c r="J160" s="104"/>
      <c r="K160" s="104"/>
      <c r="L160" s="78" t="s">
        <v>295</v>
      </c>
      <c r="M160" s="79">
        <f t="shared" ref="M160:M162" si="65">L160*H160</f>
        <v>103500</v>
      </c>
      <c r="N160" s="79">
        <f t="shared" ref="N160:N162" si="66">L160*H160</f>
        <v>103500</v>
      </c>
      <c r="O160" s="105"/>
      <c r="P160" s="32">
        <f t="shared" si="29"/>
        <v>0</v>
      </c>
      <c r="Q160" s="100"/>
      <c r="R160" s="100"/>
      <c r="S160" s="100"/>
      <c r="T160" s="100"/>
      <c r="U160" s="106">
        <f t="shared" ref="U160:U162" si="67">N160</f>
        <v>103500</v>
      </c>
      <c r="V160" s="100"/>
      <c r="W160" s="107"/>
      <c r="X160" s="107"/>
      <c r="Y160" s="107"/>
      <c r="Z160" s="107"/>
      <c r="AA160" s="107"/>
      <c r="AB160" s="107"/>
      <c r="AC160" s="107"/>
      <c r="AD160" s="107"/>
      <c r="AE160" s="107"/>
    </row>
    <row r="161">
      <c r="A161" s="103">
        <v>2.0</v>
      </c>
      <c r="B161" s="100"/>
      <c r="C161" s="103" t="s">
        <v>293</v>
      </c>
      <c r="D161" s="100"/>
      <c r="E161" s="100"/>
      <c r="F161" s="62" t="s">
        <v>296</v>
      </c>
      <c r="G161" s="67"/>
      <c r="H161" s="80">
        <v>750.0</v>
      </c>
      <c r="I161" s="104"/>
      <c r="J161" s="104"/>
      <c r="K161" s="104"/>
      <c r="L161" s="77">
        <f t="shared" ref="L161:L162" si="68">5.5*9</f>
        <v>49.5</v>
      </c>
      <c r="M161" s="79">
        <f t="shared" si="65"/>
        <v>37125</v>
      </c>
      <c r="N161" s="79">
        <f t="shared" si="66"/>
        <v>37125</v>
      </c>
      <c r="O161" s="105"/>
      <c r="P161" s="32">
        <f t="shared" si="29"/>
        <v>0</v>
      </c>
      <c r="Q161" s="100"/>
      <c r="R161" s="100"/>
      <c r="S161" s="100"/>
      <c r="T161" s="100"/>
      <c r="U161" s="106">
        <f t="shared" si="67"/>
        <v>37125</v>
      </c>
      <c r="V161" s="100"/>
      <c r="W161" s="107"/>
      <c r="X161" s="107"/>
      <c r="Y161" s="107"/>
      <c r="Z161" s="107"/>
      <c r="AA161" s="107"/>
      <c r="AB161" s="107"/>
      <c r="AC161" s="107"/>
      <c r="AD161" s="107"/>
      <c r="AE161" s="107"/>
    </row>
    <row r="162">
      <c r="A162" s="103">
        <v>3.0</v>
      </c>
      <c r="B162" s="100"/>
      <c r="C162" s="103" t="s">
        <v>293</v>
      </c>
      <c r="D162" s="100"/>
      <c r="E162" s="100"/>
      <c r="F162" s="62" t="s">
        <v>296</v>
      </c>
      <c r="G162" s="67"/>
      <c r="H162" s="80">
        <v>750.0</v>
      </c>
      <c r="I162" s="104"/>
      <c r="J162" s="104"/>
      <c r="K162" s="104"/>
      <c r="L162" s="77">
        <f t="shared" si="68"/>
        <v>49.5</v>
      </c>
      <c r="M162" s="79">
        <f t="shared" si="65"/>
        <v>37125</v>
      </c>
      <c r="N162" s="79">
        <f t="shared" si="66"/>
        <v>37125</v>
      </c>
      <c r="O162" s="105"/>
      <c r="P162" s="32">
        <f t="shared" si="29"/>
        <v>0</v>
      </c>
      <c r="Q162" s="100"/>
      <c r="R162" s="100"/>
      <c r="S162" s="100"/>
      <c r="T162" s="100"/>
      <c r="U162" s="106">
        <f t="shared" si="67"/>
        <v>37125</v>
      </c>
      <c r="V162" s="100"/>
      <c r="W162" s="107"/>
      <c r="X162" s="107"/>
      <c r="Y162" s="107"/>
      <c r="Z162" s="107"/>
      <c r="AA162" s="107"/>
      <c r="AB162" s="107"/>
      <c r="AC162" s="107"/>
      <c r="AD162" s="107"/>
      <c r="AE162" s="107"/>
    </row>
    <row r="163">
      <c r="A163" s="24" t="s">
        <v>33</v>
      </c>
      <c r="B163" s="28"/>
      <c r="C163" s="28"/>
      <c r="D163" s="28"/>
      <c r="E163" s="28"/>
      <c r="F163" s="28"/>
      <c r="G163" s="28"/>
      <c r="H163" s="64"/>
      <c r="I163" s="40"/>
      <c r="J163" s="40"/>
      <c r="K163" s="64"/>
      <c r="L163" s="108" t="s">
        <v>147</v>
      </c>
      <c r="M163" s="40"/>
      <c r="N163" s="98">
        <f>SUM(N65:N162)</f>
        <v>6224875</v>
      </c>
      <c r="O163" s="88"/>
      <c r="P163" s="28"/>
      <c r="Q163" s="28"/>
      <c r="R163" s="67"/>
      <c r="S163" s="67"/>
      <c r="T163" s="67"/>
      <c r="U163" s="67"/>
      <c r="V163" s="67"/>
      <c r="W163" s="1"/>
      <c r="X163" s="1"/>
      <c r="Y163" s="1"/>
      <c r="Z163" s="1"/>
      <c r="AA163" s="1"/>
      <c r="AB163" s="1"/>
      <c r="AC163" s="1"/>
      <c r="AD163" s="1"/>
      <c r="AE163" s="1"/>
    </row>
    <row r="164">
      <c r="A164" s="31" t="s">
        <v>16</v>
      </c>
      <c r="B164" s="62" t="s">
        <v>297</v>
      </c>
      <c r="C164" s="77" t="str">
        <f>VLOOKUP($B164,'Rate card'!$A$4:$G285,2,FALSE)</f>
        <v>Paint</v>
      </c>
      <c r="D164" s="77" t="str">
        <f>VLOOKUP($B164,'Rate card'!$A$4:$G285,3,FALSE)</f>
        <v>Royal Shyne</v>
      </c>
      <c r="E164" s="77" t="str">
        <f>VLOOKUP($B164,'Rate card'!$A$4:$G285,4,FALSE)</f>
        <v>2 Primer + 1 Putty + 2 RLE</v>
      </c>
      <c r="F164" s="77" t="str">
        <f>VLOOKUP($B164,'Rate card'!$A$4:$G285,5,FALSE)</f>
        <v>Painting with royal Shyne on ceiling, to give an even shade – Two or more coats on new work including preparation of surface. (_putty+_primer+_paint) as per requirement</v>
      </c>
      <c r="G164" s="77" t="str">
        <f>VLOOKUP($B164,'Rate card'!$A$4:$G285,6,FALSE)</f>
        <v>Sqft</v>
      </c>
      <c r="H164" s="94">
        <f>VLOOKUP($B164,'Rate card'!$A$4:$J285,8,FALSE)</f>
        <v>42</v>
      </c>
      <c r="I164" s="78"/>
      <c r="J164" s="78" t="s">
        <v>146</v>
      </c>
      <c r="K164" s="79">
        <f t="shared" ref="K164:K166" si="69">H164*J164</f>
        <v>70266</v>
      </c>
      <c r="L164" s="77" t="s">
        <v>146</v>
      </c>
      <c r="M164" s="67"/>
      <c r="N164" s="67">
        <f t="shared" ref="N164:N168" si="70">L164*H164</f>
        <v>70266</v>
      </c>
      <c r="O164" s="70"/>
      <c r="P164" s="75"/>
      <c r="Q164" s="75" t="s">
        <v>294</v>
      </c>
      <c r="R164" s="67"/>
      <c r="S164" s="67"/>
      <c r="T164" s="67"/>
      <c r="U164" s="67"/>
      <c r="V164" s="67"/>
      <c r="W164" s="1"/>
      <c r="X164" s="1"/>
      <c r="Y164" s="1"/>
      <c r="Z164" s="1"/>
      <c r="AA164" s="1"/>
      <c r="AB164" s="1"/>
      <c r="AC164" s="1"/>
      <c r="AD164" s="1"/>
      <c r="AE164" s="1"/>
    </row>
    <row r="165">
      <c r="A165" s="31">
        <f t="shared" ref="A165:A166" si="71">A164+1</f>
        <v>2</v>
      </c>
      <c r="B165" s="62" t="s">
        <v>298</v>
      </c>
      <c r="C165" s="77" t="str">
        <f>VLOOKUP($B165,'Rate card'!$A$4:$G285,2,FALSE)</f>
        <v>Paint</v>
      </c>
      <c r="D165" s="77" t="str">
        <f>VLOOKUP($B165,'Rate card'!$A$4:$G285,3,FALSE)</f>
        <v>Royal Shyne</v>
      </c>
      <c r="E165" s="77" t="str">
        <f>VLOOKUP($B165,'Rate card'!$A$4:$G285,4,FALSE)</f>
        <v>2 Primer + 1 Putty + 2 RLE</v>
      </c>
      <c r="F165" s="77" t="str">
        <f>VLOOKUP($B165,'Rate card'!$A$4:$G285,5,FALSE)</f>
        <v>Painting with royal Shyne on walls, to give an even shade – Two or more coats on new work including preparation of surface. (_putty+_primer+_paint) as per requirement</v>
      </c>
      <c r="G165" s="77" t="str">
        <f>VLOOKUP($B165,'Rate card'!$A$4:$G285,6,FALSE)</f>
        <v>Sqft</v>
      </c>
      <c r="H165" s="94">
        <f>VLOOKUP($B165,'Rate card'!$A$4:$J285,8,FALSE)</f>
        <v>45</v>
      </c>
      <c r="I165" s="109"/>
      <c r="J165" s="109">
        <f>1673*2.5</f>
        <v>4182.5</v>
      </c>
      <c r="K165" s="79">
        <f t="shared" si="69"/>
        <v>188212.5</v>
      </c>
      <c r="L165" s="110">
        <f>1673*2.5</f>
        <v>4182.5</v>
      </c>
      <c r="M165" s="67"/>
      <c r="N165" s="67">
        <f t="shared" si="70"/>
        <v>188212.5</v>
      </c>
      <c r="O165" s="70"/>
      <c r="P165" s="75"/>
      <c r="Q165" s="75" t="s">
        <v>299</v>
      </c>
      <c r="R165" s="67"/>
      <c r="S165" s="67"/>
      <c r="T165" s="67"/>
      <c r="U165" s="67"/>
      <c r="V165" s="67"/>
      <c r="W165" s="1"/>
      <c r="X165" s="1"/>
      <c r="Y165" s="1"/>
      <c r="Z165" s="1"/>
      <c r="AA165" s="1"/>
      <c r="AB165" s="1"/>
      <c r="AC165" s="1"/>
      <c r="AD165" s="1"/>
      <c r="AE165" s="1"/>
    </row>
    <row r="166">
      <c r="A166" s="33">
        <f t="shared" si="71"/>
        <v>3</v>
      </c>
      <c r="B166" s="94" t="s">
        <v>298</v>
      </c>
      <c r="C166" s="77" t="str">
        <f>VLOOKUP($B166,'Rate card'!$A$4:$G285,2,FALSE)</f>
        <v>Paint</v>
      </c>
      <c r="D166" s="94" t="s">
        <v>300</v>
      </c>
      <c r="E166" s="77" t="str">
        <f>VLOOKUP($B166,'Rate card'!$A$4:$G285,4,FALSE)</f>
        <v>2 Primer + 1 Putty + 2 RLE</v>
      </c>
      <c r="F166" s="77" t="str">
        <f>VLOOKUP($B166,'Rate card'!$A$4:$G285,5,FALSE)</f>
        <v>Painting with royal Shyne on walls, to give an even shade – Two or more coats on new work including preparation of surface. (_putty+_primer+_paint) as per requirement</v>
      </c>
      <c r="G166" s="94" t="s">
        <v>185</v>
      </c>
      <c r="H166" s="62">
        <v>25000.0</v>
      </c>
      <c r="I166" s="110"/>
      <c r="J166" s="110">
        <v>1.0</v>
      </c>
      <c r="K166" s="79">
        <f t="shared" si="69"/>
        <v>25000</v>
      </c>
      <c r="L166" s="110">
        <v>1.0</v>
      </c>
      <c r="M166" s="67"/>
      <c r="N166" s="67">
        <f t="shared" si="70"/>
        <v>25000</v>
      </c>
      <c r="O166" s="81"/>
      <c r="P166" s="95"/>
      <c r="Q166" s="95" t="s">
        <v>299</v>
      </c>
      <c r="R166" s="67"/>
      <c r="S166" s="67"/>
      <c r="T166" s="67"/>
      <c r="U166" s="67"/>
      <c r="V166" s="67"/>
      <c r="W166" s="1"/>
      <c r="X166" s="1"/>
      <c r="Y166" s="1"/>
      <c r="Z166" s="1"/>
      <c r="AA166" s="1"/>
      <c r="AB166" s="1"/>
      <c r="AC166" s="1"/>
      <c r="AD166" s="1"/>
      <c r="AE166" s="1"/>
    </row>
    <row r="167">
      <c r="A167" s="31" t="s">
        <v>27</v>
      </c>
      <c r="B167" s="95"/>
      <c r="C167" s="78" t="s">
        <v>301</v>
      </c>
      <c r="D167" s="78" t="s">
        <v>301</v>
      </c>
      <c r="E167" s="77"/>
      <c r="F167" s="33"/>
      <c r="G167" s="78" t="s">
        <v>175</v>
      </c>
      <c r="H167" s="62">
        <v>350.0</v>
      </c>
      <c r="I167" s="111"/>
      <c r="J167" s="111"/>
      <c r="K167" s="79"/>
      <c r="L167" s="111">
        <v>1300.0</v>
      </c>
      <c r="M167" s="67"/>
      <c r="N167" s="67">
        <f t="shared" si="70"/>
        <v>455000</v>
      </c>
      <c r="O167" s="82"/>
      <c r="P167" s="94"/>
      <c r="Q167" s="94"/>
      <c r="R167" s="67"/>
      <c r="S167" s="76"/>
      <c r="T167" s="76"/>
      <c r="U167" s="76"/>
      <c r="V167" s="76"/>
      <c r="W167" s="52"/>
      <c r="X167" s="52"/>
      <c r="Y167" s="52"/>
      <c r="Z167" s="52"/>
      <c r="AA167" s="52"/>
      <c r="AB167" s="52"/>
      <c r="AC167" s="52"/>
      <c r="AD167" s="52"/>
      <c r="AE167" s="52"/>
    </row>
    <row r="168">
      <c r="A168" s="31" t="s">
        <v>30</v>
      </c>
      <c r="B168" s="95" t="s">
        <v>302</v>
      </c>
      <c r="C168" s="77" t="str">
        <f>VLOOKUP($B168,'Rate card'!$A$4:$G285,2,FALSE)</f>
        <v>Polish</v>
      </c>
      <c r="D168" s="77" t="str">
        <f>VLOOKUP($B168,'Rate card'!$A$4:$G285,3,FALSE)</f>
        <v>Melamine</v>
      </c>
      <c r="E168" s="77" t="str">
        <f>VLOOKUP($B168,'Rate card'!$A$4:$G285,4,FALSE)</f>
        <v/>
      </c>
      <c r="F168" s="33" t="s">
        <v>303</v>
      </c>
      <c r="G168" s="77" t="str">
        <f>VLOOKUP($B168,'Rate card'!$A$4:$G285,6,FALSE)</f>
        <v>Sqft</v>
      </c>
      <c r="H168" s="62">
        <v>120.0</v>
      </c>
      <c r="I168" s="111"/>
      <c r="J168" s="111">
        <v>500.0</v>
      </c>
      <c r="K168" s="79">
        <f>H168*J168</f>
        <v>60000</v>
      </c>
      <c r="L168" s="111">
        <v>2000.0</v>
      </c>
      <c r="M168" s="67"/>
      <c r="N168" s="67">
        <f t="shared" si="70"/>
        <v>240000</v>
      </c>
      <c r="O168" s="82"/>
      <c r="P168" s="94"/>
      <c r="Q168" s="94" t="s">
        <v>304</v>
      </c>
      <c r="R168" s="67"/>
      <c r="S168" s="76"/>
      <c r="T168" s="76"/>
      <c r="U168" s="76"/>
      <c r="V168" s="76"/>
      <c r="W168" s="52"/>
      <c r="X168" s="52"/>
      <c r="Y168" s="52"/>
      <c r="Z168" s="52"/>
      <c r="AA168" s="52"/>
      <c r="AB168" s="52"/>
      <c r="AC168" s="52"/>
      <c r="AD168" s="52"/>
      <c r="AE168" s="52"/>
    </row>
    <row r="169">
      <c r="A169" s="31"/>
      <c r="B169" s="67"/>
      <c r="C169" s="67"/>
      <c r="D169" s="67"/>
      <c r="E169" s="67"/>
      <c r="F169" s="67"/>
      <c r="G169" s="67"/>
      <c r="H169" s="79"/>
      <c r="I169" s="83"/>
      <c r="J169" s="83" t="s">
        <v>125</v>
      </c>
      <c r="K169" s="92">
        <f>sum(K164:K168)</f>
        <v>343478.5</v>
      </c>
      <c r="L169" s="62" t="s">
        <v>147</v>
      </c>
      <c r="M169" s="67"/>
      <c r="N169" s="83">
        <f>SUM(N164:N168)</f>
        <v>978478.5</v>
      </c>
      <c r="O169" s="82"/>
      <c r="P169" s="67"/>
      <c r="Q169" s="67"/>
      <c r="R169" s="67"/>
      <c r="S169" s="67"/>
      <c r="T169" s="67"/>
      <c r="U169" s="67"/>
      <c r="V169" s="67"/>
      <c r="W169" s="1"/>
      <c r="X169" s="1"/>
      <c r="Y169" s="1"/>
      <c r="Z169" s="1"/>
      <c r="AA169" s="1"/>
      <c r="AB169" s="1"/>
      <c r="AC169" s="1"/>
      <c r="AD169" s="1"/>
      <c r="AE169" s="1"/>
    </row>
    <row r="170">
      <c r="A170" s="24" t="s">
        <v>35</v>
      </c>
      <c r="B170" s="28"/>
      <c r="C170" s="28"/>
      <c r="D170" s="28"/>
      <c r="E170" s="28"/>
      <c r="F170" s="28"/>
      <c r="G170" s="28"/>
      <c r="H170" s="64"/>
      <c r="I170" s="40"/>
      <c r="J170" s="40"/>
      <c r="K170" s="64"/>
      <c r="L170" s="64"/>
      <c r="M170" s="40"/>
      <c r="N170" s="28"/>
      <c r="O170" s="82"/>
      <c r="P170" s="67"/>
      <c r="Q170" s="67"/>
      <c r="R170" s="67"/>
      <c r="S170" s="67"/>
      <c r="T170" s="67"/>
      <c r="U170" s="67"/>
      <c r="V170" s="67"/>
      <c r="W170" s="1"/>
      <c r="X170" s="1"/>
      <c r="Y170" s="1"/>
      <c r="Z170" s="1"/>
      <c r="AA170" s="1"/>
      <c r="AB170" s="1"/>
      <c r="AC170" s="1"/>
      <c r="AD170" s="1"/>
      <c r="AE170" s="1"/>
    </row>
    <row r="171">
      <c r="A171" s="31" t="s">
        <v>16</v>
      </c>
      <c r="B171" s="62" t="s">
        <v>305</v>
      </c>
      <c r="C171" s="94" t="str">
        <f>VLOOKUP($B171,'Rate card'!$A$4:$G285,2,FALSE)</f>
        <v>CLEANING</v>
      </c>
      <c r="D171" s="94" t="str">
        <f>VLOOKUP($B171,'Rate card'!$A$4:$G285,3,FALSE)</f>
        <v>NA</v>
      </c>
      <c r="E171" s="94" t="str">
        <f>VLOOKUP($B171,'Rate card'!$A$4:$G285,4,FALSE)</f>
        <v>NA</v>
      </c>
      <c r="F171" s="94" t="str">
        <f>VLOOKUP($B171,'Rate card'!$A$4:$G285,5,FALSE)</f>
        <v>NA</v>
      </c>
      <c r="G171" s="94" t="str">
        <f>VLOOKUP($B171,'Rate card'!$A$4:$G285,6,FALSE)</f>
        <v>Ls</v>
      </c>
      <c r="H171" s="67"/>
      <c r="I171" s="78"/>
      <c r="J171" s="78" t="s">
        <v>16</v>
      </c>
      <c r="K171" s="79">
        <f>N171*J171</f>
        <v>40000</v>
      </c>
      <c r="L171" s="67"/>
      <c r="M171" s="77" t="s">
        <v>16</v>
      </c>
      <c r="N171" s="80">
        <v>40000.0</v>
      </c>
      <c r="O171" s="82"/>
      <c r="P171" s="67"/>
      <c r="Q171" s="67"/>
      <c r="R171" s="67"/>
      <c r="S171" s="67"/>
      <c r="T171" s="67"/>
      <c r="U171" s="67"/>
      <c r="V171" s="67"/>
      <c r="W171" s="1"/>
      <c r="X171" s="1"/>
      <c r="Y171" s="1"/>
      <c r="Z171" s="1"/>
      <c r="AA171" s="1"/>
      <c r="AB171" s="1"/>
      <c r="AC171" s="1"/>
      <c r="AD171" s="1"/>
      <c r="AE171" s="1"/>
    </row>
    <row r="172">
      <c r="A172" s="31">
        <f t="shared" ref="A172:A173" si="72">A171+1</f>
        <v>2</v>
      </c>
      <c r="B172" s="62" t="s">
        <v>306</v>
      </c>
      <c r="C172" s="94" t="str">
        <f>VLOOKUP($B172,'Rate card'!$A$4:$G285,2,FALSE)</f>
        <v>DEBRIS REMOVAL</v>
      </c>
      <c r="D172" s="94" t="str">
        <f>VLOOKUP($B172,'Rate card'!$A$4:$G285,3,FALSE)</f>
        <v>NA</v>
      </c>
      <c r="E172" s="94" t="str">
        <f>VLOOKUP($B172,'Rate card'!$A$4:$G285,4,FALSE)</f>
        <v>NA</v>
      </c>
      <c r="F172" s="94" t="str">
        <f>VLOOKUP($B172,'Rate card'!$A$4:$G285,5,FALSE)</f>
        <v>NA</v>
      </c>
      <c r="G172" s="94" t="str">
        <f>VLOOKUP($B172,'Rate card'!$A$4:$G285,6,FALSE)</f>
        <v>Ls</v>
      </c>
      <c r="H172" s="67"/>
      <c r="I172" s="78"/>
      <c r="J172" s="78" t="s">
        <v>16</v>
      </c>
      <c r="K172" s="80">
        <v>120000.0</v>
      </c>
      <c r="L172" s="67"/>
      <c r="M172" s="77" t="s">
        <v>16</v>
      </c>
      <c r="N172" s="80">
        <v>120000.0</v>
      </c>
      <c r="O172" s="82"/>
      <c r="P172" s="67"/>
      <c r="Q172" s="67"/>
      <c r="R172" s="67"/>
      <c r="S172" s="67"/>
      <c r="T172" s="67"/>
      <c r="U172" s="67"/>
      <c r="V172" s="67"/>
      <c r="W172" s="1"/>
      <c r="X172" s="1"/>
      <c r="Y172" s="1"/>
      <c r="Z172" s="1"/>
      <c r="AA172" s="1"/>
      <c r="AB172" s="1"/>
      <c r="AC172" s="1"/>
      <c r="AD172" s="1"/>
      <c r="AE172" s="1"/>
    </row>
    <row r="173">
      <c r="A173" s="31">
        <f t="shared" si="72"/>
        <v>3</v>
      </c>
      <c r="B173" s="62" t="s">
        <v>307</v>
      </c>
      <c r="C173" s="94" t="str">
        <f>VLOOKUP($B173,'Rate card'!$A$4:$G285,2,FALSE)</f>
        <v>MISCELLENIOUS</v>
      </c>
      <c r="D173" s="94" t="str">
        <f>VLOOKUP($B173,'Rate card'!$A$4:$G285,3,FALSE)</f>
        <v>NA</v>
      </c>
      <c r="E173" s="94" t="str">
        <f>VLOOKUP($B173,'Rate card'!$A$4:$G285,4,FALSE)</f>
        <v>NA</v>
      </c>
      <c r="F173" s="94" t="str">
        <f>VLOOKUP($B173,'Rate card'!$A$4:$G285,5,FALSE)</f>
        <v>Floor Covering, Doors and Windows Covering</v>
      </c>
      <c r="G173" s="94" t="str">
        <f>VLOOKUP($B173,'Rate card'!$A$4:$G285,6,FALSE)</f>
        <v>Ls</v>
      </c>
      <c r="H173" s="67"/>
      <c r="I173" s="78"/>
      <c r="J173" s="78" t="s">
        <v>16</v>
      </c>
      <c r="K173" s="79">
        <f>N173*J173</f>
        <v>30000</v>
      </c>
      <c r="L173" s="67"/>
      <c r="M173" s="77" t="s">
        <v>16</v>
      </c>
      <c r="N173" s="80">
        <v>30000.0</v>
      </c>
      <c r="O173" s="82"/>
      <c r="P173" s="67"/>
      <c r="Q173" s="67"/>
      <c r="R173" s="67"/>
      <c r="S173" s="67"/>
      <c r="T173" s="67"/>
      <c r="U173" s="67"/>
      <c r="V173" s="67"/>
      <c r="W173" s="1"/>
      <c r="X173" s="1"/>
      <c r="Y173" s="1"/>
      <c r="Z173" s="1"/>
      <c r="AA173" s="1"/>
      <c r="AB173" s="1"/>
      <c r="AC173" s="1"/>
      <c r="AD173" s="1"/>
      <c r="AE173" s="1"/>
    </row>
    <row r="174">
      <c r="A174" s="67"/>
      <c r="B174" s="67"/>
      <c r="C174" s="67"/>
      <c r="D174" s="67"/>
      <c r="E174" s="67"/>
      <c r="F174" s="67"/>
      <c r="G174" s="67"/>
      <c r="H174" s="79"/>
      <c r="I174" s="83"/>
      <c r="J174" s="83" t="s">
        <v>125</v>
      </c>
      <c r="K174" s="92">
        <f>SUM(K171:K173)</f>
        <v>190000</v>
      </c>
      <c r="L174" s="67"/>
      <c r="M174" s="83" t="s">
        <v>125</v>
      </c>
      <c r="N174" s="92">
        <f>SUM(N171:N173)</f>
        <v>190000</v>
      </c>
      <c r="O174" s="82"/>
      <c r="P174" s="67"/>
      <c r="Q174" s="67"/>
      <c r="R174" s="67"/>
      <c r="S174" s="67"/>
      <c r="T174" s="67"/>
      <c r="U174" s="67"/>
      <c r="V174" s="67"/>
      <c r="W174" s="1"/>
      <c r="X174" s="1"/>
      <c r="Y174" s="1"/>
      <c r="Z174" s="1"/>
      <c r="AA174" s="1"/>
      <c r="AB174" s="1"/>
      <c r="AC174" s="1"/>
      <c r="AD174" s="1"/>
      <c r="AE174" s="1"/>
    </row>
    <row r="175">
      <c r="A175" s="112"/>
      <c r="B175" s="113"/>
      <c r="C175" s="113"/>
      <c r="D175" s="113"/>
      <c r="E175" s="113"/>
      <c r="F175" s="113"/>
      <c r="G175" s="113"/>
      <c r="H175" s="114"/>
      <c r="I175" s="115"/>
      <c r="J175" s="115"/>
      <c r="K175" s="116"/>
      <c r="L175" s="116"/>
      <c r="M175" s="117"/>
      <c r="N175" s="113"/>
      <c r="O175" s="82"/>
      <c r="P175" s="67"/>
      <c r="Q175" s="67"/>
      <c r="R175" s="67"/>
      <c r="S175" s="67"/>
      <c r="T175" s="67"/>
      <c r="U175" s="67"/>
      <c r="V175" s="67"/>
      <c r="W175" s="1"/>
      <c r="X175" s="1"/>
      <c r="Y175" s="1"/>
      <c r="Z175" s="1"/>
      <c r="AA175" s="1"/>
      <c r="AB175" s="1"/>
      <c r="AC175" s="1"/>
      <c r="AD175" s="1"/>
      <c r="AE175" s="1"/>
    </row>
    <row r="176">
      <c r="A176" s="1"/>
      <c r="B176" s="1"/>
      <c r="C176" s="1"/>
      <c r="D176" s="1"/>
      <c r="E176" s="1"/>
      <c r="F176" s="1"/>
      <c r="G176" s="1"/>
      <c r="H176" s="2"/>
      <c r="I176" s="3"/>
      <c r="J176" s="3"/>
      <c r="K176" s="2"/>
      <c r="L176" s="2"/>
      <c r="M176" s="3"/>
      <c r="N176" s="1"/>
      <c r="O176" s="82"/>
      <c r="P176" s="67"/>
      <c r="Q176" s="67"/>
      <c r="R176" s="67"/>
      <c r="S176" s="67"/>
      <c r="T176" s="67"/>
      <c r="U176" s="67"/>
      <c r="V176" s="67"/>
      <c r="W176" s="1"/>
      <c r="X176" s="1"/>
      <c r="Y176" s="1"/>
      <c r="Z176" s="1"/>
      <c r="AA176" s="1"/>
      <c r="AB176" s="1"/>
      <c r="AC176" s="1"/>
      <c r="AD176" s="1"/>
      <c r="AE176" s="1"/>
    </row>
    <row r="177" hidden="1">
      <c r="A177" s="1"/>
      <c r="B177" s="1"/>
      <c r="C177" s="1"/>
      <c r="D177" s="1"/>
      <c r="E177" s="1"/>
      <c r="F177" s="1"/>
      <c r="G177" s="1"/>
      <c r="H177" s="2"/>
      <c r="I177" s="3"/>
      <c r="J177" s="3"/>
      <c r="K177" s="2"/>
      <c r="L177" s="2"/>
      <c r="M177" s="3"/>
      <c r="N177" s="1"/>
      <c r="O177" s="82"/>
      <c r="P177" s="67"/>
      <c r="Q177" s="67"/>
      <c r="R177" s="67"/>
      <c r="S177" s="67"/>
      <c r="T177" s="67"/>
      <c r="U177" s="67"/>
      <c r="V177" s="67"/>
      <c r="W177" s="1"/>
      <c r="X177" s="1"/>
      <c r="Y177" s="1"/>
      <c r="Z177" s="1"/>
      <c r="AA177" s="1"/>
      <c r="AB177" s="1"/>
      <c r="AC177" s="1"/>
      <c r="AD177" s="1"/>
      <c r="AE177" s="1"/>
    </row>
    <row r="178" hidden="1">
      <c r="A178" s="118"/>
      <c r="B178" s="1"/>
      <c r="C178" s="1"/>
      <c r="D178" s="1"/>
      <c r="E178" s="1"/>
      <c r="F178" s="1"/>
      <c r="G178" s="1"/>
      <c r="H178" s="2"/>
      <c r="I178" s="2"/>
      <c r="J178" s="2"/>
      <c r="K178" s="2"/>
      <c r="L178" s="2"/>
      <c r="M178" s="119"/>
      <c r="N178" s="2"/>
      <c r="O178" s="82"/>
      <c r="P178" s="67"/>
      <c r="Q178" s="67"/>
      <c r="R178" s="67"/>
      <c r="S178" s="67"/>
      <c r="T178" s="67"/>
      <c r="U178" s="67"/>
      <c r="V178" s="67"/>
      <c r="W178" s="1"/>
      <c r="X178" s="1"/>
      <c r="Y178" s="1"/>
      <c r="Z178" s="1"/>
      <c r="AA178" s="1"/>
      <c r="AB178" s="1"/>
      <c r="AC178" s="1"/>
      <c r="AD178" s="1"/>
      <c r="AE178" s="1"/>
    </row>
    <row r="179" hidden="1">
      <c r="A179" s="120"/>
      <c r="B179" s="21"/>
      <c r="C179" s="118"/>
      <c r="D179" s="118"/>
      <c r="E179" s="118"/>
      <c r="F179" s="118"/>
      <c r="G179" s="118"/>
      <c r="H179" s="121"/>
      <c r="I179" s="122"/>
      <c r="J179" s="122"/>
      <c r="K179" s="121"/>
      <c r="L179" s="118"/>
      <c r="M179" s="122"/>
      <c r="N179" s="118"/>
      <c r="O179" s="82"/>
      <c r="P179" s="67"/>
      <c r="Q179" s="67"/>
      <c r="R179" s="67"/>
      <c r="S179" s="67"/>
      <c r="T179" s="67"/>
      <c r="U179" s="67"/>
      <c r="V179" s="67"/>
      <c r="W179" s="1"/>
      <c r="X179" s="1"/>
      <c r="Y179" s="1"/>
      <c r="Z179" s="1"/>
      <c r="AA179" s="1"/>
      <c r="AB179" s="1"/>
      <c r="AC179" s="1"/>
      <c r="AD179" s="1"/>
      <c r="AE179" s="1"/>
    </row>
    <row r="180" hidden="1">
      <c r="A180" s="118"/>
      <c r="B180" s="1"/>
      <c r="C180" s="1"/>
      <c r="D180" s="1"/>
      <c r="E180" s="1"/>
      <c r="F180" s="1"/>
      <c r="G180" s="1"/>
      <c r="H180" s="2"/>
      <c r="I180" s="2"/>
      <c r="J180" s="2"/>
      <c r="K180" s="2"/>
      <c r="L180" s="119"/>
      <c r="M180" s="119"/>
      <c r="N180" s="119"/>
      <c r="O180" s="82"/>
      <c r="P180" s="67"/>
      <c r="Q180" s="67"/>
      <c r="R180" s="67"/>
      <c r="S180" s="67"/>
      <c r="T180" s="67"/>
      <c r="U180" s="67"/>
      <c r="V180" s="67"/>
      <c r="W180" s="1"/>
      <c r="X180" s="1"/>
      <c r="Y180" s="1"/>
      <c r="Z180" s="1"/>
      <c r="AA180" s="1"/>
      <c r="AB180" s="1"/>
      <c r="AC180" s="1"/>
      <c r="AD180" s="1"/>
      <c r="AE180" s="1"/>
    </row>
    <row r="181" hidden="1">
      <c r="A181" s="122"/>
      <c r="B181" s="1"/>
      <c r="C181" s="1"/>
      <c r="D181" s="1"/>
      <c r="E181" s="1"/>
      <c r="F181" s="1"/>
      <c r="G181" s="1"/>
      <c r="H181" s="2"/>
      <c r="I181" s="2"/>
      <c r="J181" s="2"/>
      <c r="K181" s="2"/>
      <c r="L181" s="119"/>
      <c r="M181" s="119"/>
      <c r="N181" s="119"/>
      <c r="O181" s="82"/>
      <c r="P181" s="67"/>
      <c r="Q181" s="67"/>
      <c r="R181" s="67"/>
      <c r="S181" s="67"/>
      <c r="T181" s="67"/>
      <c r="U181" s="67"/>
      <c r="V181" s="67"/>
      <c r="W181" s="1"/>
      <c r="X181" s="1"/>
      <c r="Y181" s="1"/>
      <c r="Z181" s="1"/>
      <c r="AA181" s="1"/>
      <c r="AB181" s="1"/>
      <c r="AC181" s="1"/>
      <c r="AD181" s="1"/>
      <c r="AE181" s="1"/>
    </row>
    <row r="182" hidden="1">
      <c r="A182" s="50"/>
      <c r="B182" s="13"/>
      <c r="C182" s="1"/>
      <c r="D182" s="13"/>
      <c r="E182" s="1"/>
      <c r="F182" s="1"/>
      <c r="G182" s="1"/>
      <c r="H182" s="123"/>
      <c r="I182" s="50"/>
      <c r="J182" s="50"/>
      <c r="K182" s="2"/>
      <c r="L182" s="13"/>
      <c r="M182" s="3"/>
      <c r="N182" s="13"/>
      <c r="O182" s="82"/>
      <c r="P182" s="67"/>
      <c r="Q182" s="67"/>
      <c r="R182" s="67"/>
      <c r="S182" s="67"/>
      <c r="T182" s="67"/>
      <c r="U182" s="67"/>
      <c r="V182" s="67"/>
      <c r="W182" s="1"/>
      <c r="X182" s="1"/>
      <c r="Y182" s="1"/>
      <c r="Z182" s="1"/>
      <c r="AA182" s="1"/>
      <c r="AB182" s="1"/>
      <c r="AC182" s="1"/>
      <c r="AD182" s="1"/>
      <c r="AE182" s="1"/>
    </row>
    <row r="183" hidden="1">
      <c r="A183" s="50"/>
      <c r="B183" s="13"/>
      <c r="C183" s="1"/>
      <c r="D183" s="13"/>
      <c r="E183" s="1"/>
      <c r="F183" s="1"/>
      <c r="G183" s="1"/>
      <c r="H183" s="123"/>
      <c r="I183" s="50"/>
      <c r="J183" s="50"/>
      <c r="K183" s="2"/>
      <c r="L183" s="13"/>
      <c r="M183" s="3"/>
      <c r="N183" s="13"/>
      <c r="O183" s="82"/>
      <c r="P183" s="67"/>
      <c r="Q183" s="67"/>
      <c r="R183" s="67"/>
      <c r="S183" s="67"/>
      <c r="T183" s="67"/>
      <c r="U183" s="67"/>
      <c r="V183" s="67"/>
      <c r="W183" s="1"/>
      <c r="X183" s="1"/>
      <c r="Y183" s="1"/>
      <c r="Z183" s="1"/>
      <c r="AA183" s="1"/>
      <c r="AB183" s="1"/>
      <c r="AC183" s="1"/>
      <c r="AD183" s="1"/>
      <c r="AE183" s="1"/>
    </row>
    <row r="184" hidden="1">
      <c r="A184" s="21"/>
      <c r="B184" s="1"/>
      <c r="C184" s="1"/>
      <c r="D184" s="1"/>
      <c r="E184" s="1"/>
      <c r="F184" s="1"/>
      <c r="G184" s="1"/>
      <c r="H184" s="2"/>
      <c r="I184" s="3"/>
      <c r="J184" s="3"/>
      <c r="K184" s="2"/>
      <c r="L184" s="2"/>
      <c r="M184" s="50" t="s">
        <v>308</v>
      </c>
      <c r="N184" s="1"/>
      <c r="O184" s="82"/>
      <c r="P184" s="67"/>
      <c r="Q184" s="67"/>
      <c r="R184" s="67"/>
      <c r="S184" s="67"/>
      <c r="T184" s="67"/>
      <c r="U184" s="67"/>
      <c r="V184" s="67"/>
      <c r="W184" s="1"/>
      <c r="X184" s="1"/>
      <c r="Y184" s="1"/>
      <c r="Z184" s="1"/>
      <c r="AA184" s="1"/>
      <c r="AB184" s="1"/>
      <c r="AC184" s="1"/>
      <c r="AD184" s="1"/>
      <c r="AE184" s="1"/>
    </row>
    <row r="185" hidden="1">
      <c r="A185" s="50"/>
      <c r="B185" s="50"/>
      <c r="C185" s="3"/>
      <c r="D185" s="50"/>
      <c r="E185" s="50"/>
      <c r="F185" s="3"/>
      <c r="G185" s="3"/>
      <c r="H185" s="123"/>
      <c r="I185" s="50"/>
      <c r="J185" s="50"/>
      <c r="K185" s="2"/>
      <c r="L185" s="123"/>
      <c r="M185" s="3"/>
      <c r="N185" s="123"/>
      <c r="O185" s="82"/>
      <c r="P185" s="67"/>
      <c r="Q185" s="67"/>
      <c r="R185" s="67"/>
      <c r="S185" s="67"/>
      <c r="T185" s="67"/>
      <c r="U185" s="67"/>
      <c r="V185" s="67"/>
      <c r="W185" s="1"/>
      <c r="X185" s="1"/>
      <c r="Y185" s="1"/>
      <c r="Z185" s="1"/>
      <c r="AA185" s="1"/>
      <c r="AB185" s="1"/>
      <c r="AC185" s="1"/>
      <c r="AD185" s="1"/>
      <c r="AE185" s="1"/>
    </row>
    <row r="186" hidden="1">
      <c r="A186" s="50"/>
      <c r="B186" s="50"/>
      <c r="C186" s="3"/>
      <c r="D186" s="50"/>
      <c r="E186" s="3"/>
      <c r="F186" s="3"/>
      <c r="G186" s="3"/>
      <c r="H186" s="123"/>
      <c r="I186" s="50"/>
      <c r="J186" s="50"/>
      <c r="K186" s="2"/>
      <c r="L186" s="123"/>
      <c r="M186" s="3"/>
      <c r="N186" s="123"/>
      <c r="O186" s="82"/>
      <c r="P186" s="67"/>
      <c r="Q186" s="67"/>
      <c r="R186" s="67"/>
      <c r="S186" s="67"/>
      <c r="T186" s="67"/>
      <c r="U186" s="67"/>
      <c r="V186" s="67"/>
      <c r="W186" s="1"/>
      <c r="X186" s="1"/>
      <c r="Y186" s="1"/>
      <c r="Z186" s="1"/>
      <c r="AA186" s="1"/>
      <c r="AB186" s="1"/>
      <c r="AC186" s="1"/>
      <c r="AD186" s="1"/>
      <c r="AE186" s="1"/>
    </row>
    <row r="187" ht="75.0" hidden="1" customHeight="1">
      <c r="A187" s="50"/>
      <c r="B187" s="50"/>
      <c r="C187" s="1"/>
      <c r="D187" s="1"/>
      <c r="E187" s="50"/>
      <c r="F187" s="3"/>
      <c r="G187" s="3"/>
      <c r="H187" s="123"/>
      <c r="I187" s="50"/>
      <c r="J187" s="50"/>
      <c r="K187" s="2"/>
      <c r="L187" s="123"/>
      <c r="M187" s="3"/>
      <c r="N187" s="123"/>
      <c r="O187" s="82"/>
      <c r="P187" s="67"/>
      <c r="Q187" s="67"/>
      <c r="R187" s="67"/>
      <c r="S187" s="67"/>
      <c r="T187" s="67"/>
      <c r="U187" s="67"/>
      <c r="V187" s="67"/>
      <c r="W187" s="1"/>
      <c r="X187" s="1"/>
      <c r="Y187" s="1"/>
      <c r="Z187" s="1"/>
      <c r="AA187" s="1"/>
      <c r="AB187" s="1"/>
      <c r="AC187" s="1"/>
      <c r="AD187" s="1"/>
      <c r="AE187" s="1"/>
    </row>
    <row r="188" hidden="1">
      <c r="A188" s="21"/>
      <c r="B188" s="1"/>
      <c r="C188" s="1"/>
      <c r="D188" s="1"/>
      <c r="E188" s="1"/>
      <c r="F188" s="1"/>
      <c r="G188" s="1"/>
      <c r="H188" s="2"/>
      <c r="I188" s="3"/>
      <c r="J188" s="3"/>
      <c r="K188" s="2"/>
      <c r="L188" s="1"/>
      <c r="M188" s="3"/>
      <c r="N188" s="1"/>
      <c r="O188" s="82"/>
      <c r="P188" s="67"/>
      <c r="Q188" s="67"/>
      <c r="R188" s="67"/>
      <c r="S188" s="67"/>
      <c r="T188" s="67"/>
      <c r="U188" s="67"/>
      <c r="V188" s="67"/>
      <c r="W188" s="1"/>
      <c r="X188" s="1"/>
      <c r="Y188" s="1"/>
      <c r="Z188" s="1"/>
      <c r="AA188" s="1"/>
      <c r="AB188" s="1"/>
      <c r="AC188" s="1"/>
      <c r="AD188" s="1"/>
      <c r="AE188" s="1"/>
    </row>
    <row r="189" hidden="1">
      <c r="A189" s="50"/>
      <c r="B189" s="50"/>
      <c r="C189" s="3"/>
      <c r="D189" s="50"/>
      <c r="E189" s="50"/>
      <c r="F189" s="3"/>
      <c r="G189" s="3"/>
      <c r="H189" s="123"/>
      <c r="I189" s="50"/>
      <c r="J189" s="50"/>
      <c r="K189" s="2"/>
      <c r="L189" s="123"/>
      <c r="M189" s="3"/>
      <c r="N189" s="123"/>
      <c r="O189" s="82"/>
      <c r="P189" s="67"/>
      <c r="Q189" s="67"/>
      <c r="R189" s="67"/>
      <c r="S189" s="67"/>
      <c r="T189" s="67"/>
      <c r="U189" s="67"/>
      <c r="V189" s="67"/>
      <c r="W189" s="1"/>
      <c r="X189" s="1"/>
      <c r="Y189" s="1"/>
      <c r="Z189" s="1"/>
      <c r="AA189" s="1"/>
      <c r="AB189" s="1"/>
      <c r="AC189" s="1"/>
      <c r="AD189" s="1"/>
      <c r="AE189" s="1"/>
    </row>
    <row r="190" hidden="1">
      <c r="A190" s="21"/>
      <c r="B190" s="1"/>
      <c r="C190" s="1"/>
      <c r="D190" s="1"/>
      <c r="E190" s="1"/>
      <c r="F190" s="1"/>
      <c r="G190" s="1"/>
      <c r="H190" s="2"/>
      <c r="I190" s="3"/>
      <c r="J190" s="3"/>
      <c r="K190" s="2"/>
      <c r="L190" s="1"/>
      <c r="M190" s="3"/>
      <c r="N190" s="1"/>
      <c r="O190" s="82"/>
      <c r="P190" s="67"/>
      <c r="Q190" s="67"/>
      <c r="R190" s="67"/>
      <c r="S190" s="67"/>
      <c r="T190" s="67"/>
      <c r="U190" s="67"/>
      <c r="V190" s="67"/>
      <c r="W190" s="1"/>
      <c r="X190" s="1"/>
      <c r="Y190" s="1"/>
      <c r="Z190" s="1"/>
      <c r="AA190" s="1"/>
      <c r="AB190" s="1"/>
      <c r="AC190" s="1"/>
      <c r="AD190" s="1"/>
      <c r="AE190" s="1"/>
    </row>
    <row r="191" hidden="1">
      <c r="A191" s="50"/>
      <c r="B191" s="50"/>
      <c r="C191" s="3"/>
      <c r="D191" s="50"/>
      <c r="E191" s="50"/>
      <c r="F191" s="3"/>
      <c r="G191" s="3"/>
      <c r="H191" s="123"/>
      <c r="I191" s="50"/>
      <c r="J191" s="50"/>
      <c r="K191" s="2"/>
      <c r="L191" s="123"/>
      <c r="M191" s="3"/>
      <c r="N191" s="123"/>
      <c r="O191" s="82"/>
      <c r="P191" s="67"/>
      <c r="Q191" s="67"/>
      <c r="R191" s="67"/>
      <c r="S191" s="67"/>
      <c r="T191" s="67"/>
      <c r="U191" s="67"/>
      <c r="V191" s="67"/>
      <c r="W191" s="1"/>
      <c r="X191" s="1"/>
      <c r="Y191" s="1"/>
      <c r="Z191" s="1"/>
      <c r="AA191" s="1"/>
      <c r="AB191" s="1"/>
      <c r="AC191" s="1"/>
      <c r="AD191" s="1"/>
      <c r="AE191" s="1"/>
    </row>
    <row r="192">
      <c r="A192" s="50"/>
      <c r="B192" s="50"/>
      <c r="C192" s="3"/>
      <c r="D192" s="50"/>
      <c r="E192" s="3"/>
      <c r="F192" s="3"/>
      <c r="G192" s="3"/>
      <c r="H192" s="123"/>
      <c r="I192" s="50"/>
      <c r="J192" s="50"/>
      <c r="K192" s="2"/>
      <c r="L192" s="123"/>
      <c r="M192" s="3"/>
      <c r="N192" s="123"/>
      <c r="O192" s="82"/>
      <c r="P192" s="67"/>
      <c r="Q192" s="67"/>
      <c r="R192" s="67"/>
      <c r="S192" s="67"/>
      <c r="T192" s="67"/>
      <c r="U192" s="67"/>
      <c r="V192" s="67"/>
      <c r="W192" s="1"/>
      <c r="X192" s="1"/>
      <c r="Y192" s="1"/>
      <c r="Z192" s="1"/>
      <c r="AA192" s="1"/>
      <c r="AB192" s="1"/>
      <c r="AC192" s="1"/>
      <c r="AD192" s="1"/>
      <c r="AE192" s="1"/>
    </row>
    <row r="193" ht="75.0" hidden="1" customHeight="1">
      <c r="A193" s="50"/>
      <c r="B193" s="50"/>
      <c r="C193" s="1"/>
      <c r="D193" s="1"/>
      <c r="E193" s="50"/>
      <c r="F193" s="3"/>
      <c r="G193" s="3"/>
      <c r="H193" s="123"/>
      <c r="I193" s="50"/>
      <c r="J193" s="50"/>
      <c r="K193" s="2"/>
      <c r="L193" s="123"/>
      <c r="M193" s="3"/>
      <c r="N193" s="123"/>
      <c r="O193" s="82"/>
      <c r="P193" s="67"/>
      <c r="Q193" s="67"/>
      <c r="R193" s="67"/>
      <c r="S193" s="67"/>
      <c r="T193" s="67"/>
      <c r="U193" s="67"/>
      <c r="V193" s="67"/>
      <c r="W193" s="1"/>
      <c r="X193" s="1"/>
      <c r="Y193" s="1"/>
      <c r="Z193" s="1"/>
      <c r="AA193" s="1"/>
      <c r="AB193" s="1"/>
      <c r="AC193" s="1"/>
      <c r="AD193" s="1"/>
      <c r="AE193" s="1"/>
    </row>
    <row r="194" hidden="1">
      <c r="A194" s="21"/>
      <c r="B194" s="1"/>
      <c r="C194" s="1"/>
      <c r="D194" s="1"/>
      <c r="E194" s="1"/>
      <c r="F194" s="1"/>
      <c r="G194" s="1"/>
      <c r="H194" s="2"/>
      <c r="I194" s="3"/>
      <c r="J194" s="3"/>
      <c r="K194" s="2"/>
      <c r="L194" s="1"/>
      <c r="M194" s="3"/>
      <c r="N194" s="1"/>
      <c r="O194" s="82"/>
      <c r="P194" s="67"/>
      <c r="Q194" s="67"/>
      <c r="R194" s="67"/>
      <c r="S194" s="67"/>
      <c r="T194" s="67"/>
      <c r="U194" s="67"/>
      <c r="V194" s="67"/>
      <c r="W194" s="1"/>
      <c r="X194" s="1"/>
      <c r="Y194" s="1"/>
      <c r="Z194" s="1"/>
      <c r="AA194" s="1"/>
      <c r="AB194" s="1"/>
      <c r="AC194" s="1"/>
      <c r="AD194" s="1"/>
      <c r="AE194" s="1"/>
    </row>
    <row r="195" hidden="1">
      <c r="A195" s="50"/>
      <c r="B195" s="50"/>
      <c r="C195" s="3"/>
      <c r="D195" s="50"/>
      <c r="E195" s="50"/>
      <c r="F195" s="3"/>
      <c r="G195" s="3"/>
      <c r="H195" s="123"/>
      <c r="I195" s="50"/>
      <c r="J195" s="50"/>
      <c r="K195" s="2"/>
      <c r="L195" s="123"/>
      <c r="M195" s="3"/>
      <c r="N195" s="123"/>
      <c r="O195" s="82"/>
      <c r="P195" s="67"/>
      <c r="Q195" s="67"/>
      <c r="R195" s="67"/>
      <c r="S195" s="67"/>
      <c r="T195" s="67"/>
      <c r="U195" s="67"/>
      <c r="V195" s="67"/>
      <c r="W195" s="1"/>
      <c r="X195" s="1"/>
      <c r="Y195" s="1"/>
      <c r="Z195" s="1"/>
      <c r="AA195" s="1"/>
      <c r="AB195" s="1"/>
      <c r="AC195" s="1"/>
      <c r="AD195" s="1"/>
      <c r="AE195" s="1"/>
    </row>
    <row r="196" hidden="1">
      <c r="A196" s="21"/>
      <c r="B196" s="1"/>
      <c r="C196" s="1"/>
      <c r="D196" s="1"/>
      <c r="E196" s="1"/>
      <c r="F196" s="1"/>
      <c r="G196" s="1"/>
      <c r="H196" s="2"/>
      <c r="I196" s="3"/>
      <c r="J196" s="3"/>
      <c r="K196" s="2"/>
      <c r="L196" s="1"/>
      <c r="M196" s="3"/>
      <c r="N196" s="1"/>
      <c r="O196" s="82"/>
      <c r="P196" s="67"/>
      <c r="Q196" s="67"/>
      <c r="R196" s="67"/>
      <c r="S196" s="67"/>
      <c r="T196" s="67"/>
      <c r="U196" s="67"/>
      <c r="V196" s="67"/>
      <c r="W196" s="1"/>
      <c r="X196" s="1"/>
      <c r="Y196" s="1"/>
      <c r="Z196" s="1"/>
      <c r="AA196" s="1"/>
      <c r="AB196" s="1"/>
      <c r="AC196" s="1"/>
      <c r="AD196" s="1"/>
      <c r="AE196" s="1"/>
    </row>
    <row r="197" hidden="1">
      <c r="A197" s="50"/>
      <c r="B197" s="13"/>
      <c r="C197" s="124"/>
      <c r="D197" s="124"/>
      <c r="E197" s="13"/>
      <c r="F197" s="124"/>
      <c r="G197" s="124"/>
      <c r="H197" s="123"/>
      <c r="I197" s="50"/>
      <c r="J197" s="50"/>
      <c r="K197" s="2"/>
      <c r="L197" s="3"/>
      <c r="M197" s="3"/>
      <c r="N197" s="3"/>
      <c r="O197" s="82"/>
      <c r="P197" s="77"/>
      <c r="Q197" s="77"/>
      <c r="R197" s="77"/>
      <c r="S197" s="67"/>
      <c r="T197" s="67"/>
      <c r="U197" s="67"/>
      <c r="V197" s="67"/>
      <c r="W197" s="1"/>
      <c r="X197" s="1"/>
      <c r="Y197" s="1"/>
      <c r="Z197" s="1"/>
      <c r="AA197" s="1"/>
      <c r="AB197" s="1"/>
      <c r="AC197" s="1"/>
      <c r="AD197" s="1"/>
      <c r="AE197" s="1"/>
    </row>
    <row r="198" hidden="1">
      <c r="A198" s="21"/>
      <c r="B198" s="1"/>
      <c r="C198" s="1"/>
      <c r="D198" s="1"/>
      <c r="E198" s="1"/>
      <c r="F198" s="1"/>
      <c r="G198" s="1"/>
      <c r="H198" s="2"/>
      <c r="I198" s="2"/>
      <c r="J198" s="2"/>
      <c r="K198" s="2"/>
      <c r="L198" s="119"/>
      <c r="M198" s="119"/>
      <c r="N198" s="119"/>
      <c r="O198" s="82"/>
      <c r="P198" s="67"/>
      <c r="Q198" s="67"/>
      <c r="R198" s="67"/>
      <c r="S198" s="67"/>
      <c r="T198" s="67"/>
      <c r="U198" s="67"/>
      <c r="V198" s="67"/>
      <c r="W198" s="1"/>
      <c r="X198" s="1"/>
      <c r="Y198" s="1"/>
      <c r="Z198" s="1"/>
      <c r="AA198" s="1"/>
      <c r="AB198" s="1"/>
      <c r="AC198" s="1"/>
      <c r="AD198" s="1"/>
      <c r="AE198" s="1"/>
    </row>
    <row r="199" hidden="1">
      <c r="A199" s="21"/>
      <c r="B199" s="1"/>
      <c r="C199" s="1"/>
      <c r="D199" s="1"/>
      <c r="E199" s="1"/>
      <c r="F199" s="1"/>
      <c r="G199" s="1"/>
      <c r="H199" s="2"/>
      <c r="I199" s="2"/>
      <c r="J199" s="2"/>
      <c r="K199" s="2"/>
      <c r="L199" s="119"/>
      <c r="M199" s="119"/>
      <c r="N199" s="119"/>
      <c r="O199" s="82"/>
      <c r="P199" s="67"/>
      <c r="Q199" s="67"/>
      <c r="R199" s="67"/>
      <c r="S199" s="67"/>
      <c r="T199" s="67"/>
      <c r="U199" s="67"/>
      <c r="V199" s="67"/>
      <c r="W199" s="1"/>
      <c r="X199" s="1"/>
      <c r="Y199" s="1"/>
      <c r="Z199" s="1"/>
      <c r="AA199" s="1"/>
      <c r="AB199" s="1"/>
      <c r="AC199" s="1"/>
      <c r="AD199" s="1"/>
      <c r="AE199" s="1"/>
    </row>
    <row r="200" hidden="1">
      <c r="A200" s="122"/>
      <c r="B200" s="1"/>
      <c r="C200" s="1"/>
      <c r="D200" s="1"/>
      <c r="E200" s="1"/>
      <c r="F200" s="1"/>
      <c r="G200" s="1"/>
      <c r="H200" s="2"/>
      <c r="I200" s="2"/>
      <c r="J200" s="2"/>
      <c r="K200" s="2"/>
      <c r="L200" s="119"/>
      <c r="M200" s="119"/>
      <c r="N200" s="119"/>
      <c r="O200" s="82"/>
      <c r="P200" s="67"/>
      <c r="Q200" s="67"/>
      <c r="R200" s="67"/>
      <c r="S200" s="67"/>
      <c r="T200" s="67"/>
      <c r="U200" s="67"/>
      <c r="V200" s="67"/>
      <c r="W200" s="1"/>
      <c r="X200" s="1"/>
      <c r="Y200" s="1"/>
      <c r="Z200" s="1"/>
      <c r="AA200" s="1"/>
      <c r="AB200" s="1"/>
      <c r="AC200" s="1"/>
      <c r="AD200" s="1"/>
      <c r="AE200" s="1"/>
    </row>
    <row r="201" hidden="1">
      <c r="A201" s="21"/>
      <c r="B201" s="1"/>
      <c r="C201" s="1"/>
      <c r="D201" s="1"/>
      <c r="E201" s="1"/>
      <c r="F201" s="1"/>
      <c r="G201" s="1"/>
      <c r="H201" s="2"/>
      <c r="I201" s="2"/>
      <c r="J201" s="2"/>
      <c r="K201" s="2"/>
      <c r="L201" s="119"/>
      <c r="M201" s="119"/>
      <c r="N201" s="119"/>
      <c r="O201" s="82"/>
      <c r="P201" s="67"/>
      <c r="Q201" s="67"/>
      <c r="R201" s="67"/>
      <c r="S201" s="67"/>
      <c r="T201" s="67"/>
      <c r="U201" s="67"/>
      <c r="V201" s="67"/>
      <c r="W201" s="1"/>
      <c r="X201" s="1"/>
      <c r="Y201" s="1"/>
      <c r="Z201" s="1"/>
      <c r="AA201" s="1"/>
      <c r="AB201" s="1"/>
      <c r="AC201" s="1"/>
      <c r="AD201" s="1"/>
      <c r="AE201" s="1"/>
    </row>
    <row r="202" hidden="1">
      <c r="A202" s="1"/>
      <c r="B202" s="1"/>
      <c r="C202" s="1"/>
      <c r="D202" s="13"/>
      <c r="E202" s="1"/>
      <c r="F202" s="1"/>
      <c r="G202" s="1"/>
      <c r="H202" s="2"/>
      <c r="I202" s="50"/>
      <c r="J202" s="50"/>
      <c r="K202" s="123"/>
      <c r="L202" s="3"/>
      <c r="M202" s="3"/>
      <c r="N202" s="1"/>
      <c r="O202" s="82"/>
      <c r="P202" s="67"/>
      <c r="Q202" s="67"/>
      <c r="R202" s="67"/>
      <c r="S202" s="67"/>
      <c r="T202" s="67"/>
      <c r="U202" s="67"/>
      <c r="V202" s="67"/>
      <c r="W202" s="1"/>
      <c r="X202" s="1"/>
      <c r="Y202" s="1"/>
      <c r="Z202" s="1"/>
      <c r="AA202" s="1"/>
      <c r="AB202" s="1"/>
      <c r="AC202" s="1"/>
      <c r="AD202" s="1"/>
      <c r="AE202" s="1"/>
    </row>
    <row r="203" hidden="1">
      <c r="A203" s="21"/>
      <c r="B203" s="1"/>
      <c r="C203" s="1"/>
      <c r="D203" s="1"/>
      <c r="E203" s="1"/>
      <c r="F203" s="1"/>
      <c r="G203" s="1"/>
      <c r="H203" s="2"/>
      <c r="I203" s="2"/>
      <c r="J203" s="2"/>
      <c r="K203" s="2"/>
      <c r="L203" s="119"/>
      <c r="M203" s="119"/>
      <c r="N203" s="119"/>
      <c r="O203" s="82"/>
      <c r="P203" s="67"/>
      <c r="Q203" s="67"/>
      <c r="R203" s="67"/>
      <c r="S203" s="67"/>
      <c r="T203" s="67"/>
      <c r="U203" s="67"/>
      <c r="V203" s="67"/>
      <c r="W203" s="1"/>
      <c r="X203" s="1"/>
      <c r="Y203" s="1"/>
      <c r="Z203" s="1"/>
      <c r="AA203" s="1"/>
      <c r="AB203" s="1"/>
      <c r="AC203" s="1"/>
      <c r="AD203" s="1"/>
      <c r="AE203" s="1"/>
    </row>
    <row r="204" hidden="1">
      <c r="A204" s="1"/>
      <c r="B204" s="1"/>
      <c r="C204" s="1"/>
      <c r="D204" s="13"/>
      <c r="E204" s="1"/>
      <c r="F204" s="1"/>
      <c r="G204" s="13"/>
      <c r="H204" s="123"/>
      <c r="I204" s="50"/>
      <c r="J204" s="50"/>
      <c r="K204" s="2"/>
      <c r="L204" s="3"/>
      <c r="M204" s="3"/>
      <c r="N204" s="1"/>
      <c r="O204" s="82"/>
      <c r="P204" s="67"/>
      <c r="Q204" s="67"/>
      <c r="R204" s="67"/>
      <c r="S204" s="67"/>
      <c r="T204" s="67"/>
      <c r="U204" s="67"/>
      <c r="V204" s="67"/>
      <c r="W204" s="1"/>
      <c r="X204" s="1"/>
      <c r="Y204" s="1"/>
      <c r="Z204" s="1"/>
      <c r="AA204" s="1"/>
      <c r="AB204" s="1"/>
      <c r="AC204" s="1"/>
      <c r="AD204" s="1"/>
      <c r="AE204" s="1"/>
    </row>
    <row r="205" hidden="1">
      <c r="A205" s="21"/>
      <c r="B205" s="1"/>
      <c r="C205" s="1"/>
      <c r="D205" s="1"/>
      <c r="E205" s="1"/>
      <c r="F205" s="1"/>
      <c r="G205" s="1"/>
      <c r="H205" s="2"/>
      <c r="I205" s="2"/>
      <c r="J205" s="2"/>
      <c r="K205" s="2"/>
      <c r="L205" s="119"/>
      <c r="M205" s="119"/>
      <c r="N205" s="119"/>
      <c r="O205" s="82"/>
      <c r="P205" s="67"/>
      <c r="Q205" s="67"/>
      <c r="R205" s="67"/>
      <c r="S205" s="67"/>
      <c r="T205" s="67"/>
      <c r="U205" s="67"/>
      <c r="V205" s="67"/>
      <c r="W205" s="1"/>
      <c r="X205" s="1"/>
      <c r="Y205" s="1"/>
      <c r="Z205" s="1"/>
      <c r="AA205" s="1"/>
      <c r="AB205" s="1"/>
      <c r="AC205" s="1"/>
      <c r="AD205" s="1"/>
      <c r="AE205" s="1"/>
    </row>
    <row r="206" hidden="1">
      <c r="A206" s="21"/>
      <c r="B206" s="1"/>
      <c r="C206" s="1"/>
      <c r="D206" s="1"/>
      <c r="E206" s="1"/>
      <c r="F206" s="1"/>
      <c r="G206" s="1"/>
      <c r="H206" s="2"/>
      <c r="I206" s="2"/>
      <c r="J206" s="2"/>
      <c r="K206" s="2"/>
      <c r="L206" s="119"/>
      <c r="M206" s="119"/>
      <c r="N206" s="119"/>
      <c r="O206" s="82"/>
      <c r="P206" s="67"/>
      <c r="Q206" s="67"/>
      <c r="R206" s="67"/>
      <c r="S206" s="67"/>
      <c r="T206" s="67"/>
      <c r="U206" s="67"/>
      <c r="V206" s="67"/>
      <c r="W206" s="1"/>
      <c r="X206" s="1"/>
      <c r="Y206" s="1"/>
      <c r="Z206" s="1"/>
      <c r="AA206" s="1"/>
      <c r="AB206" s="1"/>
      <c r="AC206" s="1"/>
      <c r="AD206" s="1"/>
      <c r="AE206" s="1"/>
    </row>
    <row r="207" hidden="1">
      <c r="A207" s="1"/>
      <c r="B207" s="1"/>
      <c r="C207" s="1"/>
      <c r="D207" s="13"/>
      <c r="E207" s="1"/>
      <c r="F207" s="1"/>
      <c r="G207" s="1"/>
      <c r="H207" s="123"/>
      <c r="I207" s="50"/>
      <c r="J207" s="50"/>
      <c r="K207" s="2"/>
      <c r="L207" s="3"/>
      <c r="M207" s="3"/>
      <c r="N207" s="1"/>
      <c r="O207" s="82"/>
      <c r="P207" s="67"/>
      <c r="Q207" s="67"/>
      <c r="R207" s="67"/>
      <c r="S207" s="67"/>
      <c r="T207" s="67"/>
      <c r="U207" s="67"/>
      <c r="V207" s="67"/>
      <c r="W207" s="1"/>
      <c r="X207" s="1"/>
      <c r="Y207" s="1"/>
      <c r="Z207" s="1"/>
      <c r="AA207" s="1"/>
      <c r="AB207" s="1"/>
      <c r="AC207" s="1"/>
      <c r="AD207" s="1"/>
      <c r="AE207" s="1"/>
    </row>
    <row r="208" hidden="1">
      <c r="A208" s="1"/>
      <c r="B208" s="1"/>
      <c r="C208" s="1"/>
      <c r="D208" s="13"/>
      <c r="E208" s="1"/>
      <c r="F208" s="1"/>
      <c r="G208" s="1"/>
      <c r="H208" s="123"/>
      <c r="I208" s="3"/>
      <c r="J208" s="3"/>
      <c r="K208" s="2"/>
      <c r="L208" s="3"/>
      <c r="M208" s="3"/>
      <c r="N208" s="1"/>
      <c r="O208" s="82"/>
      <c r="P208" s="67"/>
      <c r="Q208" s="67"/>
      <c r="R208" s="67"/>
      <c r="S208" s="67"/>
      <c r="T208" s="67"/>
      <c r="U208" s="67"/>
      <c r="V208" s="67"/>
      <c r="W208" s="1"/>
      <c r="X208" s="1"/>
      <c r="Y208" s="1"/>
      <c r="Z208" s="1"/>
      <c r="AA208" s="1"/>
      <c r="AB208" s="1"/>
      <c r="AC208" s="1"/>
      <c r="AD208" s="1"/>
      <c r="AE208" s="1"/>
    </row>
    <row r="209" hidden="1">
      <c r="A209" s="1"/>
      <c r="B209" s="1"/>
      <c r="C209" s="1"/>
      <c r="D209" s="13"/>
      <c r="E209" s="1"/>
      <c r="F209" s="1"/>
      <c r="G209" s="1"/>
      <c r="H209" s="123"/>
      <c r="I209" s="3"/>
      <c r="J209" s="3"/>
      <c r="K209" s="2"/>
      <c r="L209" s="3"/>
      <c r="M209" s="3"/>
      <c r="N209" s="1"/>
      <c r="O209" s="82"/>
      <c r="P209" s="67"/>
      <c r="Q209" s="67"/>
      <c r="R209" s="67"/>
      <c r="S209" s="67"/>
      <c r="T209" s="67"/>
      <c r="U209" s="67"/>
      <c r="V209" s="67"/>
      <c r="W209" s="1"/>
      <c r="X209" s="1"/>
      <c r="Y209" s="1"/>
      <c r="Z209" s="1"/>
      <c r="AA209" s="1"/>
      <c r="AB209" s="1"/>
      <c r="AC209" s="1"/>
      <c r="AD209" s="1"/>
      <c r="AE209" s="1"/>
    </row>
    <row r="210" hidden="1">
      <c r="A210" s="1"/>
      <c r="B210" s="1"/>
      <c r="C210" s="1"/>
      <c r="D210" s="1"/>
      <c r="E210" s="1"/>
      <c r="F210" s="1"/>
      <c r="G210" s="1"/>
      <c r="H210" s="2"/>
      <c r="I210" s="3"/>
      <c r="J210" s="3"/>
      <c r="K210" s="2"/>
      <c r="L210" s="3"/>
      <c r="M210" s="3"/>
      <c r="N210" s="1"/>
      <c r="O210" s="82"/>
      <c r="P210" s="67"/>
      <c r="Q210" s="67"/>
      <c r="R210" s="67"/>
      <c r="S210" s="67"/>
      <c r="T210" s="67"/>
      <c r="U210" s="67"/>
      <c r="V210" s="67"/>
      <c r="W210" s="1"/>
      <c r="X210" s="1"/>
      <c r="Y210" s="1"/>
      <c r="Z210" s="1"/>
      <c r="AA210" s="1"/>
      <c r="AB210" s="1"/>
      <c r="AC210" s="1"/>
      <c r="AD210" s="1"/>
      <c r="AE210" s="1"/>
    </row>
    <row r="211" hidden="1">
      <c r="A211" s="1"/>
      <c r="B211" s="1"/>
      <c r="C211" s="1"/>
      <c r="D211" s="1"/>
      <c r="E211" s="1"/>
      <c r="F211" s="1"/>
      <c r="G211" s="1"/>
      <c r="H211" s="2"/>
      <c r="I211" s="3"/>
      <c r="J211" s="3"/>
      <c r="K211" s="121"/>
      <c r="L211" s="3"/>
      <c r="M211" s="3"/>
      <c r="N211" s="1"/>
      <c r="O211" s="82"/>
      <c r="P211" s="67"/>
      <c r="Q211" s="67"/>
      <c r="R211" s="67"/>
      <c r="S211" s="67"/>
      <c r="T211" s="67"/>
      <c r="U211" s="67"/>
      <c r="V211" s="67"/>
      <c r="W211" s="1"/>
      <c r="X211" s="1"/>
      <c r="Y211" s="1"/>
      <c r="Z211" s="1"/>
      <c r="AA211" s="1"/>
      <c r="AB211" s="1"/>
      <c r="AC211" s="1"/>
      <c r="AD211" s="1"/>
      <c r="AE211" s="1"/>
    </row>
    <row r="212" hidden="1">
      <c r="A212" s="1"/>
      <c r="B212" s="1"/>
      <c r="C212" s="1"/>
      <c r="D212" s="1"/>
      <c r="E212" s="1"/>
      <c r="F212" s="1"/>
      <c r="G212" s="1"/>
      <c r="H212" s="2"/>
      <c r="I212" s="3"/>
      <c r="J212" s="3"/>
      <c r="K212" s="2"/>
      <c r="L212" s="3"/>
      <c r="M212" s="3"/>
      <c r="N212" s="1"/>
      <c r="O212" s="82"/>
      <c r="P212" s="67"/>
      <c r="Q212" s="67"/>
      <c r="R212" s="67"/>
      <c r="S212" s="67"/>
      <c r="T212" s="67"/>
      <c r="U212" s="67"/>
      <c r="V212" s="67"/>
      <c r="W212" s="1"/>
      <c r="X212" s="1"/>
      <c r="Y212" s="1"/>
      <c r="Z212" s="1"/>
      <c r="AA212" s="1"/>
      <c r="AB212" s="1"/>
      <c r="AC212" s="1"/>
      <c r="AD212" s="1"/>
      <c r="AE212" s="1"/>
    </row>
    <row r="213" hidden="1">
      <c r="A213" s="1"/>
      <c r="B213" s="1"/>
      <c r="C213" s="1"/>
      <c r="D213" s="1"/>
      <c r="E213" s="1"/>
      <c r="F213" s="1"/>
      <c r="G213" s="1"/>
      <c r="H213" s="2"/>
      <c r="I213" s="3"/>
      <c r="J213" s="3"/>
      <c r="K213" s="2"/>
      <c r="L213" s="3"/>
      <c r="M213" s="3"/>
      <c r="N213" s="1"/>
      <c r="O213" s="82"/>
      <c r="P213" s="67"/>
      <c r="Q213" s="67"/>
      <c r="R213" s="67"/>
      <c r="S213" s="67"/>
      <c r="T213" s="67"/>
      <c r="U213" s="67"/>
      <c r="V213" s="67"/>
      <c r="W213" s="1"/>
      <c r="X213" s="1"/>
      <c r="Y213" s="1"/>
      <c r="Z213" s="1"/>
      <c r="AA213" s="1"/>
      <c r="AB213" s="1"/>
      <c r="AC213" s="1"/>
      <c r="AD213" s="1"/>
      <c r="AE213" s="1"/>
    </row>
    <row r="214" hidden="1">
      <c r="A214" s="1"/>
      <c r="B214" s="1"/>
      <c r="C214" s="1"/>
      <c r="D214" s="1"/>
      <c r="E214" s="1"/>
      <c r="F214" s="1"/>
      <c r="G214" s="1"/>
      <c r="H214" s="2"/>
      <c r="I214" s="3"/>
      <c r="J214" s="3"/>
      <c r="K214" s="2"/>
      <c r="L214" s="3"/>
      <c r="M214" s="3"/>
      <c r="N214" s="1"/>
      <c r="O214" s="82"/>
      <c r="P214" s="67"/>
      <c r="Q214" s="67"/>
      <c r="R214" s="67"/>
      <c r="S214" s="67"/>
      <c r="T214" s="67"/>
      <c r="U214" s="67"/>
      <c r="V214" s="67"/>
      <c r="W214" s="1"/>
      <c r="X214" s="1"/>
      <c r="Y214" s="1"/>
      <c r="Z214" s="1"/>
      <c r="AA214" s="1"/>
      <c r="AB214" s="1"/>
      <c r="AC214" s="1"/>
      <c r="AD214" s="1"/>
      <c r="AE214" s="1"/>
    </row>
    <row r="215" hidden="1">
      <c r="A215" s="1"/>
      <c r="B215" s="1"/>
      <c r="C215" s="1"/>
      <c r="D215" s="1"/>
      <c r="E215" s="1"/>
      <c r="F215" s="1"/>
      <c r="G215" s="1"/>
      <c r="H215" s="2"/>
      <c r="I215" s="3"/>
      <c r="J215" s="3"/>
      <c r="K215" s="2"/>
      <c r="L215" s="3"/>
      <c r="M215" s="3"/>
      <c r="N215" s="1"/>
      <c r="O215" s="82"/>
      <c r="P215" s="67"/>
      <c r="Q215" s="67"/>
      <c r="R215" s="67"/>
      <c r="S215" s="67"/>
      <c r="T215" s="67"/>
      <c r="U215" s="67"/>
      <c r="V215" s="67"/>
      <c r="W215" s="1"/>
      <c r="X215" s="1"/>
      <c r="Y215" s="1"/>
      <c r="Z215" s="1"/>
      <c r="AA215" s="1"/>
      <c r="AB215" s="1"/>
      <c r="AC215" s="1"/>
      <c r="AD215" s="1"/>
      <c r="AE215" s="1"/>
    </row>
    <row r="216" hidden="1">
      <c r="A216" s="1"/>
      <c r="B216" s="1"/>
      <c r="C216" s="1"/>
      <c r="D216" s="1"/>
      <c r="E216" s="1"/>
      <c r="F216" s="1"/>
      <c r="G216" s="1"/>
      <c r="H216" s="2"/>
      <c r="I216" s="3"/>
      <c r="J216" s="3"/>
      <c r="K216" s="2"/>
      <c r="L216" s="3"/>
      <c r="M216" s="3"/>
      <c r="N216" s="1"/>
      <c r="O216" s="82"/>
      <c r="P216" s="67"/>
      <c r="Q216" s="67"/>
      <c r="R216" s="67"/>
      <c r="S216" s="67"/>
      <c r="T216" s="67"/>
      <c r="U216" s="67"/>
      <c r="V216" s="67"/>
      <c r="W216" s="1"/>
      <c r="X216" s="1"/>
      <c r="Y216" s="1"/>
      <c r="Z216" s="1"/>
      <c r="AA216" s="1"/>
      <c r="AB216" s="1"/>
      <c r="AC216" s="1"/>
      <c r="AD216" s="1"/>
      <c r="AE216" s="1"/>
    </row>
    <row r="217" hidden="1">
      <c r="A217" s="1"/>
      <c r="B217" s="1"/>
      <c r="C217" s="1"/>
      <c r="D217" s="1"/>
      <c r="E217" s="1"/>
      <c r="F217" s="1"/>
      <c r="G217" s="1"/>
      <c r="H217" s="2"/>
      <c r="I217" s="3"/>
      <c r="J217" s="3"/>
      <c r="K217" s="2"/>
      <c r="L217" s="3"/>
      <c r="M217" s="3"/>
      <c r="N217" s="1"/>
      <c r="O217" s="82"/>
      <c r="P217" s="67"/>
      <c r="Q217" s="67"/>
      <c r="R217" s="67"/>
      <c r="S217" s="67"/>
      <c r="T217" s="67"/>
      <c r="U217" s="67"/>
      <c r="V217" s="67"/>
      <c r="W217" s="1"/>
      <c r="X217" s="1"/>
      <c r="Y217" s="1"/>
      <c r="Z217" s="1"/>
      <c r="AA217" s="1"/>
      <c r="AB217" s="1"/>
      <c r="AC217" s="1"/>
      <c r="AD217" s="1"/>
      <c r="AE217" s="1"/>
    </row>
    <row r="218" hidden="1">
      <c r="A218" s="1"/>
      <c r="B218" s="1"/>
      <c r="C218" s="1"/>
      <c r="D218" s="1"/>
      <c r="E218" s="1"/>
      <c r="F218" s="1"/>
      <c r="G218" s="1"/>
      <c r="H218" s="2"/>
      <c r="I218" s="3"/>
      <c r="J218" s="3"/>
      <c r="K218" s="2"/>
      <c r="L218" s="3"/>
      <c r="M218" s="3"/>
      <c r="N218" s="1"/>
      <c r="O218" s="82"/>
      <c r="P218" s="67"/>
      <c r="Q218" s="67"/>
      <c r="R218" s="67"/>
      <c r="S218" s="67"/>
      <c r="T218" s="67"/>
      <c r="U218" s="67"/>
      <c r="V218" s="67"/>
      <c r="W218" s="1"/>
      <c r="X218" s="1"/>
      <c r="Y218" s="1"/>
      <c r="Z218" s="1"/>
      <c r="AA218" s="1"/>
      <c r="AB218" s="1"/>
      <c r="AC218" s="1"/>
      <c r="AD218" s="1"/>
      <c r="AE218" s="1"/>
    </row>
    <row r="219" hidden="1">
      <c r="A219" s="1"/>
      <c r="B219" s="1"/>
      <c r="C219" s="1"/>
      <c r="D219" s="1"/>
      <c r="E219" s="1"/>
      <c r="F219" s="1"/>
      <c r="G219" s="1"/>
      <c r="H219" s="2"/>
      <c r="I219" s="3"/>
      <c r="J219" s="3"/>
      <c r="K219" s="2"/>
      <c r="L219" s="3"/>
      <c r="M219" s="3"/>
      <c r="N219" s="1"/>
      <c r="O219" s="82"/>
      <c r="P219" s="67"/>
      <c r="Q219" s="67"/>
      <c r="R219" s="67"/>
      <c r="S219" s="67"/>
      <c r="T219" s="67"/>
      <c r="U219" s="67"/>
      <c r="V219" s="67"/>
      <c r="W219" s="1"/>
      <c r="X219" s="1"/>
      <c r="Y219" s="1"/>
      <c r="Z219" s="1"/>
      <c r="AA219" s="1"/>
      <c r="AB219" s="1"/>
      <c r="AC219" s="1"/>
      <c r="AD219" s="1"/>
      <c r="AE219" s="1"/>
    </row>
    <row r="220" hidden="1">
      <c r="A220" s="1"/>
      <c r="B220" s="1"/>
      <c r="C220" s="1"/>
      <c r="D220" s="1"/>
      <c r="E220" s="1"/>
      <c r="F220" s="1"/>
      <c r="G220" s="1"/>
      <c r="H220" s="2"/>
      <c r="I220" s="3"/>
      <c r="J220" s="3"/>
      <c r="K220" s="2"/>
      <c r="L220" s="3"/>
      <c r="M220" s="3"/>
      <c r="N220" s="1"/>
      <c r="O220" s="82"/>
      <c r="P220" s="67"/>
      <c r="Q220" s="67"/>
      <c r="R220" s="67"/>
      <c r="S220" s="67"/>
      <c r="T220" s="67"/>
      <c r="U220" s="67"/>
      <c r="V220" s="67"/>
      <c r="W220" s="1"/>
      <c r="X220" s="1"/>
      <c r="Y220" s="1"/>
      <c r="Z220" s="1"/>
      <c r="AA220" s="1"/>
      <c r="AB220" s="1"/>
      <c r="AC220" s="1"/>
      <c r="AD220" s="1"/>
      <c r="AE220" s="1"/>
    </row>
    <row r="221" hidden="1">
      <c r="A221" s="1"/>
      <c r="B221" s="1"/>
      <c r="C221" s="1"/>
      <c r="D221" s="1"/>
      <c r="E221" s="1"/>
      <c r="F221" s="1"/>
      <c r="G221" s="1"/>
      <c r="H221" s="2"/>
      <c r="I221" s="3"/>
      <c r="J221" s="3"/>
      <c r="K221" s="2"/>
      <c r="L221" s="3"/>
      <c r="M221" s="3"/>
      <c r="N221" s="1"/>
      <c r="O221" s="82"/>
      <c r="P221" s="67"/>
      <c r="Q221" s="67"/>
      <c r="R221" s="67"/>
      <c r="S221" s="67"/>
      <c r="T221" s="67"/>
      <c r="U221" s="67"/>
      <c r="V221" s="67"/>
      <c r="W221" s="1"/>
      <c r="X221" s="1"/>
      <c r="Y221" s="1"/>
      <c r="Z221" s="1"/>
      <c r="AA221" s="1"/>
      <c r="AB221" s="1"/>
      <c r="AC221" s="1"/>
      <c r="AD221" s="1"/>
      <c r="AE221" s="1"/>
    </row>
    <row r="222" hidden="1">
      <c r="A222" s="1"/>
      <c r="B222" s="1"/>
      <c r="C222" s="1"/>
      <c r="D222" s="1"/>
      <c r="E222" s="1"/>
      <c r="F222" s="1"/>
      <c r="G222" s="1"/>
      <c r="H222" s="2"/>
      <c r="I222" s="3"/>
      <c r="J222" s="3"/>
      <c r="K222" s="2"/>
      <c r="L222" s="3"/>
      <c r="M222" s="3"/>
      <c r="N222" s="1"/>
      <c r="O222" s="82"/>
      <c r="P222" s="67"/>
      <c r="Q222" s="67"/>
      <c r="R222" s="67"/>
      <c r="S222" s="67"/>
      <c r="T222" s="67"/>
      <c r="U222" s="67"/>
      <c r="V222" s="67"/>
      <c r="W222" s="1"/>
      <c r="X222" s="1"/>
      <c r="Y222" s="1"/>
      <c r="Z222" s="1"/>
      <c r="AA222" s="1"/>
      <c r="AB222" s="1"/>
      <c r="AC222" s="1"/>
      <c r="AD222" s="1"/>
      <c r="AE222" s="1"/>
    </row>
    <row r="223" hidden="1">
      <c r="A223" s="1"/>
      <c r="B223" s="1"/>
      <c r="C223" s="1"/>
      <c r="D223" s="1"/>
      <c r="E223" s="1"/>
      <c r="F223" s="1"/>
      <c r="G223" s="1"/>
      <c r="H223" s="2"/>
      <c r="I223" s="3"/>
      <c r="J223" s="3"/>
      <c r="K223" s="2"/>
      <c r="L223" s="3"/>
      <c r="M223" s="3"/>
      <c r="N223" s="1"/>
      <c r="O223" s="82"/>
      <c r="P223" s="67"/>
      <c r="Q223" s="67"/>
      <c r="R223" s="67"/>
      <c r="S223" s="67"/>
      <c r="T223" s="67"/>
      <c r="U223" s="67"/>
      <c r="V223" s="67"/>
      <c r="W223" s="1"/>
      <c r="X223" s="1"/>
      <c r="Y223" s="1"/>
      <c r="Z223" s="1"/>
      <c r="AA223" s="1"/>
      <c r="AB223" s="1"/>
      <c r="AC223" s="1"/>
      <c r="AD223" s="1"/>
      <c r="AE223" s="1"/>
    </row>
    <row r="224" hidden="1">
      <c r="A224" s="1"/>
      <c r="B224" s="1"/>
      <c r="C224" s="1"/>
      <c r="D224" s="1"/>
      <c r="E224" s="1"/>
      <c r="F224" s="1"/>
      <c r="G224" s="1"/>
      <c r="H224" s="2"/>
      <c r="I224" s="3"/>
      <c r="J224" s="3"/>
      <c r="K224" s="2"/>
      <c r="L224" s="3"/>
      <c r="M224" s="3"/>
      <c r="N224" s="1"/>
      <c r="O224" s="82"/>
      <c r="P224" s="67"/>
      <c r="Q224" s="67"/>
      <c r="R224" s="67"/>
      <c r="S224" s="67"/>
      <c r="T224" s="67"/>
      <c r="U224" s="67"/>
      <c r="V224" s="67"/>
      <c r="W224" s="1"/>
      <c r="X224" s="1"/>
      <c r="Y224" s="1"/>
      <c r="Z224" s="1"/>
      <c r="AA224" s="1"/>
      <c r="AB224" s="1"/>
      <c r="AC224" s="1"/>
      <c r="AD224" s="1"/>
      <c r="AE224" s="1"/>
    </row>
    <row r="225" hidden="1">
      <c r="A225" s="1"/>
      <c r="B225" s="1"/>
      <c r="C225" s="1"/>
      <c r="D225" s="1"/>
      <c r="E225" s="1"/>
      <c r="F225" s="1"/>
      <c r="G225" s="1"/>
      <c r="H225" s="2"/>
      <c r="I225" s="3"/>
      <c r="J225" s="3"/>
      <c r="K225" s="2"/>
      <c r="L225" s="3"/>
      <c r="M225" s="3"/>
      <c r="N225" s="1"/>
      <c r="O225" s="82"/>
      <c r="P225" s="67"/>
      <c r="Q225" s="67"/>
      <c r="R225" s="67"/>
      <c r="S225" s="67"/>
      <c r="T225" s="67"/>
      <c r="U225" s="67"/>
      <c r="V225" s="67"/>
      <c r="W225" s="1"/>
      <c r="X225" s="1"/>
      <c r="Y225" s="1"/>
      <c r="Z225" s="1"/>
      <c r="AA225" s="1"/>
      <c r="AB225" s="1"/>
      <c r="AC225" s="1"/>
      <c r="AD225" s="1"/>
      <c r="AE225" s="1"/>
    </row>
    <row r="226" hidden="1">
      <c r="A226" s="1"/>
      <c r="B226" s="1"/>
      <c r="C226" s="1"/>
      <c r="D226" s="1"/>
      <c r="E226" s="1"/>
      <c r="F226" s="1"/>
      <c r="G226" s="1"/>
      <c r="H226" s="2"/>
      <c r="I226" s="3"/>
      <c r="J226" s="3"/>
      <c r="K226" s="2"/>
      <c r="L226" s="3"/>
      <c r="M226" s="3"/>
      <c r="N226" s="1"/>
      <c r="O226" s="82"/>
      <c r="P226" s="67"/>
      <c r="Q226" s="67"/>
      <c r="R226" s="67"/>
      <c r="S226" s="67"/>
      <c r="T226" s="67"/>
      <c r="U226" s="67"/>
      <c r="V226" s="67"/>
      <c r="W226" s="1"/>
      <c r="X226" s="1"/>
      <c r="Y226" s="1"/>
      <c r="Z226" s="1"/>
      <c r="AA226" s="1"/>
      <c r="AB226" s="1"/>
      <c r="AC226" s="1"/>
      <c r="AD226" s="1"/>
      <c r="AE226" s="1"/>
    </row>
    <row r="227" hidden="1">
      <c r="A227" s="1"/>
      <c r="B227" s="1"/>
      <c r="C227" s="1"/>
      <c r="D227" s="1"/>
      <c r="E227" s="1"/>
      <c r="F227" s="1"/>
      <c r="G227" s="1"/>
      <c r="H227" s="2"/>
      <c r="I227" s="3"/>
      <c r="J227" s="3"/>
      <c r="K227" s="2"/>
      <c r="L227" s="3"/>
      <c r="M227" s="3"/>
      <c r="N227" s="1"/>
      <c r="O227" s="82"/>
      <c r="P227" s="67"/>
      <c r="Q227" s="67"/>
      <c r="R227" s="67"/>
      <c r="S227" s="67"/>
      <c r="T227" s="67"/>
      <c r="U227" s="67"/>
      <c r="V227" s="67"/>
      <c r="W227" s="1"/>
      <c r="X227" s="1"/>
      <c r="Y227" s="1"/>
      <c r="Z227" s="1"/>
      <c r="AA227" s="1"/>
      <c r="AB227" s="1"/>
      <c r="AC227" s="1"/>
      <c r="AD227" s="1"/>
      <c r="AE227" s="1"/>
    </row>
    <row r="228" hidden="1">
      <c r="A228" s="118" t="s">
        <v>309</v>
      </c>
      <c r="B228" s="1"/>
      <c r="C228" s="1"/>
      <c r="D228" s="1"/>
      <c r="E228" s="1"/>
      <c r="F228" s="1"/>
      <c r="G228" s="1"/>
      <c r="H228" s="2"/>
      <c r="I228" s="3"/>
      <c r="J228" s="3"/>
      <c r="K228" s="2"/>
      <c r="L228" s="3"/>
      <c r="M228" s="3"/>
      <c r="N228" s="1"/>
      <c r="O228" s="82"/>
      <c r="P228" s="67"/>
      <c r="Q228" s="67"/>
      <c r="R228" s="67"/>
      <c r="S228" s="67"/>
      <c r="T228" s="67"/>
      <c r="U228" s="67"/>
      <c r="V228" s="67"/>
      <c r="W228" s="1"/>
      <c r="X228" s="1"/>
      <c r="Y228" s="1"/>
      <c r="Z228" s="1"/>
      <c r="AA228" s="1"/>
      <c r="AB228" s="1"/>
      <c r="AC228" s="1"/>
      <c r="AD228" s="1"/>
      <c r="AE228" s="1"/>
    </row>
    <row r="229" hidden="1">
      <c r="A229" s="1" t="s">
        <v>310</v>
      </c>
      <c r="B229" s="1"/>
      <c r="C229" s="1"/>
      <c r="D229" s="1"/>
      <c r="E229" s="1"/>
      <c r="F229" s="1"/>
      <c r="G229" s="1"/>
      <c r="H229" s="2"/>
      <c r="I229" s="3"/>
      <c r="J229" s="3"/>
      <c r="K229" s="2"/>
      <c r="L229" s="3"/>
      <c r="M229" s="3"/>
      <c r="N229" s="1"/>
      <c r="O229" s="82"/>
      <c r="P229" s="67"/>
      <c r="Q229" s="67"/>
      <c r="R229" s="67"/>
      <c r="S229" s="67"/>
      <c r="T229" s="67"/>
      <c r="U229" s="67"/>
      <c r="V229" s="67"/>
      <c r="W229" s="1"/>
      <c r="X229" s="1"/>
      <c r="Y229" s="1"/>
      <c r="Z229" s="1"/>
      <c r="AA229" s="1"/>
      <c r="AB229" s="1"/>
      <c r="AC229" s="1"/>
      <c r="AD229" s="1"/>
      <c r="AE229" s="1"/>
    </row>
    <row r="230" hidden="1">
      <c r="A230" s="1" t="s">
        <v>311</v>
      </c>
      <c r="B230" s="1"/>
      <c r="C230" s="1"/>
      <c r="D230" s="1"/>
      <c r="E230" s="1"/>
      <c r="F230" s="1"/>
      <c r="G230" s="1"/>
      <c r="H230" s="2"/>
      <c r="I230" s="3"/>
      <c r="J230" s="3"/>
      <c r="K230" s="2"/>
      <c r="L230" s="3"/>
      <c r="M230" s="3"/>
      <c r="N230" s="1"/>
      <c r="O230" s="82"/>
      <c r="P230" s="67"/>
      <c r="Q230" s="67"/>
      <c r="R230" s="67"/>
      <c r="S230" s="67"/>
      <c r="T230" s="67"/>
      <c r="U230" s="67"/>
      <c r="V230" s="67"/>
      <c r="W230" s="1"/>
      <c r="X230" s="1"/>
      <c r="Y230" s="1"/>
      <c r="Z230" s="1"/>
      <c r="AA230" s="1"/>
      <c r="AB230" s="1"/>
      <c r="AC230" s="1"/>
      <c r="AD230" s="1"/>
      <c r="AE230" s="1"/>
    </row>
    <row r="231" hidden="1">
      <c r="A231" s="1" t="s">
        <v>312</v>
      </c>
      <c r="B231" s="1"/>
      <c r="C231" s="1"/>
      <c r="D231" s="1"/>
      <c r="E231" s="1"/>
      <c r="F231" s="1"/>
      <c r="G231" s="1"/>
      <c r="H231" s="2"/>
      <c r="I231" s="3"/>
      <c r="J231" s="3"/>
      <c r="K231" s="2"/>
      <c r="L231" s="3"/>
      <c r="M231" s="3"/>
      <c r="N231" s="1"/>
      <c r="O231" s="82"/>
      <c r="P231" s="67"/>
      <c r="Q231" s="67"/>
      <c r="R231" s="67"/>
      <c r="S231" s="67"/>
      <c r="T231" s="67"/>
      <c r="U231" s="67"/>
      <c r="V231" s="67"/>
      <c r="W231" s="1"/>
      <c r="X231" s="1"/>
      <c r="Y231" s="1"/>
      <c r="Z231" s="1"/>
      <c r="AA231" s="1"/>
      <c r="AB231" s="1"/>
      <c r="AC231" s="1"/>
      <c r="AD231" s="1"/>
      <c r="AE231" s="1"/>
    </row>
    <row r="232" hidden="1">
      <c r="A232" s="1" t="s">
        <v>313</v>
      </c>
      <c r="B232" s="1"/>
      <c r="C232" s="1"/>
      <c r="D232" s="1"/>
      <c r="E232" s="1"/>
      <c r="F232" s="1"/>
      <c r="G232" s="1"/>
      <c r="H232" s="2"/>
      <c r="I232" s="3"/>
      <c r="J232" s="3"/>
      <c r="K232" s="2"/>
      <c r="L232" s="3"/>
      <c r="M232" s="3"/>
      <c r="N232" s="1"/>
      <c r="O232" s="82"/>
      <c r="P232" s="67"/>
      <c r="Q232" s="67"/>
      <c r="R232" s="67"/>
      <c r="S232" s="67"/>
      <c r="T232" s="67"/>
      <c r="U232" s="67"/>
      <c r="V232" s="67"/>
      <c r="W232" s="1"/>
      <c r="X232" s="1"/>
      <c r="Y232" s="1"/>
      <c r="Z232" s="1"/>
      <c r="AA232" s="1"/>
      <c r="AB232" s="1"/>
      <c r="AC232" s="1"/>
      <c r="AD232" s="1"/>
      <c r="AE232" s="1"/>
    </row>
    <row r="233" hidden="1">
      <c r="A233" s="1" t="s">
        <v>314</v>
      </c>
      <c r="B233" s="1"/>
      <c r="C233" s="1"/>
      <c r="D233" s="1"/>
      <c r="E233" s="1"/>
      <c r="F233" s="1"/>
      <c r="G233" s="1"/>
      <c r="H233" s="2"/>
      <c r="I233" s="3"/>
      <c r="J233" s="3"/>
      <c r="K233" s="2"/>
      <c r="L233" s="3"/>
      <c r="M233" s="3"/>
      <c r="N233" s="1"/>
      <c r="O233" s="82"/>
      <c r="P233" s="67"/>
      <c r="Q233" s="67"/>
      <c r="R233" s="67"/>
      <c r="S233" s="67"/>
      <c r="T233" s="67"/>
      <c r="U233" s="67"/>
      <c r="V233" s="67"/>
      <c r="W233" s="1"/>
      <c r="X233" s="1"/>
      <c r="Y233" s="1"/>
      <c r="Z233" s="1"/>
      <c r="AA233" s="1"/>
      <c r="AB233" s="1"/>
      <c r="AC233" s="1"/>
      <c r="AD233" s="1"/>
      <c r="AE233" s="1"/>
    </row>
    <row r="234" hidden="1">
      <c r="A234" s="1" t="s">
        <v>315</v>
      </c>
      <c r="B234" s="1"/>
      <c r="C234" s="1"/>
      <c r="D234" s="1"/>
      <c r="E234" s="1"/>
      <c r="F234" s="1"/>
      <c r="G234" s="1"/>
      <c r="H234" s="2"/>
      <c r="I234" s="3"/>
      <c r="J234" s="3"/>
      <c r="K234" s="2"/>
      <c r="L234" s="3"/>
      <c r="M234" s="3"/>
      <c r="N234" s="1"/>
      <c r="O234" s="82"/>
      <c r="P234" s="67"/>
      <c r="Q234" s="67"/>
      <c r="R234" s="67"/>
      <c r="S234" s="67"/>
      <c r="T234" s="67"/>
      <c r="U234" s="67"/>
      <c r="V234" s="67"/>
      <c r="W234" s="1"/>
      <c r="X234" s="1"/>
      <c r="Y234" s="1"/>
      <c r="Z234" s="1"/>
      <c r="AA234" s="1"/>
      <c r="AB234" s="1"/>
      <c r="AC234" s="1"/>
      <c r="AD234" s="1"/>
      <c r="AE234" s="1"/>
    </row>
    <row r="235" hidden="1">
      <c r="A235" s="1" t="s">
        <v>316</v>
      </c>
      <c r="B235" s="1"/>
      <c r="C235" s="1"/>
      <c r="D235" s="1"/>
      <c r="E235" s="1"/>
      <c r="F235" s="1"/>
      <c r="G235" s="1"/>
      <c r="H235" s="2"/>
      <c r="I235" s="3"/>
      <c r="J235" s="3"/>
      <c r="K235" s="2"/>
      <c r="L235" s="3"/>
      <c r="M235" s="3"/>
      <c r="N235" s="1"/>
      <c r="O235" s="82"/>
      <c r="P235" s="67"/>
      <c r="Q235" s="67"/>
      <c r="R235" s="67"/>
      <c r="S235" s="67"/>
      <c r="T235" s="67"/>
      <c r="U235" s="67"/>
      <c r="V235" s="67"/>
      <c r="W235" s="1"/>
      <c r="X235" s="1"/>
      <c r="Y235" s="1"/>
      <c r="Z235" s="1"/>
      <c r="AA235" s="1"/>
      <c r="AB235" s="1"/>
      <c r="AC235" s="1"/>
      <c r="AD235" s="1"/>
      <c r="AE235" s="1"/>
    </row>
    <row r="236" hidden="1">
      <c r="A236" s="1" t="s">
        <v>317</v>
      </c>
      <c r="B236" s="1"/>
      <c r="C236" s="1"/>
      <c r="D236" s="1"/>
      <c r="E236" s="1"/>
      <c r="F236" s="1"/>
      <c r="G236" s="1"/>
      <c r="H236" s="2"/>
      <c r="I236" s="3"/>
      <c r="J236" s="3"/>
      <c r="K236" s="2"/>
      <c r="L236" s="3"/>
      <c r="M236" s="3"/>
      <c r="N236" s="1"/>
      <c r="O236" s="82"/>
      <c r="P236" s="67"/>
      <c r="Q236" s="67"/>
      <c r="R236" s="67"/>
      <c r="S236" s="67"/>
      <c r="T236" s="67"/>
      <c r="U236" s="67"/>
      <c r="V236" s="67"/>
      <c r="W236" s="1"/>
      <c r="X236" s="1"/>
      <c r="Y236" s="1"/>
      <c r="Z236" s="1"/>
      <c r="AA236" s="1"/>
      <c r="AB236" s="1"/>
      <c r="AC236" s="1"/>
      <c r="AD236" s="1"/>
      <c r="AE236" s="1"/>
    </row>
    <row r="237" hidden="1">
      <c r="A237" s="1" t="s">
        <v>318</v>
      </c>
      <c r="B237" s="1"/>
      <c r="C237" s="1"/>
      <c r="D237" s="1"/>
      <c r="E237" s="1"/>
      <c r="F237" s="1"/>
      <c r="G237" s="1"/>
      <c r="H237" s="2"/>
      <c r="I237" s="3"/>
      <c r="J237" s="3"/>
      <c r="K237" s="2"/>
      <c r="L237" s="3"/>
      <c r="M237" s="3"/>
      <c r="N237" s="1"/>
      <c r="O237" s="82"/>
      <c r="P237" s="67"/>
      <c r="Q237" s="67"/>
      <c r="R237" s="67"/>
      <c r="S237" s="67"/>
      <c r="T237" s="67"/>
      <c r="U237" s="67"/>
      <c r="V237" s="67"/>
      <c r="W237" s="1"/>
      <c r="X237" s="1"/>
      <c r="Y237" s="1"/>
      <c r="Z237" s="1"/>
      <c r="AA237" s="1"/>
      <c r="AB237" s="1"/>
      <c r="AC237" s="1"/>
      <c r="AD237" s="1"/>
      <c r="AE237" s="1"/>
    </row>
    <row r="238" hidden="1">
      <c r="A238" s="1" t="s">
        <v>319</v>
      </c>
      <c r="B238" s="1"/>
      <c r="C238" s="1"/>
      <c r="D238" s="1"/>
      <c r="E238" s="1"/>
      <c r="F238" s="1"/>
      <c r="G238" s="1"/>
      <c r="H238" s="2"/>
      <c r="I238" s="3"/>
      <c r="J238" s="3"/>
      <c r="K238" s="2"/>
      <c r="L238" s="3"/>
      <c r="M238" s="3"/>
      <c r="N238" s="1"/>
      <c r="O238" s="82"/>
      <c r="P238" s="67"/>
      <c r="Q238" s="67"/>
      <c r="R238" s="67"/>
      <c r="S238" s="67"/>
      <c r="T238" s="67"/>
      <c r="U238" s="67"/>
      <c r="V238" s="67"/>
      <c r="W238" s="1"/>
      <c r="X238" s="1"/>
      <c r="Y238" s="1"/>
      <c r="Z238" s="1"/>
      <c r="AA238" s="1"/>
      <c r="AB238" s="1"/>
      <c r="AC238" s="1"/>
      <c r="AD238" s="1"/>
      <c r="AE238" s="1"/>
    </row>
    <row r="239" hidden="1">
      <c r="A239" s="1" t="s">
        <v>320</v>
      </c>
      <c r="B239" s="1"/>
      <c r="C239" s="1"/>
      <c r="D239" s="1"/>
      <c r="E239" s="1"/>
      <c r="F239" s="1"/>
      <c r="G239" s="1"/>
      <c r="H239" s="2"/>
      <c r="I239" s="3"/>
      <c r="J239" s="3"/>
      <c r="K239" s="2"/>
      <c r="L239" s="3"/>
      <c r="M239" s="3"/>
      <c r="N239" s="1"/>
      <c r="O239" s="82"/>
      <c r="P239" s="67"/>
      <c r="Q239" s="67"/>
      <c r="R239" s="67"/>
      <c r="S239" s="67"/>
      <c r="T239" s="67"/>
      <c r="U239" s="67"/>
      <c r="V239" s="67"/>
      <c r="W239" s="1"/>
      <c r="X239" s="1"/>
      <c r="Y239" s="1"/>
      <c r="Z239" s="1"/>
      <c r="AA239" s="1"/>
      <c r="AB239" s="1"/>
      <c r="AC239" s="1"/>
      <c r="AD239" s="1"/>
      <c r="AE239" s="1"/>
    </row>
    <row r="240" hidden="1">
      <c r="A240" s="1" t="s">
        <v>321</v>
      </c>
      <c r="B240" s="1"/>
      <c r="C240" s="1"/>
      <c r="D240" s="1"/>
      <c r="E240" s="1"/>
      <c r="F240" s="1"/>
      <c r="G240" s="1"/>
      <c r="H240" s="2"/>
      <c r="I240" s="3"/>
      <c r="J240" s="3"/>
      <c r="K240" s="2"/>
      <c r="L240" s="3"/>
      <c r="M240" s="3"/>
      <c r="N240" s="1"/>
      <c r="O240" s="82"/>
      <c r="P240" s="67"/>
      <c r="Q240" s="67"/>
      <c r="R240" s="67"/>
      <c r="S240" s="67"/>
      <c r="T240" s="67"/>
      <c r="U240" s="67"/>
      <c r="V240" s="67"/>
      <c r="W240" s="1"/>
      <c r="X240" s="1"/>
      <c r="Y240" s="1"/>
      <c r="Z240" s="1"/>
      <c r="AA240" s="1"/>
      <c r="AB240" s="1"/>
      <c r="AC240" s="1"/>
      <c r="AD240" s="1"/>
      <c r="AE240" s="1"/>
    </row>
    <row r="241" hidden="1">
      <c r="A241" s="125" t="s">
        <v>322</v>
      </c>
      <c r="B241" s="52"/>
      <c r="C241" s="52"/>
      <c r="D241" s="52"/>
      <c r="E241" s="52"/>
      <c r="F241" s="52"/>
      <c r="G241" s="52"/>
      <c r="H241" s="39"/>
      <c r="I241" s="54"/>
      <c r="J241" s="54"/>
      <c r="K241" s="39"/>
      <c r="L241" s="54"/>
      <c r="M241" s="54"/>
      <c r="N241" s="52"/>
      <c r="O241" s="81"/>
      <c r="P241" s="76"/>
      <c r="Q241" s="76"/>
      <c r="R241" s="76"/>
      <c r="S241" s="67"/>
      <c r="T241" s="67"/>
      <c r="U241" s="67"/>
      <c r="V241" s="67"/>
      <c r="W241" s="1"/>
      <c r="X241" s="1"/>
      <c r="Y241" s="1"/>
      <c r="Z241" s="1"/>
      <c r="AA241" s="1"/>
      <c r="AB241" s="1"/>
      <c r="AC241" s="1"/>
      <c r="AD241" s="1"/>
      <c r="AE241" s="1"/>
    </row>
    <row r="242">
      <c r="A242" s="24" t="s">
        <v>323</v>
      </c>
      <c r="B242" s="28"/>
      <c r="C242" s="28"/>
      <c r="D242" s="28"/>
      <c r="E242" s="28"/>
      <c r="F242" s="28"/>
      <c r="G242" s="28"/>
      <c r="H242" s="64"/>
      <c r="I242" s="40"/>
      <c r="J242" s="40"/>
      <c r="K242" s="64"/>
      <c r="L242" s="40"/>
      <c r="M242" s="40"/>
      <c r="N242" s="28"/>
      <c r="O242" s="81"/>
      <c r="P242" s="76"/>
      <c r="Q242" s="76"/>
      <c r="R242" s="76"/>
      <c r="S242" s="76"/>
      <c r="T242" s="76"/>
      <c r="U242" s="76"/>
      <c r="V242" s="76"/>
      <c r="W242" s="52"/>
      <c r="X242" s="52"/>
      <c r="Y242" s="52"/>
      <c r="Z242" s="52"/>
      <c r="AA242" s="52"/>
      <c r="AB242" s="52"/>
      <c r="AC242" s="52"/>
      <c r="AD242" s="52"/>
      <c r="AE242" s="52"/>
    </row>
    <row r="243">
      <c r="A243" s="62">
        <v>1.0</v>
      </c>
      <c r="B243" s="67"/>
      <c r="C243" s="75" t="s">
        <v>324</v>
      </c>
      <c r="D243" s="62" t="s">
        <v>325</v>
      </c>
      <c r="E243" s="67"/>
      <c r="F243" s="62" t="s">
        <v>326</v>
      </c>
      <c r="G243" s="78" t="s">
        <v>16</v>
      </c>
      <c r="H243" s="62">
        <v>150000.0</v>
      </c>
      <c r="I243" s="78"/>
      <c r="J243" s="78" t="s">
        <v>16</v>
      </c>
      <c r="K243" s="79">
        <f t="shared" ref="K243:K248" si="73">H243*J243</f>
        <v>150000</v>
      </c>
      <c r="L243" s="79">
        <f t="shared" ref="L243:L248" si="74">H243*G243</f>
        <v>150000</v>
      </c>
      <c r="M243" s="77" t="s">
        <v>16</v>
      </c>
      <c r="N243" s="62" t="s">
        <v>327</v>
      </c>
      <c r="O243" s="81"/>
      <c r="P243" s="76"/>
      <c r="Q243" s="76"/>
      <c r="R243" s="76"/>
      <c r="S243" s="76"/>
      <c r="T243" s="76"/>
      <c r="U243" s="76"/>
      <c r="V243" s="76"/>
      <c r="W243" s="52"/>
      <c r="X243" s="52"/>
      <c r="Y243" s="52"/>
      <c r="Z243" s="52"/>
      <c r="AA243" s="52"/>
      <c r="AB243" s="52"/>
      <c r="AC243" s="52"/>
      <c r="AD243" s="52"/>
      <c r="AE243" s="52"/>
    </row>
    <row r="244">
      <c r="A244" s="62">
        <v>2.0</v>
      </c>
      <c r="B244" s="67"/>
      <c r="C244" s="75" t="s">
        <v>328</v>
      </c>
      <c r="D244" s="62"/>
      <c r="E244" s="67"/>
      <c r="F244" s="62" t="s">
        <v>326</v>
      </c>
      <c r="G244" s="78" t="s">
        <v>18</v>
      </c>
      <c r="H244" s="62">
        <v>25000.0</v>
      </c>
      <c r="I244" s="78"/>
      <c r="J244" s="78" t="s">
        <v>18</v>
      </c>
      <c r="K244" s="79">
        <f t="shared" si="73"/>
        <v>50000</v>
      </c>
      <c r="L244" s="79">
        <f t="shared" si="74"/>
        <v>50000</v>
      </c>
      <c r="M244" s="77" t="s">
        <v>18</v>
      </c>
      <c r="N244" s="62" t="s">
        <v>327</v>
      </c>
      <c r="O244" s="81"/>
      <c r="P244" s="76"/>
      <c r="Q244" s="76"/>
      <c r="R244" s="76"/>
      <c r="S244" s="76"/>
      <c r="T244" s="76"/>
      <c r="U244" s="76"/>
      <c r="V244" s="76"/>
      <c r="W244" s="52"/>
      <c r="X244" s="52"/>
      <c r="Y244" s="52"/>
      <c r="Z244" s="52"/>
      <c r="AA244" s="52"/>
      <c r="AB244" s="52"/>
      <c r="AC244" s="52"/>
      <c r="AD244" s="52"/>
      <c r="AE244" s="52"/>
    </row>
    <row r="245">
      <c r="A245" s="62">
        <v>4.0</v>
      </c>
      <c r="B245" s="67"/>
      <c r="C245" s="75" t="s">
        <v>329</v>
      </c>
      <c r="D245" s="62"/>
      <c r="E245" s="67"/>
      <c r="F245" s="62" t="s">
        <v>326</v>
      </c>
      <c r="G245" s="78" t="s">
        <v>16</v>
      </c>
      <c r="H245" s="62">
        <v>50000.0</v>
      </c>
      <c r="I245" s="78"/>
      <c r="J245" s="78" t="s">
        <v>16</v>
      </c>
      <c r="K245" s="79">
        <f t="shared" si="73"/>
        <v>50000</v>
      </c>
      <c r="L245" s="79">
        <f t="shared" si="74"/>
        <v>50000</v>
      </c>
      <c r="M245" s="77" t="s">
        <v>16</v>
      </c>
      <c r="N245" s="62" t="s">
        <v>330</v>
      </c>
      <c r="O245" s="81"/>
      <c r="P245" s="76"/>
      <c r="Q245" s="76"/>
      <c r="R245" s="76"/>
      <c r="S245" s="76"/>
      <c r="T245" s="76"/>
      <c r="U245" s="76"/>
      <c r="V245" s="76"/>
      <c r="W245" s="52"/>
      <c r="X245" s="52"/>
      <c r="Y245" s="52"/>
      <c r="Z245" s="52"/>
      <c r="AA245" s="52"/>
      <c r="AB245" s="52"/>
      <c r="AC245" s="52"/>
      <c r="AD245" s="52"/>
      <c r="AE245" s="52"/>
    </row>
    <row r="246">
      <c r="A246" s="62">
        <v>4.0</v>
      </c>
      <c r="B246" s="67"/>
      <c r="C246" s="75" t="s">
        <v>331</v>
      </c>
      <c r="D246" s="62"/>
      <c r="E246" s="67"/>
      <c r="F246" s="62" t="s">
        <v>326</v>
      </c>
      <c r="G246" s="78" t="s">
        <v>18</v>
      </c>
      <c r="H246" s="62">
        <v>20000.0</v>
      </c>
      <c r="I246" s="78"/>
      <c r="J246" s="78" t="s">
        <v>18</v>
      </c>
      <c r="K246" s="79">
        <f t="shared" si="73"/>
        <v>40000</v>
      </c>
      <c r="L246" s="79">
        <f t="shared" si="74"/>
        <v>40000</v>
      </c>
      <c r="M246" s="77" t="s">
        <v>18</v>
      </c>
      <c r="N246" s="62" t="s">
        <v>330</v>
      </c>
      <c r="O246" s="81"/>
      <c r="P246" s="76"/>
      <c r="Q246" s="76"/>
      <c r="R246" s="76"/>
      <c r="S246" s="76"/>
      <c r="T246" s="76"/>
      <c r="U246" s="76"/>
      <c r="V246" s="76"/>
      <c r="W246" s="52"/>
      <c r="X246" s="52"/>
      <c r="Y246" s="52"/>
      <c r="Z246" s="52"/>
      <c r="AA246" s="52"/>
      <c r="AB246" s="52"/>
      <c r="AC246" s="52"/>
      <c r="AD246" s="52"/>
      <c r="AE246" s="52"/>
    </row>
    <row r="247">
      <c r="A247" s="62">
        <v>5.0</v>
      </c>
      <c r="B247" s="67"/>
      <c r="C247" s="75" t="s">
        <v>332</v>
      </c>
      <c r="D247" s="62" t="s">
        <v>333</v>
      </c>
      <c r="E247" s="67"/>
      <c r="F247" s="62" t="s">
        <v>326</v>
      </c>
      <c r="G247" s="78" t="s">
        <v>16</v>
      </c>
      <c r="H247" s="62">
        <v>150000.0</v>
      </c>
      <c r="I247" s="78"/>
      <c r="J247" s="78" t="s">
        <v>16</v>
      </c>
      <c r="K247" s="79">
        <f t="shared" si="73"/>
        <v>150000</v>
      </c>
      <c r="L247" s="79">
        <f t="shared" si="74"/>
        <v>150000</v>
      </c>
      <c r="M247" s="77" t="s">
        <v>16</v>
      </c>
      <c r="N247" s="62" t="s">
        <v>330</v>
      </c>
      <c r="O247" s="81"/>
      <c r="P247" s="76"/>
      <c r="Q247" s="76"/>
      <c r="R247" s="76"/>
      <c r="S247" s="76"/>
      <c r="T247" s="76"/>
      <c r="U247" s="76"/>
      <c r="V247" s="76"/>
      <c r="W247" s="52"/>
      <c r="X247" s="52"/>
      <c r="Y247" s="52"/>
      <c r="Z247" s="52"/>
      <c r="AA247" s="52"/>
      <c r="AB247" s="52"/>
      <c r="AC247" s="52"/>
      <c r="AD247" s="52"/>
      <c r="AE247" s="52"/>
    </row>
    <row r="248">
      <c r="A248" s="62">
        <v>6.0</v>
      </c>
      <c r="B248" s="67"/>
      <c r="C248" s="62" t="s">
        <v>334</v>
      </c>
      <c r="D248" s="62" t="s">
        <v>335</v>
      </c>
      <c r="E248" s="67"/>
      <c r="F248" s="62" t="s">
        <v>326</v>
      </c>
      <c r="G248" s="31" t="s">
        <v>18</v>
      </c>
      <c r="H248" s="62">
        <v>10000.0</v>
      </c>
      <c r="I248" s="31"/>
      <c r="J248" s="31" t="s">
        <v>18</v>
      </c>
      <c r="K248" s="79">
        <f t="shared" si="73"/>
        <v>20000</v>
      </c>
      <c r="L248" s="79">
        <f t="shared" si="74"/>
        <v>20000</v>
      </c>
      <c r="M248" s="33" t="s">
        <v>18</v>
      </c>
      <c r="N248" s="62" t="s">
        <v>336</v>
      </c>
      <c r="O248" s="81"/>
      <c r="P248" s="76"/>
      <c r="Q248" s="76"/>
      <c r="R248" s="76"/>
      <c r="S248" s="76"/>
      <c r="T248" s="76"/>
      <c r="U248" s="76"/>
      <c r="V248" s="76"/>
      <c r="W248" s="52"/>
      <c r="X248" s="52"/>
      <c r="Y248" s="52"/>
      <c r="Z248" s="52"/>
      <c r="AA248" s="52"/>
      <c r="AB248" s="52"/>
      <c r="AC248" s="52"/>
      <c r="AD248" s="52"/>
      <c r="AE248" s="52"/>
    </row>
    <row r="249">
      <c r="A249" s="1"/>
      <c r="B249" s="1"/>
      <c r="C249" s="1"/>
      <c r="D249" s="1"/>
      <c r="E249" s="1"/>
      <c r="F249" s="1"/>
      <c r="G249" s="1"/>
      <c r="H249" s="126" t="s">
        <v>125</v>
      </c>
      <c r="I249" s="126"/>
      <c r="J249" s="126" t="s">
        <v>125</v>
      </c>
      <c r="K249" s="121">
        <f t="shared" ref="K249:L249" si="75">SUM(K243:K248)</f>
        <v>460000</v>
      </c>
      <c r="L249" s="121">
        <f t="shared" si="75"/>
        <v>460000</v>
      </c>
      <c r="M249" s="126" t="s">
        <v>125</v>
      </c>
      <c r="N249" s="1"/>
      <c r="O249" s="81"/>
      <c r="P249" s="76"/>
      <c r="Q249" s="76"/>
      <c r="R249" s="76"/>
      <c r="S249" s="76"/>
      <c r="T249" s="76"/>
      <c r="U249" s="76"/>
      <c r="V249" s="76"/>
      <c r="W249" s="52"/>
      <c r="X249" s="52"/>
      <c r="Y249" s="52"/>
      <c r="Z249" s="52"/>
      <c r="AA249" s="52"/>
      <c r="AB249" s="52"/>
      <c r="AC249" s="52"/>
      <c r="AD249" s="52"/>
      <c r="AE249" s="52"/>
    </row>
    <row r="250">
      <c r="A250" s="24" t="s">
        <v>337</v>
      </c>
      <c r="B250" s="28"/>
      <c r="C250" s="28"/>
      <c r="D250" s="28"/>
      <c r="E250" s="28"/>
      <c r="F250" s="28"/>
      <c r="G250" s="28"/>
      <c r="H250" s="64"/>
      <c r="I250" s="25"/>
      <c r="J250" s="25"/>
      <c r="K250" s="98"/>
      <c r="L250" s="25"/>
      <c r="M250" s="40"/>
      <c r="N250" s="28"/>
      <c r="O250" s="82"/>
      <c r="P250" s="67"/>
      <c r="Q250" s="67"/>
      <c r="R250" s="67"/>
      <c r="S250" s="67"/>
      <c r="T250" s="67"/>
      <c r="U250" s="67"/>
      <c r="V250" s="67"/>
      <c r="W250" s="1"/>
      <c r="X250" s="1"/>
      <c r="Y250" s="1"/>
      <c r="Z250" s="1"/>
      <c r="AA250" s="1"/>
      <c r="AB250" s="1"/>
      <c r="AC250" s="1"/>
      <c r="AD250" s="1"/>
      <c r="AE250" s="1"/>
    </row>
    <row r="251">
      <c r="A251" s="62">
        <v>1.0</v>
      </c>
      <c r="B251" s="67"/>
      <c r="C251" s="62" t="s">
        <v>338</v>
      </c>
      <c r="D251" s="67"/>
      <c r="E251" s="67"/>
      <c r="F251" s="67"/>
      <c r="G251" s="67" t="s">
        <v>339</v>
      </c>
      <c r="H251" s="127">
        <v>200000.0</v>
      </c>
      <c r="I251" s="78"/>
      <c r="J251" s="78" t="s">
        <v>16</v>
      </c>
      <c r="K251" s="79">
        <f>(H251*J251)</f>
        <v>200000</v>
      </c>
      <c r="L251" s="128">
        <f t="shared" ref="L251:L252" si="76">H251*J251</f>
        <v>200000</v>
      </c>
      <c r="M251" s="77" t="s">
        <v>16</v>
      </c>
      <c r="N251" s="62" t="s">
        <v>145</v>
      </c>
      <c r="O251" s="82"/>
      <c r="P251" s="67"/>
      <c r="Q251" s="67"/>
      <c r="R251" s="67"/>
      <c r="S251" s="67"/>
      <c r="T251" s="67"/>
      <c r="U251" s="67"/>
      <c r="V251" s="67"/>
      <c r="W251" s="1"/>
      <c r="X251" s="1"/>
      <c r="Y251" s="1"/>
      <c r="Z251" s="1"/>
      <c r="AA251" s="1"/>
      <c r="AB251" s="1"/>
      <c r="AC251" s="1"/>
      <c r="AD251" s="1"/>
      <c r="AE251" s="1"/>
    </row>
    <row r="252">
      <c r="A252" s="62">
        <v>2.0</v>
      </c>
      <c r="B252" s="67"/>
      <c r="C252" s="67" t="s">
        <v>340</v>
      </c>
      <c r="D252" s="62" t="s">
        <v>341</v>
      </c>
      <c r="E252" s="67"/>
      <c r="F252" s="67"/>
      <c r="G252" s="67" t="s">
        <v>175</v>
      </c>
      <c r="H252" s="80">
        <v>120.0</v>
      </c>
      <c r="I252" s="78"/>
      <c r="J252" s="78" t="s">
        <v>342</v>
      </c>
      <c r="K252" s="79">
        <f>H252*J252</f>
        <v>156000</v>
      </c>
      <c r="L252" s="128">
        <f t="shared" si="76"/>
        <v>156000</v>
      </c>
      <c r="M252" s="77">
        <f>M28+M32</f>
        <v>0</v>
      </c>
      <c r="N252" s="62" t="s">
        <v>343</v>
      </c>
      <c r="O252" s="85">
        <v>1.0</v>
      </c>
      <c r="P252" s="32">
        <f t="shared" ref="P252:P257" si="77">O252*L252</f>
        <v>156000</v>
      </c>
      <c r="Q252" s="67"/>
      <c r="R252" s="67"/>
      <c r="S252" s="67"/>
      <c r="T252" s="67"/>
      <c r="U252" s="67"/>
      <c r="V252" s="67"/>
      <c r="W252" s="1"/>
      <c r="X252" s="1"/>
      <c r="Y252" s="1"/>
      <c r="Z252" s="1"/>
      <c r="AA252" s="1"/>
      <c r="AB252" s="1"/>
      <c r="AC252" s="1"/>
      <c r="AD252" s="1"/>
      <c r="AE252" s="1"/>
    </row>
    <row r="253">
      <c r="A253" s="62"/>
      <c r="B253" s="67"/>
      <c r="C253" s="62" t="s">
        <v>344</v>
      </c>
      <c r="D253" s="62"/>
      <c r="E253" s="62"/>
      <c r="F253" s="67"/>
      <c r="G253" s="62" t="s">
        <v>175</v>
      </c>
      <c r="H253" s="80">
        <v>1650.0</v>
      </c>
      <c r="I253" s="78"/>
      <c r="J253" s="78" t="s">
        <v>90</v>
      </c>
      <c r="K253" s="79"/>
      <c r="L253" s="78">
        <f>J253*H253</f>
        <v>330000</v>
      </c>
      <c r="M253" s="77"/>
      <c r="N253" s="62"/>
      <c r="O253" s="85">
        <v>0.5</v>
      </c>
      <c r="P253" s="32">
        <f t="shared" si="77"/>
        <v>165000</v>
      </c>
      <c r="Q253" s="67"/>
      <c r="R253" s="67"/>
      <c r="S253" s="67"/>
      <c r="T253" s="67"/>
      <c r="U253" s="67"/>
      <c r="V253" s="67"/>
      <c r="W253" s="1"/>
      <c r="X253" s="1"/>
      <c r="Y253" s="1"/>
      <c r="Z253" s="1"/>
      <c r="AA253" s="1"/>
      <c r="AB253" s="1"/>
      <c r="AC253" s="1"/>
      <c r="AD253" s="1"/>
      <c r="AE253" s="1"/>
    </row>
    <row r="254">
      <c r="A254" s="62">
        <v>3.0</v>
      </c>
      <c r="B254" s="67"/>
      <c r="C254" s="67" t="s">
        <v>345</v>
      </c>
      <c r="D254" s="62" t="s">
        <v>346</v>
      </c>
      <c r="E254" s="62" t="s">
        <v>347</v>
      </c>
      <c r="F254" s="67"/>
      <c r="G254" s="67" t="s">
        <v>175</v>
      </c>
      <c r="H254" s="80">
        <v>400.0</v>
      </c>
      <c r="I254" s="78"/>
      <c r="J254" s="78" t="s">
        <v>348</v>
      </c>
      <c r="K254" s="79">
        <f>H254*J254</f>
        <v>40000</v>
      </c>
      <c r="L254" s="78">
        <f t="shared" ref="L254:L255" si="78">H254*J254</f>
        <v>40000</v>
      </c>
      <c r="M254" s="77" t="s">
        <v>348</v>
      </c>
      <c r="N254" s="62" t="s">
        <v>349</v>
      </c>
      <c r="O254" s="85">
        <v>0.7</v>
      </c>
      <c r="P254" s="32">
        <f t="shared" si="77"/>
        <v>28000</v>
      </c>
      <c r="Q254" s="67"/>
      <c r="R254" s="67"/>
      <c r="S254" s="67"/>
      <c r="T254" s="67"/>
      <c r="U254" s="67"/>
      <c r="V254" s="67"/>
      <c r="W254" s="1"/>
      <c r="X254" s="1"/>
      <c r="Y254" s="1"/>
      <c r="Z254" s="1"/>
      <c r="AA254" s="1"/>
      <c r="AB254" s="1"/>
      <c r="AC254" s="1"/>
      <c r="AD254" s="1"/>
      <c r="AE254" s="1"/>
    </row>
    <row r="255">
      <c r="A255" s="62">
        <v>4.0</v>
      </c>
      <c r="B255" s="67"/>
      <c r="C255" s="67" t="s">
        <v>350</v>
      </c>
      <c r="D255" s="95" t="s">
        <v>351</v>
      </c>
      <c r="E255" s="94" t="s">
        <v>352</v>
      </c>
      <c r="F255" s="67" t="s">
        <v>353</v>
      </c>
      <c r="G255" s="79">
        <v>400.0</v>
      </c>
      <c r="H255" s="80">
        <v>400.0</v>
      </c>
      <c r="I255" s="109"/>
      <c r="J255" s="109">
        <f>J36+20</f>
        <v>20</v>
      </c>
      <c r="K255" s="79">
        <f>J255*G255</f>
        <v>8000</v>
      </c>
      <c r="L255" s="78">
        <f t="shared" si="78"/>
        <v>8000</v>
      </c>
      <c r="M255" s="110">
        <f>M36+20</f>
        <v>20</v>
      </c>
      <c r="N255" s="62" t="s">
        <v>354</v>
      </c>
      <c r="O255" s="85">
        <v>0.7</v>
      </c>
      <c r="P255" s="32">
        <f t="shared" si="77"/>
        <v>5600</v>
      </c>
      <c r="Q255" s="67"/>
      <c r="R255" s="67"/>
      <c r="S255" s="67"/>
      <c r="T255" s="67"/>
      <c r="U255" s="67"/>
      <c r="V255" s="67"/>
      <c r="W255" s="1"/>
      <c r="X255" s="1"/>
      <c r="Y255" s="1"/>
      <c r="Z255" s="1"/>
      <c r="AA255" s="1"/>
      <c r="AB255" s="1"/>
      <c r="AC255" s="1"/>
      <c r="AD255" s="1"/>
      <c r="AE255" s="1"/>
    </row>
    <row r="256">
      <c r="A256" s="62">
        <v>5.0</v>
      </c>
      <c r="B256" s="67"/>
      <c r="C256" s="62" t="s">
        <v>355</v>
      </c>
      <c r="D256" s="62" t="s">
        <v>356</v>
      </c>
      <c r="E256" s="67"/>
      <c r="F256" s="67"/>
      <c r="G256" s="67" t="s">
        <v>339</v>
      </c>
      <c r="H256" s="80">
        <v>250000.0</v>
      </c>
      <c r="I256" s="78"/>
      <c r="J256" s="78" t="s">
        <v>16</v>
      </c>
      <c r="K256" s="79">
        <f t="shared" ref="K256:K265" si="79">(H256*J256)</f>
        <v>250000</v>
      </c>
      <c r="L256" s="80">
        <v>450000.0</v>
      </c>
      <c r="M256" s="77" t="s">
        <v>16</v>
      </c>
      <c r="N256" s="62" t="s">
        <v>357</v>
      </c>
      <c r="O256" s="85">
        <v>0.6</v>
      </c>
      <c r="P256" s="32">
        <f t="shared" si="77"/>
        <v>270000</v>
      </c>
      <c r="Q256" s="67"/>
      <c r="R256" s="67"/>
      <c r="S256" s="67"/>
      <c r="T256" s="67"/>
      <c r="U256" s="67"/>
      <c r="V256" s="67"/>
      <c r="W256" s="1"/>
      <c r="X256" s="1"/>
      <c r="Y256" s="1"/>
      <c r="Z256" s="1"/>
      <c r="AA256" s="1"/>
      <c r="AB256" s="1"/>
      <c r="AC256" s="1"/>
      <c r="AD256" s="1"/>
      <c r="AE256" s="1"/>
    </row>
    <row r="257">
      <c r="A257" s="62">
        <v>6.0</v>
      </c>
      <c r="B257" s="67"/>
      <c r="C257" s="62" t="s">
        <v>358</v>
      </c>
      <c r="D257" s="76"/>
      <c r="E257" s="67"/>
      <c r="F257" s="62" t="s">
        <v>359</v>
      </c>
      <c r="G257" s="67" t="s">
        <v>339</v>
      </c>
      <c r="H257" s="32">
        <v>75000.0</v>
      </c>
      <c r="I257" s="31"/>
      <c r="J257" s="31" t="s">
        <v>18</v>
      </c>
      <c r="K257" s="69">
        <f t="shared" si="79"/>
        <v>150000</v>
      </c>
      <c r="L257" s="129">
        <v>1000000.0</v>
      </c>
      <c r="M257" s="33" t="s">
        <v>18</v>
      </c>
      <c r="N257" s="62" t="s">
        <v>360</v>
      </c>
      <c r="O257" s="85">
        <v>0.25</v>
      </c>
      <c r="P257" s="32">
        <f t="shared" si="77"/>
        <v>250000</v>
      </c>
      <c r="Q257" s="67"/>
      <c r="R257" s="67"/>
      <c r="S257" s="67"/>
      <c r="T257" s="67"/>
      <c r="U257" s="67"/>
      <c r="V257" s="67"/>
      <c r="W257" s="1"/>
      <c r="X257" s="1"/>
      <c r="Y257" s="1"/>
      <c r="Z257" s="1"/>
      <c r="AA257" s="1"/>
      <c r="AB257" s="1"/>
      <c r="AC257" s="1"/>
      <c r="AD257" s="1"/>
      <c r="AE257" s="1"/>
    </row>
    <row r="258">
      <c r="A258" s="62">
        <v>7.0</v>
      </c>
      <c r="B258" s="67"/>
      <c r="C258" s="62"/>
      <c r="D258" s="76"/>
      <c r="E258" s="67"/>
      <c r="F258" s="67"/>
      <c r="G258" s="67" t="s">
        <v>339</v>
      </c>
      <c r="H258" s="32">
        <v>50000.0</v>
      </c>
      <c r="I258" s="31"/>
      <c r="J258" s="31" t="s">
        <v>27</v>
      </c>
      <c r="K258" s="69">
        <f t="shared" si="79"/>
        <v>200000</v>
      </c>
      <c r="L258" s="130"/>
      <c r="M258" s="33" t="s">
        <v>27</v>
      </c>
      <c r="N258" s="62" t="s">
        <v>361</v>
      </c>
      <c r="O258" s="82"/>
      <c r="P258" s="67"/>
      <c r="Q258" s="67"/>
      <c r="R258" s="67"/>
      <c r="S258" s="67"/>
      <c r="T258" s="67"/>
      <c r="U258" s="67"/>
      <c r="V258" s="67"/>
      <c r="W258" s="1"/>
      <c r="X258" s="1"/>
      <c r="Y258" s="1"/>
      <c r="Z258" s="1"/>
      <c r="AA258" s="1"/>
      <c r="AB258" s="1"/>
      <c r="AC258" s="1"/>
      <c r="AD258" s="1"/>
      <c r="AE258" s="1"/>
    </row>
    <row r="259">
      <c r="A259" s="62">
        <v>8.0</v>
      </c>
      <c r="B259" s="67"/>
      <c r="C259" s="62" t="s">
        <v>362</v>
      </c>
      <c r="D259" s="76"/>
      <c r="E259" s="67"/>
      <c r="F259" s="67"/>
      <c r="G259" s="67" t="s">
        <v>339</v>
      </c>
      <c r="H259" s="80">
        <v>50000.0</v>
      </c>
      <c r="I259" s="78"/>
      <c r="J259" s="78" t="s">
        <v>27</v>
      </c>
      <c r="K259" s="79">
        <f t="shared" si="79"/>
        <v>200000</v>
      </c>
      <c r="L259" s="80"/>
      <c r="M259" s="77" t="s">
        <v>27</v>
      </c>
      <c r="N259" s="62" t="s">
        <v>361</v>
      </c>
      <c r="O259" s="82"/>
      <c r="P259" s="67"/>
      <c r="Q259" s="67"/>
      <c r="R259" s="67"/>
      <c r="S259" s="67"/>
      <c r="T259" s="67"/>
      <c r="U259" s="67"/>
      <c r="V259" s="67"/>
      <c r="W259" s="1"/>
      <c r="X259" s="1"/>
      <c r="Y259" s="1"/>
      <c r="Z259" s="1"/>
      <c r="AA259" s="1"/>
      <c r="AB259" s="1"/>
      <c r="AC259" s="1"/>
      <c r="AD259" s="1"/>
      <c r="AE259" s="1"/>
    </row>
    <row r="260">
      <c r="A260" s="62">
        <v>9.0</v>
      </c>
      <c r="B260" s="67"/>
      <c r="C260" s="62" t="s">
        <v>363</v>
      </c>
      <c r="D260" s="67"/>
      <c r="E260" s="67"/>
      <c r="F260" s="67"/>
      <c r="G260" s="67" t="s">
        <v>339</v>
      </c>
      <c r="H260" s="80">
        <v>200000.0</v>
      </c>
      <c r="I260" s="78"/>
      <c r="J260" s="78" t="s">
        <v>16</v>
      </c>
      <c r="K260" s="79">
        <f t="shared" si="79"/>
        <v>200000</v>
      </c>
      <c r="L260" s="78">
        <f t="shared" ref="L260:L265" si="80">H260*J260</f>
        <v>200000</v>
      </c>
      <c r="M260" s="77" t="s">
        <v>16</v>
      </c>
      <c r="N260" s="62" t="s">
        <v>145</v>
      </c>
      <c r="O260" s="82"/>
      <c r="P260" s="67"/>
      <c r="Q260" s="67"/>
      <c r="R260" s="67"/>
      <c r="S260" s="67"/>
      <c r="T260" s="67"/>
      <c r="U260" s="67"/>
      <c r="V260" s="67"/>
      <c r="W260" s="1"/>
      <c r="X260" s="1"/>
      <c r="Y260" s="1"/>
      <c r="Z260" s="1"/>
      <c r="AA260" s="1"/>
      <c r="AB260" s="1"/>
      <c r="AC260" s="1"/>
      <c r="AD260" s="1"/>
      <c r="AE260" s="1"/>
    </row>
    <row r="261">
      <c r="A261" s="62">
        <v>10.0</v>
      </c>
      <c r="B261" s="67"/>
      <c r="C261" s="62" t="s">
        <v>364</v>
      </c>
      <c r="D261" s="67"/>
      <c r="E261" s="67"/>
      <c r="F261" s="67"/>
      <c r="G261" s="67" t="s">
        <v>339</v>
      </c>
      <c r="H261" s="80">
        <v>300000.0</v>
      </c>
      <c r="I261" s="78"/>
      <c r="J261" s="78" t="s">
        <v>16</v>
      </c>
      <c r="K261" s="79">
        <f t="shared" si="79"/>
        <v>300000</v>
      </c>
      <c r="L261" s="78">
        <f t="shared" si="80"/>
        <v>300000</v>
      </c>
      <c r="M261" s="77" t="s">
        <v>16</v>
      </c>
      <c r="N261" s="62" t="s">
        <v>145</v>
      </c>
      <c r="O261" s="82"/>
      <c r="P261" s="67"/>
      <c r="Q261" s="67"/>
      <c r="R261" s="67"/>
      <c r="S261" s="67"/>
      <c r="T261" s="67"/>
      <c r="U261" s="67"/>
      <c r="V261" s="67"/>
      <c r="W261" s="1"/>
      <c r="X261" s="1"/>
      <c r="Y261" s="1"/>
      <c r="Z261" s="1"/>
      <c r="AA261" s="1"/>
      <c r="AB261" s="1"/>
      <c r="AC261" s="1"/>
      <c r="AD261" s="1"/>
      <c r="AE261" s="1"/>
    </row>
    <row r="262">
      <c r="A262" s="62">
        <v>11.0</v>
      </c>
      <c r="B262" s="67"/>
      <c r="C262" s="62" t="s">
        <v>365</v>
      </c>
      <c r="D262" s="67"/>
      <c r="E262" s="67"/>
      <c r="F262" s="77" t="s">
        <v>366</v>
      </c>
      <c r="G262" s="62" t="s">
        <v>367</v>
      </c>
      <c r="H262" s="127">
        <v>800.0</v>
      </c>
      <c r="I262" s="78"/>
      <c r="J262" s="78" t="s">
        <v>368</v>
      </c>
      <c r="K262" s="79">
        <f t="shared" si="79"/>
        <v>49600</v>
      </c>
      <c r="L262" s="78">
        <f t="shared" si="80"/>
        <v>49600</v>
      </c>
      <c r="M262" s="77" t="s">
        <v>368</v>
      </c>
      <c r="N262" s="62" t="s">
        <v>369</v>
      </c>
      <c r="O262" s="82"/>
      <c r="P262" s="67"/>
      <c r="Q262" s="67"/>
      <c r="R262" s="67"/>
      <c r="S262" s="67"/>
      <c r="T262" s="67"/>
      <c r="U262" s="67"/>
      <c r="V262" s="67"/>
      <c r="W262" s="1"/>
      <c r="X262" s="1"/>
      <c r="Y262" s="1"/>
      <c r="Z262" s="1"/>
      <c r="AA262" s="1"/>
      <c r="AB262" s="1"/>
      <c r="AC262" s="1"/>
      <c r="AD262" s="1"/>
      <c r="AE262" s="1"/>
    </row>
    <row r="263">
      <c r="A263" s="62">
        <v>12.0</v>
      </c>
      <c r="B263" s="67"/>
      <c r="C263" s="62" t="s">
        <v>370</v>
      </c>
      <c r="D263" s="67"/>
      <c r="E263" s="67"/>
      <c r="F263" s="77"/>
      <c r="G263" s="62" t="s">
        <v>339</v>
      </c>
      <c r="H263" s="127">
        <v>2000.0</v>
      </c>
      <c r="I263" s="78"/>
      <c r="J263" s="78" t="s">
        <v>32</v>
      </c>
      <c r="K263" s="79">
        <f t="shared" si="79"/>
        <v>12000</v>
      </c>
      <c r="L263" s="78">
        <f t="shared" si="80"/>
        <v>12000</v>
      </c>
      <c r="M263" s="77" t="s">
        <v>32</v>
      </c>
      <c r="N263" s="62" t="s">
        <v>371</v>
      </c>
      <c r="O263" s="82"/>
      <c r="P263" s="67"/>
      <c r="Q263" s="67"/>
      <c r="R263" s="67"/>
      <c r="S263" s="67"/>
      <c r="T263" s="67"/>
      <c r="U263" s="67"/>
      <c r="V263" s="67"/>
      <c r="W263" s="1"/>
      <c r="X263" s="1"/>
      <c r="Y263" s="1"/>
      <c r="Z263" s="1"/>
      <c r="AA263" s="1"/>
      <c r="AB263" s="1"/>
      <c r="AC263" s="1"/>
      <c r="AD263" s="1"/>
      <c r="AE263" s="1"/>
    </row>
    <row r="264">
      <c r="A264" s="62">
        <v>13.0</v>
      </c>
      <c r="B264" s="67"/>
      <c r="C264" s="62" t="s">
        <v>372</v>
      </c>
      <c r="D264" s="67"/>
      <c r="E264" s="67"/>
      <c r="F264" s="67"/>
      <c r="G264" s="62" t="s">
        <v>339</v>
      </c>
      <c r="H264" s="80">
        <v>100000.0</v>
      </c>
      <c r="I264" s="83"/>
      <c r="J264" s="78" t="s">
        <v>16</v>
      </c>
      <c r="K264" s="79">
        <f t="shared" si="79"/>
        <v>100000</v>
      </c>
      <c r="L264" s="79">
        <f t="shared" si="80"/>
        <v>100000</v>
      </c>
      <c r="M264" s="83" t="s">
        <v>125</v>
      </c>
      <c r="N264" s="67"/>
      <c r="O264" s="82"/>
      <c r="P264" s="67"/>
      <c r="Q264" s="67"/>
      <c r="R264" s="67"/>
      <c r="S264" s="67"/>
      <c r="T264" s="67"/>
      <c r="U264" s="67"/>
      <c r="V264" s="67"/>
      <c r="W264" s="1"/>
      <c r="X264" s="1"/>
      <c r="Y264" s="1"/>
      <c r="Z264" s="1"/>
      <c r="AA264" s="1"/>
      <c r="AB264" s="1"/>
      <c r="AC264" s="1"/>
      <c r="AD264" s="1"/>
      <c r="AE264" s="1"/>
    </row>
    <row r="265">
      <c r="A265" s="62">
        <v>14.0</v>
      </c>
      <c r="B265" s="67"/>
      <c r="C265" s="62" t="s">
        <v>373</v>
      </c>
      <c r="D265" s="67"/>
      <c r="E265" s="67"/>
      <c r="F265" s="67"/>
      <c r="G265" s="62" t="s">
        <v>339</v>
      </c>
      <c r="H265" s="80">
        <v>30000.0</v>
      </c>
      <c r="I265" s="77"/>
      <c r="J265" s="78" t="s">
        <v>16</v>
      </c>
      <c r="K265" s="79">
        <f t="shared" si="79"/>
        <v>30000</v>
      </c>
      <c r="L265" s="79">
        <f t="shared" si="80"/>
        <v>30000</v>
      </c>
      <c r="M265" s="77"/>
      <c r="N265" s="67"/>
      <c r="O265" s="82"/>
      <c r="P265" s="67"/>
      <c r="Q265" s="67"/>
      <c r="R265" s="67"/>
      <c r="S265" s="67"/>
      <c r="T265" s="67"/>
      <c r="U265" s="67"/>
      <c r="V265" s="67"/>
      <c r="W265" s="1"/>
      <c r="X265" s="1"/>
      <c r="Y265" s="1"/>
      <c r="Z265" s="1"/>
      <c r="AA265" s="1"/>
      <c r="AB265" s="1"/>
      <c r="AC265" s="1"/>
      <c r="AD265" s="1"/>
      <c r="AE265" s="1"/>
    </row>
    <row r="266">
      <c r="A266" s="67"/>
      <c r="B266" s="67"/>
      <c r="C266" s="75"/>
      <c r="D266" s="76"/>
      <c r="E266" s="75"/>
      <c r="F266" s="76"/>
      <c r="G266" s="67"/>
      <c r="H266" s="79"/>
      <c r="I266" s="77"/>
      <c r="J266" s="83" t="s">
        <v>125</v>
      </c>
      <c r="K266" s="92">
        <f t="shared" ref="K266:L266" si="81">SUM(K251:K265)</f>
        <v>1895600</v>
      </c>
      <c r="L266" s="83">
        <f t="shared" si="81"/>
        <v>2875600</v>
      </c>
      <c r="M266" s="77"/>
      <c r="N266" s="67"/>
      <c r="O266" s="82"/>
      <c r="P266" s="67"/>
      <c r="Q266" s="67"/>
      <c r="R266" s="67"/>
      <c r="S266" s="67"/>
      <c r="T266" s="67"/>
      <c r="U266" s="67"/>
      <c r="V266" s="67"/>
      <c r="W266" s="1"/>
      <c r="X266" s="1"/>
      <c r="Y266" s="1"/>
      <c r="Z266" s="1"/>
      <c r="AA266" s="1"/>
      <c r="AB266" s="1"/>
      <c r="AC266" s="1"/>
      <c r="AD266" s="1"/>
      <c r="AE266" s="1"/>
    </row>
    <row r="267">
      <c r="A267" s="13" t="s">
        <v>374</v>
      </c>
      <c r="B267" s="1"/>
      <c r="C267" s="52"/>
      <c r="D267" s="52"/>
      <c r="E267" s="125"/>
      <c r="F267" s="52"/>
      <c r="G267" s="1"/>
      <c r="H267" s="2"/>
      <c r="I267" s="3"/>
      <c r="J267" s="3"/>
      <c r="K267" s="2"/>
      <c r="L267" s="2">
        <f>L266-L257</f>
        <v>1875600</v>
      </c>
      <c r="M267" s="2"/>
      <c r="N267" s="1"/>
      <c r="O267" s="4"/>
      <c r="P267" s="1"/>
      <c r="Q267" s="1"/>
      <c r="R267" s="1"/>
      <c r="S267" s="67"/>
      <c r="T267" s="67"/>
      <c r="U267" s="67"/>
      <c r="V267" s="67"/>
      <c r="W267" s="1"/>
      <c r="X267" s="1"/>
      <c r="Y267" s="1"/>
      <c r="Z267" s="1"/>
      <c r="AA267" s="1"/>
      <c r="AB267" s="1"/>
      <c r="AC267" s="1"/>
      <c r="AD267" s="1"/>
      <c r="AE267" s="1"/>
    </row>
    <row r="268">
      <c r="A268" s="30" t="s">
        <v>285</v>
      </c>
      <c r="B268" s="28"/>
      <c r="C268" s="28"/>
      <c r="D268" s="28"/>
      <c r="E268" s="28"/>
      <c r="F268" s="28"/>
      <c r="G268" s="28"/>
      <c r="H268" s="64"/>
      <c r="I268" s="40"/>
      <c r="J268" s="40"/>
      <c r="K268" s="64"/>
      <c r="L268" s="40"/>
      <c r="M268" s="28"/>
      <c r="N268" s="64">
        <f t="shared" ref="N268:N271" si="82">L268*H268</f>
        <v>0</v>
      </c>
      <c r="O268" s="131"/>
      <c r="P268" s="113"/>
      <c r="Q268" s="113"/>
      <c r="R268" s="1"/>
      <c r="S268" s="67"/>
      <c r="T268" s="67"/>
      <c r="U268" s="67"/>
      <c r="V268" s="67"/>
      <c r="W268" s="1"/>
      <c r="X268" s="1"/>
      <c r="Y268" s="1"/>
      <c r="Z268" s="1"/>
      <c r="AA268" s="1"/>
      <c r="AB268" s="1"/>
      <c r="AC268" s="1"/>
      <c r="AD268" s="1"/>
      <c r="AE268" s="1"/>
    </row>
    <row r="269">
      <c r="A269" s="97" t="s">
        <v>16</v>
      </c>
      <c r="B269" s="62" t="s">
        <v>170</v>
      </c>
      <c r="C269" s="94" t="str">
        <f>VLOOKUP($B269,'Rate card'!$A$4:$G285,2,FALSE)</f>
        <v>Carpentry</v>
      </c>
      <c r="D269" s="94" t="str">
        <f>VLOOKUP($B269,'Rate card'!$A$4:$G285,3,FALSE)</f>
        <v>Carcass Storage</v>
      </c>
      <c r="E269" s="94" t="str">
        <f>VLOOKUP($B269,'Rate card'!$A$4:$G285,4,FALSE)</f>
        <v>Laminate Finish</v>
      </c>
      <c r="F269" s="62" t="s">
        <v>375</v>
      </c>
      <c r="G269" s="94" t="str">
        <f>VLOOKUP($B269,'Rate card'!$A$4:$G285,6,FALSE)</f>
        <v>Sqft</v>
      </c>
      <c r="H269" s="94">
        <f>VLOOKUP($B269,'Rate card'!$A$4:$J285,8,FALSE)</f>
        <v>1800</v>
      </c>
      <c r="I269" s="78"/>
      <c r="J269" s="78" t="s">
        <v>107</v>
      </c>
      <c r="K269" s="79">
        <f>H269*J269</f>
        <v>27000</v>
      </c>
      <c r="L269" s="78" t="s">
        <v>107</v>
      </c>
      <c r="M269" s="67"/>
      <c r="N269" s="67">
        <f t="shared" si="82"/>
        <v>27000</v>
      </c>
      <c r="O269" s="27"/>
      <c r="P269" s="13"/>
      <c r="Q269" s="13" t="s">
        <v>279</v>
      </c>
      <c r="R269" s="1"/>
      <c r="S269" s="67">
        <f>N269</f>
        <v>27000</v>
      </c>
      <c r="T269" s="67"/>
      <c r="U269" s="67"/>
      <c r="V269" s="67"/>
      <c r="W269" s="1"/>
      <c r="X269" s="1"/>
      <c r="Y269" s="1"/>
      <c r="Z269" s="1"/>
      <c r="AA269" s="1"/>
      <c r="AB269" s="1"/>
      <c r="AC269" s="1"/>
      <c r="AD269" s="1"/>
      <c r="AE269" s="1"/>
    </row>
    <row r="270">
      <c r="A270" s="30" t="s">
        <v>376</v>
      </c>
      <c r="B270" s="28"/>
      <c r="C270" s="28"/>
      <c r="D270" s="28"/>
      <c r="E270" s="28"/>
      <c r="F270" s="28"/>
      <c r="G270" s="28"/>
      <c r="H270" s="64"/>
      <c r="I270" s="40"/>
      <c r="J270" s="40"/>
      <c r="K270" s="64"/>
      <c r="L270" s="40"/>
      <c r="M270" s="28"/>
      <c r="N270" s="64">
        <f t="shared" si="82"/>
        <v>0</v>
      </c>
      <c r="O270" s="131"/>
      <c r="P270" s="113"/>
      <c r="Q270" s="113"/>
      <c r="R270" s="1"/>
      <c r="S270" s="67"/>
      <c r="T270" s="67"/>
      <c r="U270" s="67"/>
      <c r="V270" s="67"/>
      <c r="W270" s="1"/>
      <c r="X270" s="1"/>
      <c r="Y270" s="1"/>
      <c r="Z270" s="1"/>
      <c r="AA270" s="1"/>
      <c r="AB270" s="1"/>
      <c r="AC270" s="1"/>
      <c r="AD270" s="1"/>
      <c r="AE270" s="1"/>
    </row>
    <row r="271">
      <c r="A271" s="97" t="s">
        <v>16</v>
      </c>
      <c r="B271" s="62" t="s">
        <v>170</v>
      </c>
      <c r="C271" s="94" t="str">
        <f>VLOOKUP($B271,'Rate card'!$A$4:$G285,2,FALSE)</f>
        <v>Carpentry</v>
      </c>
      <c r="D271" s="94" t="str">
        <f>VLOOKUP($B271,'Rate card'!$A$4:$G285,3,FALSE)</f>
        <v>Carcass Storage</v>
      </c>
      <c r="E271" s="94" t="str">
        <f>VLOOKUP($B271,'Rate card'!$A$4:$G285,4,FALSE)</f>
        <v>Laminate Finish</v>
      </c>
      <c r="F271" s="62" t="s">
        <v>375</v>
      </c>
      <c r="G271" s="94" t="str">
        <f>VLOOKUP($B271,'Rate card'!$A$4:$G285,6,FALSE)</f>
        <v>Sqft</v>
      </c>
      <c r="H271" s="94">
        <f>VLOOKUP($B271,'Rate card'!$A$4:$J285,8,FALSE)</f>
        <v>1800</v>
      </c>
      <c r="I271" s="78"/>
      <c r="J271" s="78" t="s">
        <v>107</v>
      </c>
      <c r="K271" s="79">
        <f>H271*J271</f>
        <v>27000</v>
      </c>
      <c r="L271" s="78" t="s">
        <v>107</v>
      </c>
      <c r="M271" s="67"/>
      <c r="N271" s="67">
        <f t="shared" si="82"/>
        <v>27000</v>
      </c>
      <c r="O271" s="27"/>
      <c r="P271" s="13"/>
      <c r="Q271" s="13" t="s">
        <v>279</v>
      </c>
      <c r="R271" s="1"/>
      <c r="S271" s="67">
        <f>N271</f>
        <v>27000</v>
      </c>
      <c r="T271" s="67"/>
      <c r="U271" s="67"/>
      <c r="V271" s="67"/>
      <c r="W271" s="1"/>
      <c r="X271" s="1"/>
      <c r="Y271" s="1"/>
      <c r="Z271" s="1"/>
      <c r="AA271" s="1"/>
      <c r="AB271" s="1"/>
      <c r="AC271" s="1"/>
      <c r="AD271" s="1"/>
      <c r="AE271" s="1"/>
    </row>
    <row r="272">
      <c r="A272" s="132" t="s">
        <v>377</v>
      </c>
      <c r="B272" s="133"/>
      <c r="C272" s="134"/>
      <c r="D272" s="134"/>
      <c r="E272" s="134"/>
      <c r="F272" s="134"/>
      <c r="G272" s="133"/>
      <c r="H272" s="135"/>
      <c r="I272" s="136"/>
      <c r="J272" s="136"/>
      <c r="K272" s="135"/>
      <c r="L272" s="137"/>
      <c r="M272" s="135"/>
      <c r="N272" s="138"/>
      <c r="O272" s="4"/>
      <c r="P272" s="1"/>
      <c r="Q272" s="1"/>
      <c r="R272" s="1"/>
      <c r="S272" s="67"/>
      <c r="T272" s="67"/>
      <c r="U272" s="67"/>
      <c r="V272" s="67"/>
      <c r="W272" s="1"/>
      <c r="X272" s="1"/>
      <c r="Y272" s="1"/>
      <c r="Z272" s="1"/>
      <c r="AA272" s="1"/>
      <c r="AB272" s="1"/>
      <c r="AC272" s="1"/>
      <c r="AD272" s="1"/>
      <c r="AE272" s="1"/>
    </row>
    <row r="273">
      <c r="A273" s="1"/>
      <c r="B273" s="1"/>
      <c r="C273" s="94" t="s">
        <v>31</v>
      </c>
      <c r="D273" s="125" t="s">
        <v>378</v>
      </c>
      <c r="E273" s="125"/>
      <c r="F273" s="125" t="s">
        <v>379</v>
      </c>
      <c r="G273" s="94" t="str">
        <f>G271</f>
        <v>Sqft</v>
      </c>
      <c r="H273" s="123">
        <v>320.0</v>
      </c>
      <c r="I273" s="3"/>
      <c r="J273" s="50" t="s">
        <v>111</v>
      </c>
      <c r="K273" s="2">
        <f>J273*H273</f>
        <v>48000</v>
      </c>
      <c r="L273" s="50"/>
      <c r="M273" s="2"/>
      <c r="N273" s="2">
        <f>K273</f>
        <v>48000</v>
      </c>
      <c r="O273" s="139" t="s">
        <v>380</v>
      </c>
      <c r="P273" s="92">
        <f>SUM(P26:P272)</f>
        <v>6589526.25</v>
      </c>
      <c r="Q273" s="1"/>
      <c r="R273" s="1"/>
      <c r="S273" s="67"/>
      <c r="T273" s="67"/>
      <c r="U273" s="79">
        <f>N273</f>
        <v>48000</v>
      </c>
      <c r="V273" s="67"/>
      <c r="W273" s="1"/>
      <c r="X273" s="1"/>
      <c r="Y273" s="1"/>
      <c r="Z273" s="1"/>
      <c r="AA273" s="1"/>
      <c r="AB273" s="1"/>
      <c r="AC273" s="1"/>
      <c r="AD273" s="1"/>
      <c r="AE273" s="1"/>
    </row>
    <row r="274">
      <c r="A274" s="140" t="s">
        <v>246</v>
      </c>
      <c r="B274" s="141"/>
      <c r="C274" s="142"/>
      <c r="D274" s="142"/>
      <c r="E274" s="142"/>
      <c r="F274" s="142"/>
      <c r="G274" s="142"/>
      <c r="H274" s="143"/>
      <c r="I274" s="144"/>
      <c r="J274" s="144"/>
      <c r="K274" s="143"/>
      <c r="L274" s="143"/>
      <c r="M274" s="144"/>
      <c r="N274" s="141"/>
      <c r="O274" s="145"/>
      <c r="P274" s="146">
        <f t="shared" ref="P274:P275" si="83">O274*N274</f>
        <v>0</v>
      </c>
      <c r="Q274" s="141"/>
      <c r="R274" s="141"/>
      <c r="S274" s="147"/>
      <c r="T274" s="147"/>
      <c r="U274" s="147"/>
      <c r="V274" s="147"/>
      <c r="W274" s="148"/>
      <c r="X274" s="148"/>
      <c r="Y274" s="148"/>
      <c r="Z274" s="148"/>
      <c r="AA274" s="148"/>
      <c r="AB274" s="148"/>
      <c r="AC274" s="148"/>
      <c r="AD274" s="148"/>
      <c r="AE274" s="148"/>
    </row>
    <row r="275">
      <c r="A275" s="149" t="s">
        <v>16</v>
      </c>
      <c r="B275" s="150" t="s">
        <v>179</v>
      </c>
      <c r="C275" s="151" t="str">
        <f>VLOOKUP($B275,'Rate card'!$A$4:$G285,2,FALSE)</f>
        <v>Carpentry</v>
      </c>
      <c r="D275" s="151" t="str">
        <f>VLOOKUP($B275,'Rate card'!$A$4:$G285,3,FALSE)</f>
        <v>Panelling with framing</v>
      </c>
      <c r="E275" s="151" t="s">
        <v>259</v>
      </c>
      <c r="F275" s="151" t="str">
        <f>VLOOKUP($B275,'Rate card'!$A$4:$G285,5,FALSE)</f>
        <v>MR ply + ply framing + 12mm MDF</v>
      </c>
      <c r="G275" s="151" t="str">
        <f>VLOOKUP($B275,'Rate card'!$A$4:$G285,6,FALSE)</f>
        <v>Sqft</v>
      </c>
      <c r="H275" s="152">
        <v>1500.0</v>
      </c>
      <c r="I275" s="153"/>
      <c r="J275" s="154">
        <f>12*2.5</f>
        <v>30</v>
      </c>
      <c r="K275" s="155">
        <f>H275*J275</f>
        <v>45000</v>
      </c>
      <c r="L275" s="156" t="s">
        <v>381</v>
      </c>
      <c r="M275" s="157"/>
      <c r="N275" s="155">
        <f>L275*H275</f>
        <v>142500</v>
      </c>
      <c r="O275" s="158">
        <v>0.6</v>
      </c>
      <c r="P275" s="146">
        <f t="shared" si="83"/>
        <v>85500</v>
      </c>
      <c r="Q275" s="71" t="s">
        <v>260</v>
      </c>
      <c r="R275" s="147"/>
      <c r="S275" s="147"/>
      <c r="T275" s="147"/>
      <c r="U275" s="147"/>
      <c r="V275" s="155">
        <f>N275</f>
        <v>142500</v>
      </c>
      <c r="W275" s="148"/>
      <c r="X275" s="148"/>
      <c r="Y275" s="148"/>
      <c r="Z275" s="148"/>
      <c r="AA275" s="148"/>
      <c r="AB275" s="148"/>
      <c r="AC275" s="148"/>
      <c r="AD275" s="148"/>
      <c r="AE275" s="148"/>
    </row>
    <row r="276">
      <c r="A276" s="1"/>
      <c r="B276" s="1"/>
      <c r="C276" s="124"/>
      <c r="D276" s="125"/>
      <c r="E276" s="125"/>
      <c r="F276" s="125"/>
      <c r="G276" s="124"/>
      <c r="H276" s="123"/>
      <c r="I276" s="3"/>
      <c r="J276" s="50"/>
      <c r="K276" s="2"/>
      <c r="L276" s="122" t="s">
        <v>125</v>
      </c>
      <c r="M276" s="2"/>
      <c r="N276" s="118">
        <f>SUM(N269:N275)</f>
        <v>244500</v>
      </c>
      <c r="O276" s="21"/>
      <c r="P276" s="118"/>
      <c r="Q276" s="1"/>
      <c r="R276" s="1"/>
      <c r="S276" s="67"/>
      <c r="T276" s="67"/>
      <c r="U276" s="67"/>
      <c r="V276" s="67"/>
      <c r="W276" s="1"/>
      <c r="X276" s="1"/>
      <c r="Y276" s="1"/>
      <c r="Z276" s="1"/>
      <c r="AA276" s="1"/>
      <c r="AB276" s="1"/>
      <c r="AC276" s="1"/>
      <c r="AD276" s="1"/>
      <c r="AE276" s="1"/>
    </row>
    <row r="277">
      <c r="A277" s="1"/>
      <c r="B277" s="1"/>
      <c r="C277" s="125"/>
      <c r="D277" s="52"/>
      <c r="E277" s="125"/>
      <c r="F277" s="52"/>
      <c r="G277" s="1"/>
      <c r="H277" s="2"/>
      <c r="I277" s="3"/>
      <c r="J277" s="3"/>
      <c r="K277" s="2"/>
      <c r="L277" s="50"/>
      <c r="M277" s="2"/>
      <c r="N277" s="1"/>
      <c r="O277" s="4"/>
      <c r="P277" s="1"/>
      <c r="Q277" s="1"/>
      <c r="R277" s="1"/>
      <c r="S277" s="139" t="s">
        <v>147</v>
      </c>
      <c r="T277" s="139" t="s">
        <v>147</v>
      </c>
      <c r="U277" s="139" t="s">
        <v>147</v>
      </c>
      <c r="V277" s="139" t="s">
        <v>147</v>
      </c>
      <c r="W277" s="1"/>
      <c r="X277" s="1"/>
      <c r="Y277" s="1"/>
      <c r="Z277" s="1"/>
      <c r="AA277" s="1"/>
      <c r="AB277" s="1"/>
      <c r="AC277" s="1"/>
      <c r="AD277" s="1"/>
      <c r="AE277" s="1"/>
    </row>
    <row r="278">
      <c r="A278" s="1"/>
      <c r="B278" s="1"/>
      <c r="C278" s="52"/>
      <c r="D278" s="52"/>
      <c r="E278" s="125"/>
      <c r="F278" s="52"/>
      <c r="G278" s="1"/>
      <c r="H278" s="2"/>
      <c r="I278" s="3"/>
      <c r="J278" s="3"/>
      <c r="K278" s="2"/>
      <c r="L278" s="50"/>
      <c r="M278" s="2"/>
      <c r="N278" s="1"/>
      <c r="O278" s="4"/>
      <c r="P278" s="1"/>
      <c r="Q278" s="1"/>
      <c r="R278" s="1"/>
      <c r="S278" s="67">
        <f t="shared" ref="S278:U278" si="84">SUM(S30:S273)</f>
        <v>362500</v>
      </c>
      <c r="T278" s="67">
        <f t="shared" si="84"/>
        <v>1347150</v>
      </c>
      <c r="U278" s="67">
        <f t="shared" si="84"/>
        <v>3454400</v>
      </c>
      <c r="V278" s="67">
        <f>SUM(V30:V275)</f>
        <v>501000</v>
      </c>
      <c r="W278" s="1"/>
      <c r="X278" s="1"/>
      <c r="Y278" s="1"/>
      <c r="Z278" s="1"/>
      <c r="AA278" s="1"/>
      <c r="AB278" s="1"/>
      <c r="AC278" s="1"/>
      <c r="AD278" s="1"/>
      <c r="AE278" s="1"/>
    </row>
    <row r="279">
      <c r="A279" s="1"/>
      <c r="B279" s="1"/>
      <c r="C279" s="52"/>
      <c r="D279" s="52"/>
      <c r="E279" s="125"/>
      <c r="F279" s="52"/>
      <c r="G279" s="1"/>
      <c r="H279" s="2"/>
      <c r="I279" s="3"/>
      <c r="J279" s="3"/>
      <c r="K279" s="2"/>
      <c r="L279" s="50"/>
      <c r="M279" s="2"/>
      <c r="N279" s="1"/>
      <c r="O279" s="4"/>
      <c r="P279" s="1"/>
      <c r="Q279" s="1"/>
      <c r="R279" s="1"/>
      <c r="S279" s="1"/>
      <c r="T279" s="1"/>
      <c r="U279" s="1"/>
      <c r="V279" s="1"/>
      <c r="W279" s="1"/>
      <c r="X279" s="1"/>
      <c r="Y279" s="1"/>
      <c r="Z279" s="1"/>
      <c r="AA279" s="1"/>
      <c r="AB279" s="1"/>
      <c r="AC279" s="1"/>
      <c r="AD279" s="1"/>
      <c r="AE279" s="1"/>
    </row>
    <row r="280">
      <c r="A280" s="1"/>
      <c r="B280" s="1"/>
      <c r="C280" s="52"/>
      <c r="D280" s="52"/>
      <c r="E280" s="125"/>
      <c r="F280" s="52"/>
      <c r="G280" s="1"/>
      <c r="H280" s="2"/>
      <c r="I280" s="3"/>
      <c r="J280" s="3"/>
      <c r="K280" s="2"/>
      <c r="L280" s="50"/>
      <c r="M280" s="2"/>
      <c r="N280" s="1"/>
      <c r="O280" s="4"/>
      <c r="P280" s="1"/>
      <c r="Q280" s="1"/>
      <c r="R280" s="1"/>
      <c r="S280" s="1"/>
      <c r="T280" s="1"/>
      <c r="U280" s="1"/>
      <c r="V280" s="1"/>
      <c r="W280" s="1"/>
      <c r="X280" s="1"/>
      <c r="Y280" s="1"/>
      <c r="Z280" s="1"/>
      <c r="AA280" s="1"/>
      <c r="AB280" s="1"/>
      <c r="AC280" s="1"/>
      <c r="AD280" s="1"/>
      <c r="AE280" s="1"/>
    </row>
    <row r="281">
      <c r="A281" s="1"/>
      <c r="B281" s="1"/>
      <c r="C281" s="52"/>
      <c r="D281" s="52"/>
      <c r="E281" s="125"/>
      <c r="F281" s="52"/>
      <c r="G281" s="1"/>
      <c r="H281" s="2"/>
      <c r="I281" s="3"/>
      <c r="J281" s="3"/>
      <c r="K281" s="2"/>
      <c r="L281" s="50"/>
      <c r="M281" s="2"/>
      <c r="N281" s="1"/>
      <c r="O281" s="4"/>
      <c r="P281" s="1"/>
      <c r="Q281" s="1"/>
      <c r="R281" s="1"/>
      <c r="S281" s="1"/>
      <c r="T281" s="1"/>
      <c r="U281" s="1"/>
      <c r="V281" s="1"/>
      <c r="W281" s="1"/>
      <c r="X281" s="1"/>
      <c r="Y281" s="1"/>
      <c r="Z281" s="1"/>
      <c r="AA281" s="1"/>
      <c r="AB281" s="1"/>
      <c r="AC281" s="1"/>
      <c r="AD281" s="1"/>
      <c r="AE281" s="1"/>
    </row>
    <row r="282">
      <c r="A282" s="1"/>
      <c r="B282" s="1"/>
      <c r="C282" s="52"/>
      <c r="D282" s="52"/>
      <c r="E282" s="52"/>
      <c r="F282" s="52"/>
      <c r="G282" s="1"/>
      <c r="H282" s="123"/>
      <c r="I282" s="50"/>
      <c r="J282" s="50"/>
      <c r="K282" s="123"/>
      <c r="L282" s="50"/>
      <c r="M282" s="123"/>
      <c r="N282" s="1"/>
      <c r="O282" s="4"/>
      <c r="P282" s="1"/>
      <c r="Q282" s="1"/>
      <c r="R282" s="1"/>
      <c r="S282" s="1"/>
      <c r="T282" s="1"/>
      <c r="U282" s="1"/>
      <c r="V282" s="1"/>
      <c r="W282" s="1"/>
      <c r="X282" s="1"/>
      <c r="Y282" s="1"/>
      <c r="Z282" s="1"/>
      <c r="AA282" s="1"/>
      <c r="AB282" s="1"/>
      <c r="AC282" s="1"/>
      <c r="AD282" s="1"/>
      <c r="AE282" s="1"/>
    </row>
    <row r="283">
      <c r="A283" s="1"/>
      <c r="B283" s="1"/>
      <c r="C283" s="52"/>
      <c r="D283" s="52"/>
      <c r="E283" s="52"/>
      <c r="F283" s="52"/>
      <c r="G283" s="1"/>
      <c r="H283" s="123"/>
      <c r="I283" s="50"/>
      <c r="J283" s="50"/>
      <c r="K283" s="123"/>
      <c r="L283" s="50"/>
      <c r="M283" s="123"/>
      <c r="N283" s="1"/>
      <c r="O283" s="4"/>
      <c r="P283" s="1"/>
      <c r="Q283" s="1"/>
      <c r="R283" s="1"/>
      <c r="S283" s="1"/>
      <c r="T283" s="1"/>
      <c r="U283" s="1"/>
      <c r="V283" s="1"/>
      <c r="W283" s="1"/>
      <c r="X283" s="1"/>
      <c r="Y283" s="1"/>
      <c r="Z283" s="1"/>
      <c r="AA283" s="1"/>
      <c r="AB283" s="1"/>
      <c r="AC283" s="1"/>
      <c r="AD283" s="1"/>
      <c r="AE283" s="1"/>
    </row>
    <row r="284">
      <c r="A284" s="1"/>
      <c r="B284" s="1"/>
      <c r="C284" s="52"/>
      <c r="D284" s="52"/>
      <c r="E284" s="52"/>
      <c r="F284" s="52"/>
      <c r="G284" s="1"/>
      <c r="H284" s="123"/>
      <c r="I284" s="50"/>
      <c r="J284" s="50"/>
      <c r="K284" s="123"/>
      <c r="L284" s="50"/>
      <c r="M284" s="123"/>
      <c r="N284" s="1"/>
      <c r="O284" s="4"/>
      <c r="P284" s="1"/>
      <c r="Q284" s="1"/>
      <c r="R284" s="1"/>
      <c r="S284" s="1"/>
      <c r="T284" s="1"/>
      <c r="U284" s="1"/>
      <c r="V284" s="1"/>
      <c r="W284" s="1"/>
      <c r="X284" s="1"/>
      <c r="Y284" s="1"/>
      <c r="Z284" s="1"/>
      <c r="AA284" s="1"/>
      <c r="AB284" s="1"/>
      <c r="AC284" s="1"/>
      <c r="AD284" s="1"/>
      <c r="AE284" s="1"/>
    </row>
    <row r="285">
      <c r="A285" s="1"/>
      <c r="B285" s="1"/>
      <c r="C285" s="52"/>
      <c r="D285" s="52"/>
      <c r="E285" s="52"/>
      <c r="F285" s="52"/>
      <c r="G285" s="1"/>
      <c r="H285" s="123"/>
      <c r="I285" s="50"/>
      <c r="J285" s="50"/>
      <c r="K285" s="123"/>
      <c r="L285" s="50"/>
      <c r="M285" s="123"/>
      <c r="N285" s="1"/>
      <c r="O285" s="4"/>
      <c r="P285" s="1"/>
      <c r="Q285" s="1"/>
      <c r="R285" s="1"/>
      <c r="S285" s="1"/>
      <c r="T285" s="1"/>
      <c r="U285" s="1"/>
      <c r="V285" s="1"/>
      <c r="W285" s="1"/>
      <c r="X285" s="1"/>
      <c r="Y285" s="1"/>
      <c r="Z285" s="1"/>
      <c r="AA285" s="1"/>
      <c r="AB285" s="1"/>
      <c r="AC285" s="1"/>
      <c r="AD285" s="1"/>
      <c r="AE285" s="1"/>
    </row>
  </sheetData>
  <mergeCells count="23">
    <mergeCell ref="A2:N4"/>
    <mergeCell ref="B6:D6"/>
    <mergeCell ref="F6:N6"/>
    <mergeCell ref="B7:D7"/>
    <mergeCell ref="F7:N7"/>
    <mergeCell ref="B8:D8"/>
    <mergeCell ref="F8:N8"/>
    <mergeCell ref="F15:G15"/>
    <mergeCell ref="F16:H16"/>
    <mergeCell ref="L257:L258"/>
    <mergeCell ref="B17:C17"/>
    <mergeCell ref="B18:C18"/>
    <mergeCell ref="B19:C19"/>
    <mergeCell ref="B20:C20"/>
    <mergeCell ref="B21:C21"/>
    <mergeCell ref="B22:C22"/>
    <mergeCell ref="A10:D10"/>
    <mergeCell ref="B11:C11"/>
    <mergeCell ref="B12:C12"/>
    <mergeCell ref="B13:C13"/>
    <mergeCell ref="B14:C14"/>
    <mergeCell ref="B15:C15"/>
    <mergeCell ref="B16:C16"/>
  </mergeCells>
  <dataValidations>
    <dataValidation type="list" allowBlank="1" showDropDown="1" showErrorMessage="1" sqref="B26:B36 B39:B46 B51:B52 B57:B61 B65:B79 B81:B85 B87 B89:B91 B93:B101 B103:B114 B116:B127 B129:B139 B141:B143 B145:B147 B149:B151 B153:B155 B157:B158 B164:B168 B171:B173 B182:B183 B185:B187 B189 B191:B193 B195 B197 B269 B271 B275">
      <formula1>'Rate card'!$A$4:$A285</formula1>
    </dataValidation>
  </dataValidations>
  <hyperlinks>
    <hyperlink r:id="rId1" ref="F10"/>
    <hyperlink r:id="rId2" ref="A12"/>
    <hyperlink r:id="rId3" ref="A24"/>
  </hyperlinks>
  <printOptions horizontalCentered="1"/>
  <pageMargins bottom="0.75" footer="0.0" header="0.0" left="0.25" right="0.25" top="0.75"/>
  <pageSetup fitToHeight="0" paperSize="9" cellComments="atEnd"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6" max="6" width="28.63"/>
  </cols>
  <sheetData>
    <row r="1">
      <c r="E1" s="38"/>
      <c r="I1" s="38"/>
      <c r="M1" s="38"/>
    </row>
    <row r="2">
      <c r="A2" s="5"/>
      <c r="B2" s="6"/>
      <c r="C2" s="6"/>
      <c r="D2" s="6"/>
      <c r="E2" s="6"/>
      <c r="F2" s="6"/>
      <c r="G2" s="6"/>
      <c r="H2" s="6"/>
      <c r="I2" s="6"/>
      <c r="J2" s="6"/>
      <c r="K2" s="6"/>
      <c r="L2" s="6"/>
      <c r="M2" s="6"/>
      <c r="N2" s="7"/>
      <c r="O2" s="67"/>
      <c r="P2" s="67"/>
      <c r="Q2" s="67"/>
      <c r="R2" s="67"/>
      <c r="S2" s="67"/>
      <c r="T2" s="67"/>
      <c r="U2" s="67"/>
      <c r="V2" s="67"/>
      <c r="W2" s="67"/>
      <c r="X2" s="67"/>
      <c r="Y2" s="67"/>
      <c r="Z2" s="1"/>
      <c r="AA2" s="1"/>
      <c r="AB2" s="1"/>
      <c r="AC2" s="1"/>
    </row>
    <row r="3">
      <c r="A3" s="8"/>
      <c r="N3" s="9"/>
      <c r="O3" s="67"/>
      <c r="P3" s="67"/>
      <c r="Q3" s="67"/>
      <c r="R3" s="67"/>
      <c r="S3" s="67"/>
      <c r="T3" s="67"/>
      <c r="U3" s="67"/>
      <c r="V3" s="67"/>
      <c r="W3" s="67"/>
      <c r="X3" s="67"/>
      <c r="Y3" s="67"/>
      <c r="Z3" s="1"/>
      <c r="AA3" s="1"/>
      <c r="AB3" s="1"/>
      <c r="AC3" s="1"/>
    </row>
    <row r="4">
      <c r="A4" s="10"/>
      <c r="B4" s="11"/>
      <c r="C4" s="11"/>
      <c r="D4" s="11"/>
      <c r="E4" s="11"/>
      <c r="F4" s="11"/>
      <c r="G4" s="11"/>
      <c r="H4" s="11"/>
      <c r="I4" s="11"/>
      <c r="J4" s="11"/>
      <c r="K4" s="11"/>
      <c r="L4" s="11"/>
      <c r="M4" s="11"/>
      <c r="N4" s="12"/>
      <c r="O4" s="67"/>
      <c r="P4" s="67"/>
      <c r="Q4" s="62"/>
      <c r="R4" s="62"/>
      <c r="S4" s="67"/>
      <c r="T4" s="67"/>
      <c r="U4" s="67"/>
      <c r="V4" s="67"/>
      <c r="W4" s="67"/>
      <c r="X4" s="67"/>
      <c r="Y4" s="67"/>
      <c r="Z4" s="1"/>
      <c r="AA4" s="1"/>
      <c r="AB4" s="1"/>
      <c r="AC4" s="1"/>
    </row>
    <row r="5">
      <c r="A5" s="67"/>
      <c r="B5" s="67"/>
      <c r="C5" s="67"/>
      <c r="D5" s="67"/>
      <c r="E5" s="67"/>
      <c r="F5" s="67"/>
      <c r="G5" s="67"/>
      <c r="H5" s="79"/>
      <c r="I5" s="77"/>
      <c r="J5" s="77"/>
      <c r="K5" s="79"/>
      <c r="L5" s="79"/>
      <c r="M5" s="79"/>
      <c r="N5" s="67"/>
      <c r="O5" s="67"/>
      <c r="P5" s="67"/>
      <c r="Q5" s="67"/>
      <c r="R5" s="67"/>
      <c r="S5" s="67"/>
      <c r="T5" s="67"/>
      <c r="U5" s="67"/>
      <c r="V5" s="67"/>
      <c r="W5" s="67"/>
      <c r="X5" s="67"/>
      <c r="Y5" s="67"/>
      <c r="Z5" s="1"/>
      <c r="AA5" s="1"/>
      <c r="AB5" s="1"/>
      <c r="AC5" s="1"/>
    </row>
    <row r="6">
      <c r="A6" s="14" t="s">
        <v>2</v>
      </c>
      <c r="B6" s="15">
        <v>46029.0</v>
      </c>
      <c r="C6" s="16"/>
      <c r="D6" s="17"/>
      <c r="E6" s="14" t="s">
        <v>3</v>
      </c>
      <c r="F6" s="18" t="s">
        <v>382</v>
      </c>
      <c r="G6" s="16"/>
      <c r="H6" s="16"/>
      <c r="I6" s="16"/>
      <c r="J6" s="16"/>
      <c r="K6" s="16"/>
      <c r="L6" s="16"/>
      <c r="M6" s="16"/>
      <c r="N6" s="17"/>
      <c r="O6" s="67"/>
      <c r="P6" s="67"/>
      <c r="Q6" s="67"/>
      <c r="R6" s="67"/>
      <c r="S6" s="67"/>
      <c r="T6" s="67"/>
      <c r="U6" s="67"/>
      <c r="V6" s="67"/>
      <c r="W6" s="67"/>
      <c r="X6" s="67"/>
      <c r="Y6" s="67"/>
      <c r="Z6" s="1"/>
      <c r="AA6" s="1"/>
      <c r="AB6" s="1"/>
      <c r="AC6" s="1"/>
    </row>
    <row r="7">
      <c r="A7" s="14" t="s">
        <v>4</v>
      </c>
      <c r="B7" s="18" t="s">
        <v>5</v>
      </c>
      <c r="C7" s="16"/>
      <c r="D7" s="17"/>
      <c r="E7" s="159" t="s">
        <v>383</v>
      </c>
      <c r="F7" s="18" t="s">
        <v>384</v>
      </c>
      <c r="G7" s="16"/>
      <c r="H7" s="16"/>
      <c r="I7" s="16"/>
      <c r="J7" s="16"/>
      <c r="K7" s="16"/>
      <c r="L7" s="16"/>
      <c r="M7" s="16"/>
      <c r="N7" s="17"/>
      <c r="O7" s="67"/>
      <c r="P7" s="67"/>
      <c r="Q7" s="67"/>
      <c r="R7" s="67"/>
      <c r="S7" s="67"/>
      <c r="T7" s="67"/>
      <c r="U7" s="67"/>
      <c r="V7" s="67"/>
      <c r="W7" s="67"/>
      <c r="X7" s="67"/>
      <c r="Y7" s="67"/>
      <c r="Z7" s="1"/>
      <c r="AA7" s="1"/>
      <c r="AB7" s="1"/>
      <c r="AC7" s="1"/>
    </row>
    <row r="8">
      <c r="A8" s="14" t="s">
        <v>7</v>
      </c>
      <c r="B8" s="18" t="s">
        <v>8</v>
      </c>
      <c r="C8" s="16"/>
      <c r="D8" s="17"/>
      <c r="E8" s="14" t="s">
        <v>9</v>
      </c>
      <c r="F8" s="18"/>
      <c r="G8" s="16"/>
      <c r="H8" s="16"/>
      <c r="I8" s="16"/>
      <c r="J8" s="16"/>
      <c r="K8" s="16"/>
      <c r="L8" s="16"/>
      <c r="M8" s="16"/>
      <c r="N8" s="17"/>
      <c r="O8" s="67"/>
      <c r="P8" s="67"/>
      <c r="Q8" s="67"/>
      <c r="R8" s="67"/>
      <c r="S8" s="67"/>
      <c r="T8" s="67"/>
      <c r="U8" s="67"/>
      <c r="V8" s="67"/>
      <c r="W8" s="67"/>
      <c r="X8" s="67"/>
      <c r="Y8" s="67"/>
      <c r="Z8" s="1"/>
      <c r="AA8" s="1"/>
      <c r="AB8" s="1"/>
      <c r="AC8" s="1"/>
    </row>
    <row r="9">
      <c r="A9" s="160" t="s">
        <v>40</v>
      </c>
      <c r="B9" s="161" t="s">
        <v>41</v>
      </c>
      <c r="C9" s="161" t="s">
        <v>42</v>
      </c>
      <c r="D9" s="161" t="s">
        <v>43</v>
      </c>
      <c r="E9" s="161" t="s">
        <v>44</v>
      </c>
      <c r="F9" s="161" t="s">
        <v>45</v>
      </c>
      <c r="G9" s="161" t="s">
        <v>46</v>
      </c>
      <c r="H9" s="162" t="s">
        <v>47</v>
      </c>
      <c r="I9" s="163" t="s">
        <v>385</v>
      </c>
      <c r="J9" s="164" t="s">
        <v>386</v>
      </c>
      <c r="K9" s="162" t="s">
        <v>49</v>
      </c>
      <c r="L9" s="161" t="s">
        <v>14</v>
      </c>
      <c r="M9" s="161" t="s">
        <v>53</v>
      </c>
      <c r="N9" s="165" t="s">
        <v>387</v>
      </c>
      <c r="O9" s="148"/>
      <c r="P9" s="148"/>
      <c r="Q9" s="148"/>
      <c r="R9" s="148"/>
      <c r="S9" s="148"/>
      <c r="T9" s="148"/>
      <c r="U9" s="148"/>
      <c r="V9" s="148"/>
      <c r="W9" s="148"/>
      <c r="X9" s="148"/>
      <c r="Y9" s="148"/>
      <c r="Z9" s="148"/>
      <c r="AA9" s="148"/>
      <c r="AB9" s="148"/>
      <c r="AC9" s="148"/>
    </row>
    <row r="10">
      <c r="A10" s="140" t="s">
        <v>33</v>
      </c>
      <c r="B10" s="141"/>
      <c r="C10" s="141"/>
      <c r="D10" s="141"/>
      <c r="E10" s="166"/>
      <c r="F10" s="141"/>
      <c r="G10" s="141"/>
      <c r="H10" s="143"/>
      <c r="I10" s="167"/>
      <c r="J10" s="143"/>
      <c r="K10" s="168" t="s">
        <v>147</v>
      </c>
      <c r="L10" s="169"/>
      <c r="M10" s="166"/>
      <c r="N10" s="141"/>
      <c r="O10" s="148"/>
      <c r="P10" s="148"/>
      <c r="Q10" s="148"/>
      <c r="R10" s="148"/>
      <c r="S10" s="148"/>
      <c r="T10" s="148"/>
      <c r="U10" s="148"/>
      <c r="V10" s="148"/>
      <c r="W10" s="148"/>
      <c r="X10" s="148"/>
      <c r="Y10" s="148"/>
      <c r="Z10" s="148"/>
      <c r="AA10" s="148"/>
      <c r="AB10" s="148"/>
      <c r="AC10" s="148"/>
    </row>
    <row r="11">
      <c r="A11" s="170" t="s">
        <v>16</v>
      </c>
      <c r="B11" s="150" t="s">
        <v>297</v>
      </c>
      <c r="C11" s="154" t="str">
        <f>VLOOKUP($B11,'Rate card'!$A$4:$G1006,2,FALSE)</f>
        <v>Paint</v>
      </c>
      <c r="D11" s="154" t="str">
        <f>VLOOKUP($B11,'Rate card'!$A$4:$G1006,3,FALSE)</f>
        <v>Royal Shyne</v>
      </c>
      <c r="E11" s="154" t="str">
        <f>VLOOKUP($B11,'Rate card'!$A$4:$G1006,4,FALSE)</f>
        <v>2 Primer + 1 Putty + 2 RLE</v>
      </c>
      <c r="F11" s="154" t="str">
        <f>VLOOKUP($B11,'Rate card'!$A$4:$G1006,5,FALSE)</f>
        <v>Painting with royal Shyne on ceiling, to give an even shade – Two or more coats on new work including preparation of surface. (_putty+_primer+_paint) as per requirement</v>
      </c>
      <c r="G11" s="154" t="str">
        <f>VLOOKUP($B11,'Rate card'!$A$4:$G1006,6,FALSE)</f>
        <v>Sqft</v>
      </c>
      <c r="H11" s="150">
        <f>VLOOKUP($B11,'Rate card'!$A$4:$J1006,8,FALSE)</f>
        <v>42</v>
      </c>
      <c r="I11" s="156" t="s">
        <v>388</v>
      </c>
      <c r="J11" s="155">
        <f t="shared" ref="J11:J13" si="1">I11*K11</f>
        <v>63574</v>
      </c>
      <c r="K11" s="154" t="s">
        <v>146</v>
      </c>
      <c r="L11" s="150">
        <f t="shared" ref="L11:L15" si="2">K11*H11</f>
        <v>70266</v>
      </c>
      <c r="M11" s="71" t="s">
        <v>294</v>
      </c>
      <c r="N11" s="147"/>
      <c r="O11" s="148"/>
      <c r="P11" s="148"/>
      <c r="Q11" s="148"/>
      <c r="R11" s="148"/>
      <c r="S11" s="148"/>
      <c r="T11" s="148"/>
      <c r="U11" s="148"/>
      <c r="V11" s="148"/>
      <c r="W11" s="148"/>
      <c r="X11" s="148"/>
      <c r="Y11" s="148"/>
      <c r="Z11" s="148"/>
      <c r="AA11" s="148"/>
      <c r="AB11" s="148"/>
      <c r="AC11" s="148"/>
    </row>
    <row r="12">
      <c r="A12" s="170">
        <f t="shared" ref="A12:A14" si="3">A11+1</f>
        <v>2</v>
      </c>
      <c r="B12" s="150" t="s">
        <v>298</v>
      </c>
      <c r="C12" s="154" t="str">
        <f>VLOOKUP($B12,'Rate card'!$A$4:$G1006,2,FALSE)</f>
        <v>Paint</v>
      </c>
      <c r="D12" s="154" t="str">
        <f>VLOOKUP($B12,'Rate card'!$A$4:$G1006,3,FALSE)</f>
        <v>Royal Shyne</v>
      </c>
      <c r="E12" s="154" t="str">
        <f>VLOOKUP($B12,'Rate card'!$A$4:$G1006,4,FALSE)</f>
        <v>2 Primer + 1 Putty + 2 RLE</v>
      </c>
      <c r="F12" s="154" t="str">
        <f>VLOOKUP($B12,'Rate card'!$A$4:$G1006,5,FALSE)</f>
        <v>Painting with royal Shyne on walls, to give an even shade – Two or more coats on new work including preparation of surface. (_putty+_primer+_paint) as per requirement</v>
      </c>
      <c r="G12" s="154" t="str">
        <f>VLOOKUP($B12,'Rate card'!$A$4:$G1006,6,FALSE)</f>
        <v>Sqft</v>
      </c>
      <c r="H12" s="150">
        <f>VLOOKUP($B12,'Rate card'!$A$4:$J1006,8,FALSE)</f>
        <v>45</v>
      </c>
      <c r="I12" s="171">
        <v>38.0</v>
      </c>
      <c r="J12" s="155">
        <f t="shared" si="1"/>
        <v>158935</v>
      </c>
      <c r="K12" s="172">
        <f>1673*2.5</f>
        <v>4182.5</v>
      </c>
      <c r="L12" s="150">
        <f t="shared" si="2"/>
        <v>188212.5</v>
      </c>
      <c r="M12" s="71" t="s">
        <v>299</v>
      </c>
      <c r="N12" s="147"/>
      <c r="O12" s="148"/>
      <c r="P12" s="148"/>
      <c r="Q12" s="148"/>
      <c r="R12" s="148"/>
      <c r="S12" s="148"/>
      <c r="T12" s="148"/>
      <c r="U12" s="148"/>
      <c r="V12" s="148"/>
      <c r="W12" s="148"/>
      <c r="X12" s="148"/>
      <c r="Y12" s="148"/>
      <c r="Z12" s="148"/>
      <c r="AA12" s="148"/>
      <c r="AB12" s="148"/>
      <c r="AC12" s="148"/>
    </row>
    <row r="13">
      <c r="A13" s="170">
        <f t="shared" si="3"/>
        <v>3</v>
      </c>
      <c r="B13" s="150" t="s">
        <v>298</v>
      </c>
      <c r="C13" s="154" t="str">
        <f>VLOOKUP($B13,'Rate card'!$A$4:$G1006,2,FALSE)</f>
        <v>Paint</v>
      </c>
      <c r="D13" s="150" t="s">
        <v>300</v>
      </c>
      <c r="E13" s="154" t="str">
        <f>VLOOKUP($B13,'Rate card'!$A$4:$G1006,4,FALSE)</f>
        <v>2 Primer + 1 Putty + 2 RLE</v>
      </c>
      <c r="F13" s="154" t="str">
        <f>VLOOKUP($B13,'Rate card'!$A$4:$G1006,5,FALSE)</f>
        <v>Painting with royal Shyne on walls, to give an even shade – Two or more coats on new work including preparation of surface. (_putty+_primer+_paint) as per requirement</v>
      </c>
      <c r="G13" s="150" t="s">
        <v>185</v>
      </c>
      <c r="H13" s="150">
        <v>25000.0</v>
      </c>
      <c r="I13" s="171">
        <v>15000.0</v>
      </c>
      <c r="J13" s="155">
        <f t="shared" si="1"/>
        <v>15000</v>
      </c>
      <c r="K13" s="172">
        <v>1.0</v>
      </c>
      <c r="L13" s="150">
        <f t="shared" si="2"/>
        <v>25000</v>
      </c>
      <c r="M13" s="71" t="s">
        <v>299</v>
      </c>
      <c r="N13" s="147"/>
      <c r="O13" s="148"/>
      <c r="P13" s="148"/>
      <c r="Q13" s="148"/>
      <c r="R13" s="148"/>
      <c r="S13" s="148"/>
      <c r="T13" s="148"/>
      <c r="U13" s="148"/>
      <c r="V13" s="148"/>
      <c r="W13" s="148"/>
      <c r="X13" s="148"/>
      <c r="Y13" s="148"/>
      <c r="Z13" s="148"/>
      <c r="AA13" s="148"/>
      <c r="AB13" s="148"/>
      <c r="AC13" s="148"/>
    </row>
    <row r="14">
      <c r="A14" s="170">
        <f t="shared" si="3"/>
        <v>4</v>
      </c>
      <c r="B14" s="150" t="s">
        <v>298</v>
      </c>
      <c r="C14" s="154" t="str">
        <f>VLOOKUP($B14,'Rate card'!$A$4:$G1006,2,FALSE)</f>
        <v>Paint</v>
      </c>
      <c r="D14" s="154" t="str">
        <f>VLOOKUP($B14,'Rate card'!$A$4:$G1006,3,FALSE)</f>
        <v>Royal Shyne</v>
      </c>
      <c r="E14" s="154" t="str">
        <f>VLOOKUP($B14,'Rate card'!$A$4:$G1006,4,FALSE)</f>
        <v>2 Primer + 1 Putty + 2 RLE</v>
      </c>
      <c r="F14" s="154" t="str">
        <f>VLOOKUP($B14,'Rate card'!$A$4:$G1006,5,FALSE)</f>
        <v>Painting with royal Shyne on walls, to give an even shade – Two or more coats on new work including preparation of surface. (_putty+_primer+_paint) as per requirement</v>
      </c>
      <c r="G14" s="154" t="str">
        <f>VLOOKUP($B14,'Rate card'!$A$4:$G1006,6,FALSE)</f>
        <v>Sqft</v>
      </c>
      <c r="H14" s="150"/>
      <c r="I14" s="171">
        <v>19.0</v>
      </c>
      <c r="J14" s="155"/>
      <c r="K14" s="172"/>
      <c r="L14" s="150">
        <f t="shared" si="2"/>
        <v>0</v>
      </c>
      <c r="M14" s="72" t="s">
        <v>389</v>
      </c>
      <c r="N14" s="147"/>
      <c r="O14" s="148"/>
      <c r="P14" s="148"/>
      <c r="Q14" s="148"/>
      <c r="R14" s="148"/>
      <c r="S14" s="148"/>
      <c r="T14" s="148"/>
      <c r="U14" s="148"/>
      <c r="V14" s="148"/>
      <c r="W14" s="148"/>
      <c r="X14" s="148"/>
      <c r="Y14" s="148"/>
      <c r="Z14" s="148"/>
      <c r="AA14" s="148"/>
      <c r="AB14" s="148"/>
      <c r="AC14" s="148"/>
    </row>
    <row r="15">
      <c r="A15" s="170" t="s">
        <v>27</v>
      </c>
      <c r="B15" s="173"/>
      <c r="C15" s="154" t="s">
        <v>301</v>
      </c>
      <c r="D15" s="156" t="s">
        <v>390</v>
      </c>
      <c r="E15" s="174"/>
      <c r="F15" s="175"/>
      <c r="G15" s="154" t="s">
        <v>175</v>
      </c>
      <c r="H15" s="150">
        <v>350.0</v>
      </c>
      <c r="I15" s="176">
        <v>250.0</v>
      </c>
      <c r="J15" s="155">
        <f>I15*K15</f>
        <v>325000</v>
      </c>
      <c r="K15" s="177">
        <v>1300.0</v>
      </c>
      <c r="L15" s="150">
        <f t="shared" si="2"/>
        <v>455000</v>
      </c>
      <c r="M15" s="178" t="s">
        <v>391</v>
      </c>
      <c r="N15" s="173"/>
      <c r="O15" s="179"/>
      <c r="P15" s="179"/>
      <c r="Q15" s="179"/>
      <c r="R15" s="179"/>
      <c r="S15" s="179"/>
      <c r="T15" s="179"/>
      <c r="U15" s="179"/>
      <c r="V15" s="179"/>
      <c r="W15" s="179"/>
      <c r="X15" s="179"/>
      <c r="Y15" s="179"/>
      <c r="Z15" s="179"/>
      <c r="AA15" s="179"/>
      <c r="AB15" s="179"/>
      <c r="AC15" s="179"/>
    </row>
    <row r="16">
      <c r="A16" s="149" t="s">
        <v>30</v>
      </c>
      <c r="B16" s="173"/>
      <c r="C16" s="154" t="s">
        <v>301</v>
      </c>
      <c r="D16" s="156" t="s">
        <v>390</v>
      </c>
      <c r="E16" s="180" t="s">
        <v>392</v>
      </c>
      <c r="F16" s="175"/>
      <c r="G16" s="154" t="s">
        <v>175</v>
      </c>
      <c r="H16" s="150"/>
      <c r="I16" s="176">
        <v>125.0</v>
      </c>
      <c r="J16" s="155"/>
      <c r="K16" s="177"/>
      <c r="L16" s="150"/>
      <c r="M16" s="178"/>
      <c r="N16" s="173"/>
      <c r="O16" s="179"/>
      <c r="P16" s="179"/>
      <c r="Q16" s="179"/>
      <c r="R16" s="179"/>
      <c r="S16" s="179"/>
      <c r="T16" s="179"/>
      <c r="U16" s="179"/>
      <c r="V16" s="179"/>
      <c r="W16" s="179"/>
      <c r="X16" s="179"/>
      <c r="Y16" s="179"/>
      <c r="Z16" s="179"/>
      <c r="AA16" s="179"/>
      <c r="AB16" s="179"/>
      <c r="AC16" s="179"/>
    </row>
    <row r="17">
      <c r="A17" s="149" t="s">
        <v>32</v>
      </c>
      <c r="B17" s="71" t="s">
        <v>302</v>
      </c>
      <c r="C17" s="154" t="str">
        <f>VLOOKUP($B17,'Rate card'!$A$4:$G1006,2,FALSE)</f>
        <v>Polish</v>
      </c>
      <c r="D17" s="154" t="str">
        <f>VLOOKUP($B17,'Rate card'!$A$4:$G1006,3,FALSE)</f>
        <v>Melamine</v>
      </c>
      <c r="E17" s="174" t="str">
        <f>VLOOKUP($B17,'Rate card'!$A$4:$G1006,4,FALSE)</f>
        <v/>
      </c>
      <c r="F17" s="170" t="s">
        <v>303</v>
      </c>
      <c r="G17" s="154" t="str">
        <f>VLOOKUP($B17,'Rate card'!$A$4:$G1006,6,FALSE)</f>
        <v>Sqft</v>
      </c>
      <c r="H17" s="150">
        <v>120.0</v>
      </c>
      <c r="I17" s="181">
        <v>75.0</v>
      </c>
      <c r="J17" s="155">
        <f>I17*K17</f>
        <v>150000</v>
      </c>
      <c r="K17" s="177">
        <v>2000.0</v>
      </c>
      <c r="L17" s="150">
        <f>K17*H17</f>
        <v>240000</v>
      </c>
      <c r="M17" s="150" t="s">
        <v>304</v>
      </c>
      <c r="N17" s="173"/>
      <c r="O17" s="179"/>
      <c r="P17" s="179"/>
      <c r="Q17" s="179"/>
      <c r="R17" s="179"/>
      <c r="S17" s="179"/>
      <c r="T17" s="179"/>
      <c r="U17" s="179"/>
      <c r="V17" s="179"/>
      <c r="W17" s="179"/>
      <c r="X17" s="179"/>
      <c r="Y17" s="179"/>
      <c r="Z17" s="179"/>
      <c r="AA17" s="179"/>
      <c r="AB17" s="179"/>
      <c r="AC17" s="179"/>
    </row>
    <row r="18">
      <c r="A18" s="175"/>
      <c r="B18" s="147"/>
      <c r="C18" s="147"/>
      <c r="D18" s="147"/>
      <c r="E18" s="182"/>
      <c r="F18" s="147"/>
      <c r="G18" s="147"/>
      <c r="H18" s="157"/>
      <c r="I18" s="183"/>
      <c r="J18" s="184">
        <f>sum(J11:J17)</f>
        <v>712509</v>
      </c>
      <c r="K18" s="150" t="s">
        <v>147</v>
      </c>
      <c r="L18" s="183">
        <f>SUM(L11:L17)</f>
        <v>978478.5</v>
      </c>
      <c r="M18" s="182"/>
      <c r="N18" s="147"/>
      <c r="O18" s="148"/>
      <c r="P18" s="148"/>
      <c r="Q18" s="148"/>
      <c r="R18" s="148"/>
      <c r="S18" s="148"/>
      <c r="T18" s="148"/>
      <c r="U18" s="148"/>
      <c r="V18" s="148"/>
      <c r="W18" s="148"/>
      <c r="X18" s="148"/>
      <c r="Y18" s="148"/>
      <c r="Z18" s="148"/>
      <c r="AA18" s="148"/>
      <c r="AB18" s="148"/>
      <c r="AC18" s="148"/>
    </row>
    <row r="19">
      <c r="E19" s="38"/>
      <c r="I19" s="38"/>
      <c r="M19" s="38"/>
    </row>
    <row r="20">
      <c r="E20" s="38"/>
      <c r="I20" s="38"/>
      <c r="M20" s="38"/>
    </row>
    <row r="21">
      <c r="E21" s="38"/>
      <c r="I21" s="38"/>
      <c r="M21" s="38"/>
    </row>
    <row r="22">
      <c r="E22" s="38"/>
      <c r="I22" s="38"/>
      <c r="M22" s="38"/>
    </row>
    <row r="23">
      <c r="E23" s="38"/>
      <c r="I23" s="38"/>
      <c r="M23" s="38"/>
    </row>
    <row r="24">
      <c r="E24" s="38"/>
      <c r="I24" s="38"/>
      <c r="M24" s="38"/>
    </row>
    <row r="25">
      <c r="E25" s="38"/>
      <c r="I25" s="38"/>
      <c r="M25" s="38"/>
    </row>
    <row r="26">
      <c r="E26" s="38"/>
      <c r="I26" s="38"/>
      <c r="M26" s="38"/>
    </row>
    <row r="27">
      <c r="E27" s="38"/>
      <c r="I27" s="38"/>
      <c r="M27" s="38"/>
    </row>
    <row r="28">
      <c r="E28" s="38"/>
      <c r="I28" s="38"/>
      <c r="M28" s="38"/>
    </row>
    <row r="29">
      <c r="E29" s="38"/>
      <c r="I29" s="38"/>
      <c r="M29" s="38"/>
    </row>
    <row r="30">
      <c r="E30" s="38"/>
      <c r="I30" s="38"/>
      <c r="M30" s="38"/>
    </row>
    <row r="31">
      <c r="E31" s="38"/>
      <c r="I31" s="38"/>
      <c r="M31" s="38"/>
    </row>
    <row r="32">
      <c r="E32" s="38"/>
      <c r="I32" s="38"/>
      <c r="M32" s="38"/>
    </row>
    <row r="33">
      <c r="E33" s="38"/>
      <c r="I33" s="38"/>
      <c r="M33" s="38"/>
    </row>
    <row r="34">
      <c r="E34" s="38"/>
      <c r="I34" s="38"/>
      <c r="M34" s="38"/>
    </row>
    <row r="35">
      <c r="E35" s="38"/>
      <c r="I35" s="38"/>
      <c r="M35" s="38"/>
    </row>
    <row r="36">
      <c r="E36" s="38"/>
      <c r="I36" s="38"/>
      <c r="M36" s="38"/>
    </row>
    <row r="37">
      <c r="E37" s="38"/>
      <c r="I37" s="38"/>
      <c r="M37" s="38"/>
    </row>
    <row r="38">
      <c r="E38" s="38"/>
      <c r="I38" s="38"/>
      <c r="M38" s="38"/>
    </row>
    <row r="39">
      <c r="E39" s="38"/>
      <c r="I39" s="38"/>
      <c r="M39" s="38"/>
    </row>
    <row r="40">
      <c r="E40" s="38"/>
      <c r="I40" s="38"/>
      <c r="M40" s="38"/>
    </row>
    <row r="41">
      <c r="E41" s="38"/>
      <c r="I41" s="38"/>
      <c r="M41" s="38"/>
    </row>
    <row r="42">
      <c r="E42" s="38"/>
      <c r="I42" s="38"/>
      <c r="M42" s="38"/>
    </row>
    <row r="43">
      <c r="E43" s="38"/>
      <c r="I43" s="38"/>
      <c r="M43" s="38"/>
    </row>
    <row r="44">
      <c r="E44" s="38"/>
      <c r="I44" s="38"/>
      <c r="M44" s="38"/>
    </row>
    <row r="45">
      <c r="E45" s="38"/>
      <c r="I45" s="38"/>
      <c r="M45" s="38"/>
    </row>
    <row r="46">
      <c r="E46" s="38"/>
      <c r="I46" s="38"/>
      <c r="M46" s="38"/>
    </row>
    <row r="47">
      <c r="E47" s="38"/>
      <c r="I47" s="38"/>
      <c r="M47" s="38"/>
    </row>
    <row r="48">
      <c r="E48" s="38"/>
      <c r="I48" s="38"/>
      <c r="M48" s="38"/>
    </row>
    <row r="49">
      <c r="E49" s="38"/>
      <c r="I49" s="38"/>
      <c r="M49" s="38"/>
    </row>
    <row r="50">
      <c r="E50" s="38"/>
      <c r="I50" s="38"/>
      <c r="M50" s="38"/>
    </row>
    <row r="51">
      <c r="E51" s="38"/>
      <c r="I51" s="38"/>
      <c r="M51" s="38"/>
    </row>
    <row r="52">
      <c r="E52" s="38"/>
      <c r="I52" s="38"/>
      <c r="M52" s="38"/>
    </row>
    <row r="53">
      <c r="E53" s="38"/>
      <c r="I53" s="38"/>
      <c r="M53" s="38"/>
    </row>
    <row r="54">
      <c r="E54" s="38"/>
      <c r="I54" s="38"/>
      <c r="M54" s="38"/>
    </row>
    <row r="55">
      <c r="E55" s="38"/>
      <c r="I55" s="38"/>
      <c r="M55" s="38"/>
    </row>
    <row r="56">
      <c r="E56" s="38"/>
      <c r="I56" s="38"/>
      <c r="M56" s="38"/>
    </row>
    <row r="57">
      <c r="E57" s="38"/>
      <c r="I57" s="38"/>
      <c r="M57" s="38"/>
    </row>
    <row r="58">
      <c r="E58" s="38"/>
      <c r="I58" s="38"/>
      <c r="M58" s="38"/>
    </row>
    <row r="59">
      <c r="E59" s="38"/>
      <c r="I59" s="38"/>
      <c r="M59" s="38"/>
    </row>
    <row r="60">
      <c r="E60" s="38"/>
      <c r="I60" s="38"/>
      <c r="M60" s="38"/>
    </row>
    <row r="61">
      <c r="E61" s="38"/>
      <c r="I61" s="38"/>
      <c r="M61" s="38"/>
    </row>
    <row r="62">
      <c r="E62" s="38"/>
      <c r="I62" s="38"/>
      <c r="M62" s="38"/>
    </row>
    <row r="63">
      <c r="E63" s="38"/>
      <c r="I63" s="38"/>
      <c r="M63" s="38"/>
    </row>
    <row r="64">
      <c r="E64" s="38"/>
      <c r="I64" s="38"/>
      <c r="M64" s="38"/>
    </row>
    <row r="65">
      <c r="E65" s="38"/>
      <c r="I65" s="38"/>
      <c r="M65" s="38"/>
    </row>
    <row r="66">
      <c r="E66" s="38"/>
      <c r="I66" s="38"/>
      <c r="M66" s="38"/>
    </row>
    <row r="67">
      <c r="E67" s="38"/>
      <c r="I67" s="38"/>
      <c r="M67" s="38"/>
    </row>
    <row r="68">
      <c r="E68" s="38"/>
      <c r="I68" s="38"/>
      <c r="M68" s="38"/>
    </row>
    <row r="69">
      <c r="E69" s="38"/>
      <c r="I69" s="38"/>
      <c r="M69" s="38"/>
    </row>
    <row r="70">
      <c r="E70" s="38"/>
      <c r="I70" s="38"/>
      <c r="M70" s="38"/>
    </row>
    <row r="71">
      <c r="E71" s="38"/>
      <c r="I71" s="38"/>
      <c r="M71" s="38"/>
    </row>
    <row r="72">
      <c r="E72" s="38"/>
      <c r="I72" s="38"/>
      <c r="M72" s="38"/>
    </row>
    <row r="73">
      <c r="E73" s="38"/>
      <c r="I73" s="38"/>
      <c r="M73" s="38"/>
    </row>
    <row r="74">
      <c r="E74" s="38"/>
      <c r="I74" s="38"/>
      <c r="M74" s="38"/>
    </row>
    <row r="75">
      <c r="E75" s="38"/>
      <c r="I75" s="38"/>
      <c r="M75" s="38"/>
    </row>
    <row r="76">
      <c r="E76" s="38"/>
      <c r="I76" s="38"/>
      <c r="M76" s="38"/>
    </row>
    <row r="77">
      <c r="E77" s="38"/>
      <c r="I77" s="38"/>
      <c r="M77" s="38"/>
    </row>
    <row r="78">
      <c r="E78" s="38"/>
      <c r="I78" s="38"/>
      <c r="M78" s="38"/>
    </row>
    <row r="79">
      <c r="E79" s="38"/>
      <c r="I79" s="38"/>
      <c r="M79" s="38"/>
    </row>
    <row r="80">
      <c r="E80" s="38"/>
      <c r="I80" s="38"/>
      <c r="M80" s="38"/>
    </row>
    <row r="81">
      <c r="E81" s="38"/>
      <c r="I81" s="38"/>
      <c r="M81" s="38"/>
    </row>
    <row r="82">
      <c r="E82" s="38"/>
      <c r="I82" s="38"/>
      <c r="M82" s="38"/>
    </row>
    <row r="83">
      <c r="E83" s="38"/>
      <c r="I83" s="38"/>
      <c r="M83" s="38"/>
    </row>
    <row r="84">
      <c r="E84" s="38"/>
      <c r="I84" s="38"/>
      <c r="M84" s="38"/>
    </row>
    <row r="85">
      <c r="E85" s="38"/>
      <c r="I85" s="38"/>
      <c r="M85" s="38"/>
    </row>
    <row r="86">
      <c r="E86" s="38"/>
      <c r="I86" s="38"/>
      <c r="M86" s="38"/>
    </row>
    <row r="87">
      <c r="E87" s="38"/>
      <c r="I87" s="38"/>
      <c r="M87" s="38"/>
    </row>
    <row r="88">
      <c r="E88" s="38"/>
      <c r="I88" s="38"/>
      <c r="M88" s="38"/>
    </row>
    <row r="89">
      <c r="E89" s="38"/>
      <c r="I89" s="38"/>
      <c r="M89" s="38"/>
    </row>
    <row r="90">
      <c r="E90" s="38"/>
      <c r="I90" s="38"/>
      <c r="M90" s="38"/>
    </row>
    <row r="91">
      <c r="E91" s="38"/>
      <c r="I91" s="38"/>
      <c r="M91" s="38"/>
    </row>
    <row r="92">
      <c r="E92" s="38"/>
      <c r="I92" s="38"/>
      <c r="M92" s="38"/>
    </row>
    <row r="93">
      <c r="E93" s="38"/>
      <c r="I93" s="38"/>
      <c r="M93" s="38"/>
    </row>
    <row r="94">
      <c r="E94" s="38"/>
      <c r="I94" s="38"/>
      <c r="M94" s="38"/>
    </row>
    <row r="95">
      <c r="E95" s="38"/>
      <c r="I95" s="38"/>
      <c r="M95" s="38"/>
    </row>
    <row r="96">
      <c r="E96" s="38"/>
      <c r="I96" s="38"/>
      <c r="M96" s="38"/>
    </row>
    <row r="97">
      <c r="E97" s="38"/>
      <c r="I97" s="38"/>
      <c r="M97" s="38"/>
    </row>
    <row r="98">
      <c r="E98" s="38"/>
      <c r="I98" s="38"/>
      <c r="M98" s="38"/>
    </row>
    <row r="99">
      <c r="E99" s="38"/>
      <c r="I99" s="38"/>
      <c r="M99" s="38"/>
    </row>
    <row r="100">
      <c r="E100" s="38"/>
      <c r="I100" s="38"/>
      <c r="M100" s="38"/>
    </row>
    <row r="101">
      <c r="E101" s="38"/>
      <c r="I101" s="38"/>
      <c r="M101" s="38"/>
    </row>
    <row r="102">
      <c r="E102" s="38"/>
      <c r="I102" s="38"/>
      <c r="M102" s="38"/>
    </row>
    <row r="103">
      <c r="E103" s="38"/>
      <c r="I103" s="38"/>
      <c r="M103" s="38"/>
    </row>
    <row r="104">
      <c r="E104" s="38"/>
      <c r="I104" s="38"/>
      <c r="M104" s="38"/>
    </row>
    <row r="105">
      <c r="E105" s="38"/>
      <c r="I105" s="38"/>
      <c r="M105" s="38"/>
    </row>
    <row r="106">
      <c r="E106" s="38"/>
      <c r="I106" s="38"/>
      <c r="M106" s="38"/>
    </row>
    <row r="107">
      <c r="E107" s="38"/>
      <c r="I107" s="38"/>
      <c r="M107" s="38"/>
    </row>
    <row r="108">
      <c r="E108" s="38"/>
      <c r="I108" s="38"/>
      <c r="M108" s="38"/>
    </row>
    <row r="109">
      <c r="E109" s="38"/>
      <c r="I109" s="38"/>
      <c r="M109" s="38"/>
    </row>
    <row r="110">
      <c r="E110" s="38"/>
      <c r="I110" s="38"/>
      <c r="M110" s="38"/>
    </row>
    <row r="111">
      <c r="E111" s="38"/>
      <c r="I111" s="38"/>
      <c r="M111" s="38"/>
    </row>
    <row r="112">
      <c r="E112" s="38"/>
      <c r="I112" s="38"/>
      <c r="M112" s="38"/>
    </row>
    <row r="113">
      <c r="E113" s="38"/>
      <c r="I113" s="38"/>
      <c r="M113" s="38"/>
    </row>
    <row r="114">
      <c r="E114" s="38"/>
      <c r="I114" s="38"/>
      <c r="M114" s="38"/>
    </row>
    <row r="115">
      <c r="E115" s="38"/>
      <c r="I115" s="38"/>
      <c r="M115" s="38"/>
    </row>
    <row r="116">
      <c r="E116" s="38"/>
      <c r="I116" s="38"/>
      <c r="M116" s="38"/>
    </row>
    <row r="117">
      <c r="E117" s="38"/>
      <c r="I117" s="38"/>
      <c r="M117" s="38"/>
    </row>
    <row r="118">
      <c r="E118" s="38"/>
      <c r="I118" s="38"/>
      <c r="M118" s="38"/>
    </row>
    <row r="119">
      <c r="E119" s="38"/>
      <c r="I119" s="38"/>
      <c r="M119" s="38"/>
    </row>
    <row r="120">
      <c r="E120" s="38"/>
      <c r="I120" s="38"/>
      <c r="M120" s="38"/>
    </row>
    <row r="121">
      <c r="E121" s="38"/>
      <c r="I121" s="38"/>
      <c r="M121" s="38"/>
    </row>
    <row r="122">
      <c r="E122" s="38"/>
      <c r="I122" s="38"/>
      <c r="M122" s="38"/>
    </row>
    <row r="123">
      <c r="E123" s="38"/>
      <c r="I123" s="38"/>
      <c r="M123" s="38"/>
    </row>
    <row r="124">
      <c r="E124" s="38"/>
      <c r="I124" s="38"/>
      <c r="M124" s="38"/>
    </row>
    <row r="125">
      <c r="E125" s="38"/>
      <c r="I125" s="38"/>
      <c r="M125" s="38"/>
    </row>
    <row r="126">
      <c r="E126" s="38"/>
      <c r="I126" s="38"/>
      <c r="M126" s="38"/>
    </row>
    <row r="127">
      <c r="E127" s="38"/>
      <c r="I127" s="38"/>
      <c r="M127" s="38"/>
    </row>
    <row r="128">
      <c r="E128" s="38"/>
      <c r="I128" s="38"/>
      <c r="M128" s="38"/>
    </row>
    <row r="129">
      <c r="E129" s="38"/>
      <c r="I129" s="38"/>
      <c r="M129" s="38"/>
    </row>
    <row r="130">
      <c r="E130" s="38"/>
      <c r="I130" s="38"/>
      <c r="M130" s="38"/>
    </row>
    <row r="131">
      <c r="E131" s="38"/>
      <c r="I131" s="38"/>
      <c r="M131" s="38"/>
    </row>
    <row r="132">
      <c r="E132" s="38"/>
      <c r="I132" s="38"/>
      <c r="M132" s="38"/>
    </row>
    <row r="133">
      <c r="E133" s="38"/>
      <c r="I133" s="38"/>
      <c r="M133" s="38"/>
    </row>
    <row r="134">
      <c r="E134" s="38"/>
      <c r="I134" s="38"/>
      <c r="M134" s="38"/>
    </row>
    <row r="135">
      <c r="E135" s="38"/>
      <c r="I135" s="38"/>
      <c r="M135" s="38"/>
    </row>
    <row r="136">
      <c r="E136" s="38"/>
      <c r="I136" s="38"/>
      <c r="M136" s="38"/>
    </row>
    <row r="137">
      <c r="E137" s="38"/>
      <c r="I137" s="38"/>
      <c r="M137" s="38"/>
    </row>
    <row r="138">
      <c r="E138" s="38"/>
      <c r="I138" s="38"/>
      <c r="M138" s="38"/>
    </row>
    <row r="139">
      <c r="E139" s="38"/>
      <c r="I139" s="38"/>
      <c r="M139" s="38"/>
    </row>
    <row r="140">
      <c r="E140" s="38"/>
      <c r="I140" s="38"/>
      <c r="M140" s="38"/>
    </row>
    <row r="141">
      <c r="E141" s="38"/>
      <c r="I141" s="38"/>
      <c r="M141" s="38"/>
    </row>
    <row r="142">
      <c r="E142" s="38"/>
      <c r="I142" s="38"/>
      <c r="M142" s="38"/>
    </row>
    <row r="143">
      <c r="E143" s="38"/>
      <c r="I143" s="38"/>
      <c r="M143" s="38"/>
    </row>
    <row r="144">
      <c r="E144" s="38"/>
      <c r="I144" s="38"/>
      <c r="M144" s="38"/>
    </row>
    <row r="145">
      <c r="E145" s="38"/>
      <c r="I145" s="38"/>
      <c r="M145" s="38"/>
    </row>
    <row r="146">
      <c r="E146" s="38"/>
      <c r="I146" s="38"/>
      <c r="M146" s="38"/>
    </row>
    <row r="147">
      <c r="E147" s="38"/>
      <c r="I147" s="38"/>
      <c r="M147" s="38"/>
    </row>
    <row r="148">
      <c r="E148" s="38"/>
      <c r="I148" s="38"/>
      <c r="M148" s="38"/>
    </row>
    <row r="149">
      <c r="E149" s="38"/>
      <c r="I149" s="38"/>
      <c r="M149" s="38"/>
    </row>
    <row r="150">
      <c r="E150" s="38"/>
      <c r="I150" s="38"/>
      <c r="M150" s="38"/>
    </row>
    <row r="151">
      <c r="E151" s="38"/>
      <c r="I151" s="38"/>
      <c r="M151" s="38"/>
    </row>
    <row r="152">
      <c r="E152" s="38"/>
      <c r="I152" s="38"/>
      <c r="M152" s="38"/>
    </row>
    <row r="153">
      <c r="E153" s="38"/>
      <c r="I153" s="38"/>
      <c r="M153" s="38"/>
    </row>
    <row r="154">
      <c r="E154" s="38"/>
      <c r="I154" s="38"/>
      <c r="M154" s="38"/>
    </row>
    <row r="155">
      <c r="E155" s="38"/>
      <c r="I155" s="38"/>
      <c r="M155" s="38"/>
    </row>
    <row r="156">
      <c r="E156" s="38"/>
      <c r="I156" s="38"/>
      <c r="M156" s="38"/>
    </row>
    <row r="157">
      <c r="E157" s="38"/>
      <c r="I157" s="38"/>
      <c r="M157" s="38"/>
    </row>
    <row r="158">
      <c r="E158" s="38"/>
      <c r="I158" s="38"/>
      <c r="M158" s="38"/>
    </row>
    <row r="159">
      <c r="E159" s="38"/>
      <c r="I159" s="38"/>
      <c r="M159" s="38"/>
    </row>
    <row r="160">
      <c r="E160" s="38"/>
      <c r="I160" s="38"/>
      <c r="M160" s="38"/>
    </row>
    <row r="161">
      <c r="E161" s="38"/>
      <c r="I161" s="38"/>
      <c r="M161" s="38"/>
    </row>
    <row r="162">
      <c r="E162" s="38"/>
      <c r="I162" s="38"/>
      <c r="M162" s="38"/>
    </row>
    <row r="163">
      <c r="E163" s="38"/>
      <c r="I163" s="38"/>
      <c r="M163" s="38"/>
    </row>
    <row r="164">
      <c r="E164" s="38"/>
      <c r="I164" s="38"/>
      <c r="M164" s="38"/>
    </row>
    <row r="165">
      <c r="E165" s="38"/>
      <c r="I165" s="38"/>
      <c r="M165" s="38"/>
    </row>
    <row r="166">
      <c r="E166" s="38"/>
      <c r="I166" s="38"/>
      <c r="M166" s="38"/>
    </row>
    <row r="167">
      <c r="E167" s="38"/>
      <c r="I167" s="38"/>
      <c r="M167" s="38"/>
    </row>
    <row r="168">
      <c r="E168" s="38"/>
      <c r="I168" s="38"/>
      <c r="M168" s="38"/>
    </row>
    <row r="169">
      <c r="E169" s="38"/>
      <c r="I169" s="38"/>
      <c r="M169" s="38"/>
    </row>
    <row r="170">
      <c r="E170" s="38"/>
      <c r="I170" s="38"/>
      <c r="M170" s="38"/>
    </row>
    <row r="171">
      <c r="E171" s="38"/>
      <c r="I171" s="38"/>
      <c r="M171" s="38"/>
    </row>
    <row r="172">
      <c r="E172" s="38"/>
      <c r="I172" s="38"/>
      <c r="M172" s="38"/>
    </row>
    <row r="173">
      <c r="E173" s="38"/>
      <c r="I173" s="38"/>
      <c r="M173" s="38"/>
    </row>
    <row r="174">
      <c r="E174" s="38"/>
      <c r="I174" s="38"/>
      <c r="M174" s="38"/>
    </row>
    <row r="175">
      <c r="E175" s="38"/>
      <c r="I175" s="38"/>
      <c r="M175" s="38"/>
    </row>
    <row r="176">
      <c r="E176" s="38"/>
      <c r="I176" s="38"/>
      <c r="M176" s="38"/>
    </row>
    <row r="177">
      <c r="E177" s="38"/>
      <c r="I177" s="38"/>
      <c r="M177" s="38"/>
    </row>
    <row r="178">
      <c r="E178" s="38"/>
      <c r="I178" s="38"/>
      <c r="M178" s="38"/>
    </row>
    <row r="179">
      <c r="E179" s="38"/>
      <c r="I179" s="38"/>
      <c r="M179" s="38"/>
    </row>
    <row r="180">
      <c r="E180" s="38"/>
      <c r="I180" s="38"/>
      <c r="M180" s="38"/>
    </row>
    <row r="181">
      <c r="E181" s="38"/>
      <c r="I181" s="38"/>
      <c r="M181" s="38"/>
    </row>
    <row r="182">
      <c r="E182" s="38"/>
      <c r="I182" s="38"/>
      <c r="M182" s="38"/>
    </row>
    <row r="183">
      <c r="E183" s="38"/>
      <c r="I183" s="38"/>
      <c r="M183" s="38"/>
    </row>
    <row r="184">
      <c r="E184" s="38"/>
      <c r="I184" s="38"/>
      <c r="M184" s="38"/>
    </row>
    <row r="185">
      <c r="E185" s="38"/>
      <c r="I185" s="38"/>
      <c r="M185" s="38"/>
    </row>
    <row r="186">
      <c r="E186" s="38"/>
      <c r="I186" s="38"/>
      <c r="M186" s="38"/>
    </row>
    <row r="187">
      <c r="E187" s="38"/>
      <c r="I187" s="38"/>
      <c r="M187" s="38"/>
    </row>
    <row r="188">
      <c r="E188" s="38"/>
      <c r="I188" s="38"/>
      <c r="M188" s="38"/>
    </row>
    <row r="189">
      <c r="E189" s="38"/>
      <c r="I189" s="38"/>
      <c r="M189" s="38"/>
    </row>
    <row r="190">
      <c r="E190" s="38"/>
      <c r="I190" s="38"/>
      <c r="M190" s="38"/>
    </row>
    <row r="191">
      <c r="E191" s="38"/>
      <c r="I191" s="38"/>
      <c r="M191" s="38"/>
    </row>
    <row r="192">
      <c r="E192" s="38"/>
      <c r="I192" s="38"/>
      <c r="M192" s="38"/>
    </row>
    <row r="193">
      <c r="E193" s="38"/>
      <c r="I193" s="38"/>
      <c r="M193" s="38"/>
    </row>
    <row r="194">
      <c r="E194" s="38"/>
      <c r="I194" s="38"/>
      <c r="M194" s="38"/>
    </row>
    <row r="195">
      <c r="E195" s="38"/>
      <c r="I195" s="38"/>
      <c r="M195" s="38"/>
    </row>
    <row r="196">
      <c r="E196" s="38"/>
      <c r="I196" s="38"/>
      <c r="M196" s="38"/>
    </row>
    <row r="197">
      <c r="E197" s="38"/>
      <c r="I197" s="38"/>
      <c r="M197" s="38"/>
    </row>
    <row r="198">
      <c r="E198" s="38"/>
      <c r="I198" s="38"/>
      <c r="M198" s="38"/>
    </row>
    <row r="199">
      <c r="E199" s="38"/>
      <c r="I199" s="38"/>
      <c r="M199" s="38"/>
    </row>
    <row r="200">
      <c r="E200" s="38"/>
      <c r="I200" s="38"/>
      <c r="M200" s="38"/>
    </row>
    <row r="201">
      <c r="E201" s="38"/>
      <c r="I201" s="38"/>
      <c r="M201" s="38"/>
    </row>
    <row r="202">
      <c r="E202" s="38"/>
      <c r="I202" s="38"/>
      <c r="M202" s="38"/>
    </row>
    <row r="203">
      <c r="E203" s="38"/>
      <c r="I203" s="38"/>
      <c r="M203" s="38"/>
    </row>
    <row r="204">
      <c r="E204" s="38"/>
      <c r="I204" s="38"/>
      <c r="M204" s="38"/>
    </row>
    <row r="205">
      <c r="E205" s="38"/>
      <c r="I205" s="38"/>
      <c r="M205" s="38"/>
    </row>
    <row r="206">
      <c r="E206" s="38"/>
      <c r="I206" s="38"/>
      <c r="M206" s="38"/>
    </row>
    <row r="207">
      <c r="E207" s="38"/>
      <c r="I207" s="38"/>
      <c r="M207" s="38"/>
    </row>
    <row r="208">
      <c r="E208" s="38"/>
      <c r="I208" s="38"/>
      <c r="M208" s="38"/>
    </row>
    <row r="209">
      <c r="E209" s="38"/>
      <c r="I209" s="38"/>
      <c r="M209" s="38"/>
    </row>
    <row r="210">
      <c r="E210" s="38"/>
      <c r="I210" s="38"/>
      <c r="M210" s="38"/>
    </row>
    <row r="211">
      <c r="E211" s="38"/>
      <c r="I211" s="38"/>
      <c r="M211" s="38"/>
    </row>
    <row r="212">
      <c r="E212" s="38"/>
      <c r="I212" s="38"/>
      <c r="M212" s="38"/>
    </row>
    <row r="213">
      <c r="E213" s="38"/>
      <c r="I213" s="38"/>
      <c r="M213" s="38"/>
    </row>
    <row r="214">
      <c r="E214" s="38"/>
      <c r="I214" s="38"/>
      <c r="M214" s="38"/>
    </row>
    <row r="215">
      <c r="E215" s="38"/>
      <c r="I215" s="38"/>
      <c r="M215" s="38"/>
    </row>
    <row r="216">
      <c r="E216" s="38"/>
      <c r="I216" s="38"/>
      <c r="M216" s="38"/>
    </row>
    <row r="217">
      <c r="E217" s="38"/>
      <c r="I217" s="38"/>
      <c r="M217" s="38"/>
    </row>
    <row r="218">
      <c r="E218" s="38"/>
      <c r="I218" s="38"/>
      <c r="M218" s="38"/>
    </row>
    <row r="219">
      <c r="E219" s="38"/>
      <c r="I219" s="38"/>
      <c r="M219" s="38"/>
    </row>
    <row r="220">
      <c r="E220" s="38"/>
      <c r="I220" s="38"/>
      <c r="M220" s="38"/>
    </row>
    <row r="221">
      <c r="E221" s="38"/>
      <c r="I221" s="38"/>
      <c r="M221" s="38"/>
    </row>
    <row r="222">
      <c r="E222" s="38"/>
      <c r="I222" s="38"/>
      <c r="M222" s="38"/>
    </row>
    <row r="223">
      <c r="E223" s="38"/>
      <c r="I223" s="38"/>
      <c r="M223" s="38"/>
    </row>
    <row r="224">
      <c r="E224" s="38"/>
      <c r="I224" s="38"/>
      <c r="M224" s="38"/>
    </row>
    <row r="225">
      <c r="E225" s="38"/>
      <c r="I225" s="38"/>
      <c r="M225" s="38"/>
    </row>
    <row r="226">
      <c r="E226" s="38"/>
      <c r="I226" s="38"/>
      <c r="M226" s="38"/>
    </row>
    <row r="227">
      <c r="E227" s="38"/>
      <c r="I227" s="38"/>
      <c r="M227" s="38"/>
    </row>
    <row r="228">
      <c r="E228" s="38"/>
      <c r="I228" s="38"/>
      <c r="M228" s="38"/>
    </row>
    <row r="229">
      <c r="E229" s="38"/>
      <c r="I229" s="38"/>
      <c r="M229" s="38"/>
    </row>
    <row r="230">
      <c r="E230" s="38"/>
      <c r="I230" s="38"/>
      <c r="M230" s="38"/>
    </row>
    <row r="231">
      <c r="E231" s="38"/>
      <c r="I231" s="38"/>
      <c r="M231" s="38"/>
    </row>
    <row r="232">
      <c r="E232" s="38"/>
      <c r="I232" s="38"/>
      <c r="M232" s="38"/>
    </row>
    <row r="233">
      <c r="E233" s="38"/>
      <c r="I233" s="38"/>
      <c r="M233" s="38"/>
    </row>
    <row r="234">
      <c r="E234" s="38"/>
      <c r="I234" s="38"/>
      <c r="M234" s="38"/>
    </row>
    <row r="235">
      <c r="E235" s="38"/>
      <c r="I235" s="38"/>
      <c r="M235" s="38"/>
    </row>
    <row r="236">
      <c r="E236" s="38"/>
      <c r="I236" s="38"/>
      <c r="M236" s="38"/>
    </row>
    <row r="237">
      <c r="E237" s="38"/>
      <c r="I237" s="38"/>
      <c r="M237" s="38"/>
    </row>
    <row r="238">
      <c r="E238" s="38"/>
      <c r="I238" s="38"/>
      <c r="M238" s="38"/>
    </row>
    <row r="239">
      <c r="E239" s="38"/>
      <c r="I239" s="38"/>
      <c r="M239" s="38"/>
    </row>
    <row r="240">
      <c r="E240" s="38"/>
      <c r="I240" s="38"/>
      <c r="M240" s="38"/>
    </row>
    <row r="241">
      <c r="E241" s="38"/>
      <c r="I241" s="38"/>
      <c r="M241" s="38"/>
    </row>
    <row r="242">
      <c r="E242" s="38"/>
      <c r="I242" s="38"/>
      <c r="M242" s="38"/>
    </row>
    <row r="243">
      <c r="E243" s="38"/>
      <c r="I243" s="38"/>
      <c r="M243" s="38"/>
    </row>
    <row r="244">
      <c r="E244" s="38"/>
      <c r="I244" s="38"/>
      <c r="M244" s="38"/>
    </row>
    <row r="245">
      <c r="E245" s="38"/>
      <c r="I245" s="38"/>
      <c r="M245" s="38"/>
    </row>
    <row r="246">
      <c r="E246" s="38"/>
      <c r="I246" s="38"/>
      <c r="M246" s="38"/>
    </row>
    <row r="247">
      <c r="E247" s="38"/>
      <c r="I247" s="38"/>
      <c r="M247" s="38"/>
    </row>
    <row r="248">
      <c r="E248" s="38"/>
      <c r="I248" s="38"/>
      <c r="M248" s="38"/>
    </row>
    <row r="249">
      <c r="E249" s="38"/>
      <c r="I249" s="38"/>
      <c r="M249" s="38"/>
    </row>
    <row r="250">
      <c r="E250" s="38"/>
      <c r="I250" s="38"/>
      <c r="M250" s="38"/>
    </row>
    <row r="251">
      <c r="E251" s="38"/>
      <c r="I251" s="38"/>
      <c r="M251" s="38"/>
    </row>
    <row r="252">
      <c r="E252" s="38"/>
      <c r="I252" s="38"/>
      <c r="M252" s="38"/>
    </row>
    <row r="253">
      <c r="E253" s="38"/>
      <c r="I253" s="38"/>
      <c r="M253" s="38"/>
    </row>
    <row r="254">
      <c r="E254" s="38"/>
      <c r="I254" s="38"/>
      <c r="M254" s="38"/>
    </row>
    <row r="255">
      <c r="E255" s="38"/>
      <c r="I255" s="38"/>
      <c r="M255" s="38"/>
    </row>
    <row r="256">
      <c r="E256" s="38"/>
      <c r="I256" s="38"/>
      <c r="M256" s="38"/>
    </row>
    <row r="257">
      <c r="E257" s="38"/>
      <c r="I257" s="38"/>
      <c r="M257" s="38"/>
    </row>
    <row r="258">
      <c r="E258" s="38"/>
      <c r="I258" s="38"/>
      <c r="M258" s="38"/>
    </row>
    <row r="259">
      <c r="E259" s="38"/>
      <c r="I259" s="38"/>
      <c r="M259" s="38"/>
    </row>
    <row r="260">
      <c r="E260" s="38"/>
      <c r="I260" s="38"/>
      <c r="M260" s="38"/>
    </row>
    <row r="261">
      <c r="E261" s="38"/>
      <c r="I261" s="38"/>
      <c r="M261" s="38"/>
    </row>
    <row r="262">
      <c r="E262" s="38"/>
      <c r="I262" s="38"/>
      <c r="M262" s="38"/>
    </row>
    <row r="263">
      <c r="E263" s="38"/>
      <c r="I263" s="38"/>
      <c r="M263" s="38"/>
    </row>
    <row r="264">
      <c r="E264" s="38"/>
      <c r="I264" s="38"/>
      <c r="M264" s="38"/>
    </row>
    <row r="265">
      <c r="E265" s="38"/>
      <c r="I265" s="38"/>
      <c r="M265" s="38"/>
    </row>
    <row r="266">
      <c r="E266" s="38"/>
      <c r="I266" s="38"/>
      <c r="M266" s="38"/>
    </row>
    <row r="267">
      <c r="E267" s="38"/>
      <c r="I267" s="38"/>
      <c r="M267" s="38"/>
    </row>
    <row r="268">
      <c r="E268" s="38"/>
      <c r="I268" s="38"/>
      <c r="M268" s="38"/>
    </row>
    <row r="269">
      <c r="E269" s="38"/>
      <c r="I269" s="38"/>
      <c r="M269" s="38"/>
    </row>
    <row r="270">
      <c r="E270" s="38"/>
      <c r="I270" s="38"/>
      <c r="M270" s="38"/>
    </row>
    <row r="271">
      <c r="E271" s="38"/>
      <c r="I271" s="38"/>
      <c r="M271" s="38"/>
    </row>
    <row r="272">
      <c r="E272" s="38"/>
      <c r="I272" s="38"/>
      <c r="M272" s="38"/>
    </row>
    <row r="273">
      <c r="E273" s="38"/>
      <c r="I273" s="38"/>
      <c r="M273" s="38"/>
    </row>
    <row r="274">
      <c r="E274" s="38"/>
      <c r="I274" s="38"/>
      <c r="M274" s="38"/>
    </row>
    <row r="275">
      <c r="E275" s="38"/>
      <c r="I275" s="38"/>
      <c r="M275" s="38"/>
    </row>
    <row r="276">
      <c r="E276" s="38"/>
      <c r="I276" s="38"/>
      <c r="M276" s="38"/>
    </row>
    <row r="277">
      <c r="E277" s="38"/>
      <c r="I277" s="38"/>
      <c r="M277" s="38"/>
    </row>
    <row r="278">
      <c r="E278" s="38"/>
      <c r="I278" s="38"/>
      <c r="M278" s="38"/>
    </row>
    <row r="279">
      <c r="E279" s="38"/>
      <c r="I279" s="38"/>
      <c r="M279" s="38"/>
    </row>
    <row r="280">
      <c r="E280" s="38"/>
      <c r="I280" s="38"/>
      <c r="M280" s="38"/>
    </row>
    <row r="281">
      <c r="E281" s="38"/>
      <c r="I281" s="38"/>
      <c r="M281" s="38"/>
    </row>
    <row r="282">
      <c r="E282" s="38"/>
      <c r="I282" s="38"/>
      <c r="M282" s="38"/>
    </row>
    <row r="283">
      <c r="E283" s="38"/>
      <c r="I283" s="38"/>
      <c r="M283" s="38"/>
    </row>
    <row r="284">
      <c r="E284" s="38"/>
      <c r="I284" s="38"/>
      <c r="M284" s="38"/>
    </row>
    <row r="285">
      <c r="E285" s="38"/>
      <c r="I285" s="38"/>
      <c r="M285" s="38"/>
    </row>
    <row r="286">
      <c r="E286" s="38"/>
      <c r="I286" s="38"/>
      <c r="M286" s="38"/>
    </row>
    <row r="287">
      <c r="E287" s="38"/>
      <c r="I287" s="38"/>
      <c r="M287" s="38"/>
    </row>
    <row r="288">
      <c r="E288" s="38"/>
      <c r="I288" s="38"/>
      <c r="M288" s="38"/>
    </row>
    <row r="289">
      <c r="E289" s="38"/>
      <c r="I289" s="38"/>
      <c r="M289" s="38"/>
    </row>
    <row r="290">
      <c r="E290" s="38"/>
      <c r="I290" s="38"/>
      <c r="M290" s="38"/>
    </row>
    <row r="291">
      <c r="E291" s="38"/>
      <c r="I291" s="38"/>
      <c r="M291" s="38"/>
    </row>
    <row r="292">
      <c r="E292" s="38"/>
      <c r="I292" s="38"/>
      <c r="M292" s="38"/>
    </row>
    <row r="293">
      <c r="E293" s="38"/>
      <c r="I293" s="38"/>
      <c r="M293" s="38"/>
    </row>
    <row r="294">
      <c r="E294" s="38"/>
      <c r="I294" s="38"/>
      <c r="M294" s="38"/>
    </row>
    <row r="295">
      <c r="E295" s="38"/>
      <c r="I295" s="38"/>
      <c r="M295" s="38"/>
    </row>
    <row r="296">
      <c r="E296" s="38"/>
      <c r="I296" s="38"/>
      <c r="M296" s="38"/>
    </row>
    <row r="297">
      <c r="E297" s="38"/>
      <c r="I297" s="38"/>
      <c r="M297" s="38"/>
    </row>
    <row r="298">
      <c r="E298" s="38"/>
      <c r="I298" s="38"/>
      <c r="M298" s="38"/>
    </row>
    <row r="299">
      <c r="E299" s="38"/>
      <c r="I299" s="38"/>
      <c r="M299" s="38"/>
    </row>
    <row r="300">
      <c r="E300" s="38"/>
      <c r="I300" s="38"/>
      <c r="M300" s="38"/>
    </row>
    <row r="301">
      <c r="E301" s="38"/>
      <c r="I301" s="38"/>
      <c r="M301" s="38"/>
    </row>
    <row r="302">
      <c r="E302" s="38"/>
      <c r="I302" s="38"/>
      <c r="M302" s="38"/>
    </row>
    <row r="303">
      <c r="E303" s="38"/>
      <c r="I303" s="38"/>
      <c r="M303" s="38"/>
    </row>
    <row r="304">
      <c r="E304" s="38"/>
      <c r="I304" s="38"/>
      <c r="M304" s="38"/>
    </row>
    <row r="305">
      <c r="E305" s="38"/>
      <c r="I305" s="38"/>
      <c r="M305" s="38"/>
    </row>
    <row r="306">
      <c r="E306" s="38"/>
      <c r="I306" s="38"/>
      <c r="M306" s="38"/>
    </row>
    <row r="307">
      <c r="E307" s="38"/>
      <c r="I307" s="38"/>
      <c r="M307" s="38"/>
    </row>
    <row r="308">
      <c r="E308" s="38"/>
      <c r="I308" s="38"/>
      <c r="M308" s="38"/>
    </row>
    <row r="309">
      <c r="E309" s="38"/>
      <c r="I309" s="38"/>
      <c r="M309" s="38"/>
    </row>
    <row r="310">
      <c r="E310" s="38"/>
      <c r="I310" s="38"/>
      <c r="M310" s="38"/>
    </row>
    <row r="311">
      <c r="E311" s="38"/>
      <c r="I311" s="38"/>
      <c r="M311" s="38"/>
    </row>
    <row r="312">
      <c r="E312" s="38"/>
      <c r="I312" s="38"/>
      <c r="M312" s="38"/>
    </row>
    <row r="313">
      <c r="E313" s="38"/>
      <c r="I313" s="38"/>
      <c r="M313" s="38"/>
    </row>
    <row r="314">
      <c r="E314" s="38"/>
      <c r="I314" s="38"/>
      <c r="M314" s="38"/>
    </row>
    <row r="315">
      <c r="E315" s="38"/>
      <c r="I315" s="38"/>
      <c r="M315" s="38"/>
    </row>
    <row r="316">
      <c r="E316" s="38"/>
      <c r="I316" s="38"/>
      <c r="M316" s="38"/>
    </row>
    <row r="317">
      <c r="E317" s="38"/>
      <c r="I317" s="38"/>
      <c r="M317" s="38"/>
    </row>
    <row r="318">
      <c r="E318" s="38"/>
      <c r="I318" s="38"/>
      <c r="M318" s="38"/>
    </row>
    <row r="319">
      <c r="E319" s="38"/>
      <c r="I319" s="38"/>
      <c r="M319" s="38"/>
    </row>
    <row r="320">
      <c r="E320" s="38"/>
      <c r="I320" s="38"/>
      <c r="M320" s="38"/>
    </row>
    <row r="321">
      <c r="E321" s="38"/>
      <c r="I321" s="38"/>
      <c r="M321" s="38"/>
    </row>
    <row r="322">
      <c r="E322" s="38"/>
      <c r="I322" s="38"/>
      <c r="M322" s="38"/>
    </row>
    <row r="323">
      <c r="E323" s="38"/>
      <c r="I323" s="38"/>
      <c r="M323" s="38"/>
    </row>
    <row r="324">
      <c r="E324" s="38"/>
      <c r="I324" s="38"/>
      <c r="M324" s="38"/>
    </row>
    <row r="325">
      <c r="E325" s="38"/>
      <c r="I325" s="38"/>
      <c r="M325" s="38"/>
    </row>
    <row r="326">
      <c r="E326" s="38"/>
      <c r="I326" s="38"/>
      <c r="M326" s="38"/>
    </row>
    <row r="327">
      <c r="E327" s="38"/>
      <c r="I327" s="38"/>
      <c r="M327" s="38"/>
    </row>
    <row r="328">
      <c r="E328" s="38"/>
      <c r="I328" s="38"/>
      <c r="M328" s="38"/>
    </row>
    <row r="329">
      <c r="E329" s="38"/>
      <c r="I329" s="38"/>
      <c r="M329" s="38"/>
    </row>
    <row r="330">
      <c r="E330" s="38"/>
      <c r="I330" s="38"/>
      <c r="M330" s="38"/>
    </row>
    <row r="331">
      <c r="E331" s="38"/>
      <c r="I331" s="38"/>
      <c r="M331" s="38"/>
    </row>
    <row r="332">
      <c r="E332" s="38"/>
      <c r="I332" s="38"/>
      <c r="M332" s="38"/>
    </row>
    <row r="333">
      <c r="E333" s="38"/>
      <c r="I333" s="38"/>
      <c r="M333" s="38"/>
    </row>
    <row r="334">
      <c r="E334" s="38"/>
      <c r="I334" s="38"/>
      <c r="M334" s="38"/>
    </row>
    <row r="335">
      <c r="E335" s="38"/>
      <c r="I335" s="38"/>
      <c r="M335" s="38"/>
    </row>
    <row r="336">
      <c r="E336" s="38"/>
      <c r="I336" s="38"/>
      <c r="M336" s="38"/>
    </row>
    <row r="337">
      <c r="E337" s="38"/>
      <c r="I337" s="38"/>
      <c r="M337" s="38"/>
    </row>
    <row r="338">
      <c r="E338" s="38"/>
      <c r="I338" s="38"/>
      <c r="M338" s="38"/>
    </row>
    <row r="339">
      <c r="E339" s="38"/>
      <c r="I339" s="38"/>
      <c r="M339" s="38"/>
    </row>
    <row r="340">
      <c r="E340" s="38"/>
      <c r="I340" s="38"/>
      <c r="M340" s="38"/>
    </row>
    <row r="341">
      <c r="E341" s="38"/>
      <c r="I341" s="38"/>
      <c r="M341" s="38"/>
    </row>
    <row r="342">
      <c r="E342" s="38"/>
      <c r="I342" s="38"/>
      <c r="M342" s="38"/>
    </row>
    <row r="343">
      <c r="E343" s="38"/>
      <c r="I343" s="38"/>
      <c r="M343" s="38"/>
    </row>
    <row r="344">
      <c r="E344" s="38"/>
      <c r="I344" s="38"/>
      <c r="M344" s="38"/>
    </row>
    <row r="345">
      <c r="E345" s="38"/>
      <c r="I345" s="38"/>
      <c r="M345" s="38"/>
    </row>
    <row r="346">
      <c r="E346" s="38"/>
      <c r="I346" s="38"/>
      <c r="M346" s="38"/>
    </row>
    <row r="347">
      <c r="E347" s="38"/>
      <c r="I347" s="38"/>
      <c r="M347" s="38"/>
    </row>
    <row r="348">
      <c r="E348" s="38"/>
      <c r="I348" s="38"/>
      <c r="M348" s="38"/>
    </row>
    <row r="349">
      <c r="E349" s="38"/>
      <c r="I349" s="38"/>
      <c r="M349" s="38"/>
    </row>
    <row r="350">
      <c r="E350" s="38"/>
      <c r="I350" s="38"/>
      <c r="M350" s="38"/>
    </row>
    <row r="351">
      <c r="E351" s="38"/>
      <c r="I351" s="38"/>
      <c r="M351" s="38"/>
    </row>
    <row r="352">
      <c r="E352" s="38"/>
      <c r="I352" s="38"/>
      <c r="M352" s="38"/>
    </row>
    <row r="353">
      <c r="E353" s="38"/>
      <c r="I353" s="38"/>
      <c r="M353" s="38"/>
    </row>
    <row r="354">
      <c r="E354" s="38"/>
      <c r="I354" s="38"/>
      <c r="M354" s="38"/>
    </row>
    <row r="355">
      <c r="E355" s="38"/>
      <c r="I355" s="38"/>
      <c r="M355" s="38"/>
    </row>
    <row r="356">
      <c r="E356" s="38"/>
      <c r="I356" s="38"/>
      <c r="M356" s="38"/>
    </row>
    <row r="357">
      <c r="E357" s="38"/>
      <c r="I357" s="38"/>
      <c r="M357" s="38"/>
    </row>
    <row r="358">
      <c r="E358" s="38"/>
      <c r="I358" s="38"/>
      <c r="M358" s="38"/>
    </row>
    <row r="359">
      <c r="E359" s="38"/>
      <c r="I359" s="38"/>
      <c r="M359" s="38"/>
    </row>
    <row r="360">
      <c r="E360" s="38"/>
      <c r="I360" s="38"/>
      <c r="M360" s="38"/>
    </row>
    <row r="361">
      <c r="E361" s="38"/>
      <c r="I361" s="38"/>
      <c r="M361" s="38"/>
    </row>
    <row r="362">
      <c r="E362" s="38"/>
      <c r="I362" s="38"/>
      <c r="M362" s="38"/>
    </row>
    <row r="363">
      <c r="E363" s="38"/>
      <c r="I363" s="38"/>
      <c r="M363" s="38"/>
    </row>
    <row r="364">
      <c r="E364" s="38"/>
      <c r="I364" s="38"/>
      <c r="M364" s="38"/>
    </row>
    <row r="365">
      <c r="E365" s="38"/>
      <c r="I365" s="38"/>
      <c r="M365" s="38"/>
    </row>
    <row r="366">
      <c r="E366" s="38"/>
      <c r="I366" s="38"/>
      <c r="M366" s="38"/>
    </row>
    <row r="367">
      <c r="E367" s="38"/>
      <c r="I367" s="38"/>
      <c r="M367" s="38"/>
    </row>
    <row r="368">
      <c r="E368" s="38"/>
      <c r="I368" s="38"/>
      <c r="M368" s="38"/>
    </row>
    <row r="369">
      <c r="E369" s="38"/>
      <c r="I369" s="38"/>
      <c r="M369" s="38"/>
    </row>
    <row r="370">
      <c r="E370" s="38"/>
      <c r="I370" s="38"/>
      <c r="M370" s="38"/>
    </row>
    <row r="371">
      <c r="E371" s="38"/>
      <c r="I371" s="38"/>
      <c r="M371" s="38"/>
    </row>
    <row r="372">
      <c r="E372" s="38"/>
      <c r="I372" s="38"/>
      <c r="M372" s="38"/>
    </row>
    <row r="373">
      <c r="E373" s="38"/>
      <c r="I373" s="38"/>
      <c r="M373" s="38"/>
    </row>
    <row r="374">
      <c r="E374" s="38"/>
      <c r="I374" s="38"/>
      <c r="M374" s="38"/>
    </row>
    <row r="375">
      <c r="E375" s="38"/>
      <c r="I375" s="38"/>
      <c r="M375" s="38"/>
    </row>
    <row r="376">
      <c r="E376" s="38"/>
      <c r="I376" s="38"/>
      <c r="M376" s="38"/>
    </row>
    <row r="377">
      <c r="E377" s="38"/>
      <c r="I377" s="38"/>
      <c r="M377" s="38"/>
    </row>
    <row r="378">
      <c r="E378" s="38"/>
      <c r="I378" s="38"/>
      <c r="M378" s="38"/>
    </row>
    <row r="379">
      <c r="E379" s="38"/>
      <c r="I379" s="38"/>
      <c r="M379" s="38"/>
    </row>
    <row r="380">
      <c r="E380" s="38"/>
      <c r="I380" s="38"/>
      <c r="M380" s="38"/>
    </row>
    <row r="381">
      <c r="E381" s="38"/>
      <c r="I381" s="38"/>
      <c r="M381" s="38"/>
    </row>
    <row r="382">
      <c r="E382" s="38"/>
      <c r="I382" s="38"/>
      <c r="M382" s="38"/>
    </row>
    <row r="383">
      <c r="E383" s="38"/>
      <c r="I383" s="38"/>
      <c r="M383" s="38"/>
    </row>
    <row r="384">
      <c r="E384" s="38"/>
      <c r="I384" s="38"/>
      <c r="M384" s="38"/>
    </row>
    <row r="385">
      <c r="E385" s="38"/>
      <c r="I385" s="38"/>
      <c r="M385" s="38"/>
    </row>
    <row r="386">
      <c r="E386" s="38"/>
      <c r="I386" s="38"/>
      <c r="M386" s="38"/>
    </row>
    <row r="387">
      <c r="E387" s="38"/>
      <c r="I387" s="38"/>
      <c r="M387" s="38"/>
    </row>
    <row r="388">
      <c r="E388" s="38"/>
      <c r="I388" s="38"/>
      <c r="M388" s="38"/>
    </row>
    <row r="389">
      <c r="E389" s="38"/>
      <c r="I389" s="38"/>
      <c r="M389" s="38"/>
    </row>
    <row r="390">
      <c r="E390" s="38"/>
      <c r="I390" s="38"/>
      <c r="M390" s="38"/>
    </row>
    <row r="391">
      <c r="E391" s="38"/>
      <c r="I391" s="38"/>
      <c r="M391" s="38"/>
    </row>
    <row r="392">
      <c r="E392" s="38"/>
      <c r="I392" s="38"/>
      <c r="M392" s="38"/>
    </row>
    <row r="393">
      <c r="E393" s="38"/>
      <c r="I393" s="38"/>
      <c r="M393" s="38"/>
    </row>
    <row r="394">
      <c r="E394" s="38"/>
      <c r="I394" s="38"/>
      <c r="M394" s="38"/>
    </row>
    <row r="395">
      <c r="E395" s="38"/>
      <c r="I395" s="38"/>
      <c r="M395" s="38"/>
    </row>
    <row r="396">
      <c r="E396" s="38"/>
      <c r="I396" s="38"/>
      <c r="M396" s="38"/>
    </row>
    <row r="397">
      <c r="E397" s="38"/>
      <c r="I397" s="38"/>
      <c r="M397" s="38"/>
    </row>
    <row r="398">
      <c r="E398" s="38"/>
      <c r="I398" s="38"/>
      <c r="M398" s="38"/>
    </row>
    <row r="399">
      <c r="E399" s="38"/>
      <c r="I399" s="38"/>
      <c r="M399" s="38"/>
    </row>
    <row r="400">
      <c r="E400" s="38"/>
      <c r="I400" s="38"/>
      <c r="M400" s="38"/>
    </row>
    <row r="401">
      <c r="E401" s="38"/>
      <c r="I401" s="38"/>
      <c r="M401" s="38"/>
    </row>
    <row r="402">
      <c r="E402" s="38"/>
      <c r="I402" s="38"/>
      <c r="M402" s="38"/>
    </row>
    <row r="403">
      <c r="E403" s="38"/>
      <c r="I403" s="38"/>
      <c r="M403" s="38"/>
    </row>
    <row r="404">
      <c r="E404" s="38"/>
      <c r="I404" s="38"/>
      <c r="M404" s="38"/>
    </row>
    <row r="405">
      <c r="E405" s="38"/>
      <c r="I405" s="38"/>
      <c r="M405" s="38"/>
    </row>
    <row r="406">
      <c r="E406" s="38"/>
      <c r="I406" s="38"/>
      <c r="M406" s="38"/>
    </row>
    <row r="407">
      <c r="E407" s="38"/>
      <c r="I407" s="38"/>
      <c r="M407" s="38"/>
    </row>
    <row r="408">
      <c r="E408" s="38"/>
      <c r="I408" s="38"/>
      <c r="M408" s="38"/>
    </row>
    <row r="409">
      <c r="E409" s="38"/>
      <c r="I409" s="38"/>
      <c r="M409" s="38"/>
    </row>
    <row r="410">
      <c r="E410" s="38"/>
      <c r="I410" s="38"/>
      <c r="M410" s="38"/>
    </row>
    <row r="411">
      <c r="E411" s="38"/>
      <c r="I411" s="38"/>
      <c r="M411" s="38"/>
    </row>
    <row r="412">
      <c r="E412" s="38"/>
      <c r="I412" s="38"/>
      <c r="M412" s="38"/>
    </row>
    <row r="413">
      <c r="E413" s="38"/>
      <c r="I413" s="38"/>
      <c r="M413" s="38"/>
    </row>
    <row r="414">
      <c r="E414" s="38"/>
      <c r="I414" s="38"/>
      <c r="M414" s="38"/>
    </row>
    <row r="415">
      <c r="E415" s="38"/>
      <c r="I415" s="38"/>
      <c r="M415" s="38"/>
    </row>
    <row r="416">
      <c r="E416" s="38"/>
      <c r="I416" s="38"/>
      <c r="M416" s="38"/>
    </row>
    <row r="417">
      <c r="E417" s="38"/>
      <c r="I417" s="38"/>
      <c r="M417" s="38"/>
    </row>
    <row r="418">
      <c r="E418" s="38"/>
      <c r="I418" s="38"/>
      <c r="M418" s="38"/>
    </row>
    <row r="419">
      <c r="E419" s="38"/>
      <c r="I419" s="38"/>
      <c r="M419" s="38"/>
    </row>
    <row r="420">
      <c r="E420" s="38"/>
      <c r="I420" s="38"/>
      <c r="M420" s="38"/>
    </row>
    <row r="421">
      <c r="E421" s="38"/>
      <c r="I421" s="38"/>
      <c r="M421" s="38"/>
    </row>
    <row r="422">
      <c r="E422" s="38"/>
      <c r="I422" s="38"/>
      <c r="M422" s="38"/>
    </row>
    <row r="423">
      <c r="E423" s="38"/>
      <c r="I423" s="38"/>
      <c r="M423" s="38"/>
    </row>
    <row r="424">
      <c r="E424" s="38"/>
      <c r="I424" s="38"/>
      <c r="M424" s="38"/>
    </row>
    <row r="425">
      <c r="E425" s="38"/>
      <c r="I425" s="38"/>
      <c r="M425" s="38"/>
    </row>
    <row r="426">
      <c r="E426" s="38"/>
      <c r="I426" s="38"/>
      <c r="M426" s="38"/>
    </row>
    <row r="427">
      <c r="E427" s="38"/>
      <c r="I427" s="38"/>
      <c r="M427" s="38"/>
    </row>
    <row r="428">
      <c r="E428" s="38"/>
      <c r="I428" s="38"/>
      <c r="M428" s="38"/>
    </row>
    <row r="429">
      <c r="E429" s="38"/>
      <c r="I429" s="38"/>
      <c r="M429" s="38"/>
    </row>
    <row r="430">
      <c r="E430" s="38"/>
      <c r="I430" s="38"/>
      <c r="M430" s="38"/>
    </row>
    <row r="431">
      <c r="E431" s="38"/>
      <c r="I431" s="38"/>
      <c r="M431" s="38"/>
    </row>
    <row r="432">
      <c r="E432" s="38"/>
      <c r="I432" s="38"/>
      <c r="M432" s="38"/>
    </row>
    <row r="433">
      <c r="E433" s="38"/>
      <c r="I433" s="38"/>
      <c r="M433" s="38"/>
    </row>
    <row r="434">
      <c r="E434" s="38"/>
      <c r="I434" s="38"/>
      <c r="M434" s="38"/>
    </row>
    <row r="435">
      <c r="E435" s="38"/>
      <c r="I435" s="38"/>
      <c r="M435" s="38"/>
    </row>
    <row r="436">
      <c r="E436" s="38"/>
      <c r="I436" s="38"/>
      <c r="M436" s="38"/>
    </row>
    <row r="437">
      <c r="E437" s="38"/>
      <c r="I437" s="38"/>
      <c r="M437" s="38"/>
    </row>
    <row r="438">
      <c r="E438" s="38"/>
      <c r="I438" s="38"/>
      <c r="M438" s="38"/>
    </row>
    <row r="439">
      <c r="E439" s="38"/>
      <c r="I439" s="38"/>
      <c r="M439" s="38"/>
    </row>
    <row r="440">
      <c r="E440" s="38"/>
      <c r="I440" s="38"/>
      <c r="M440" s="38"/>
    </row>
    <row r="441">
      <c r="E441" s="38"/>
      <c r="I441" s="38"/>
      <c r="M441" s="38"/>
    </row>
    <row r="442">
      <c r="E442" s="38"/>
      <c r="I442" s="38"/>
      <c r="M442" s="38"/>
    </row>
    <row r="443">
      <c r="E443" s="38"/>
      <c r="I443" s="38"/>
      <c r="M443" s="38"/>
    </row>
    <row r="444">
      <c r="E444" s="38"/>
      <c r="I444" s="38"/>
      <c r="M444" s="38"/>
    </row>
    <row r="445">
      <c r="E445" s="38"/>
      <c r="I445" s="38"/>
      <c r="M445" s="38"/>
    </row>
    <row r="446">
      <c r="E446" s="38"/>
      <c r="I446" s="38"/>
      <c r="M446" s="38"/>
    </row>
    <row r="447">
      <c r="E447" s="38"/>
      <c r="I447" s="38"/>
      <c r="M447" s="38"/>
    </row>
    <row r="448">
      <c r="E448" s="38"/>
      <c r="I448" s="38"/>
      <c r="M448" s="38"/>
    </row>
    <row r="449">
      <c r="E449" s="38"/>
      <c r="I449" s="38"/>
      <c r="M449" s="38"/>
    </row>
    <row r="450">
      <c r="E450" s="38"/>
      <c r="I450" s="38"/>
      <c r="M450" s="38"/>
    </row>
    <row r="451">
      <c r="E451" s="38"/>
      <c r="I451" s="38"/>
      <c r="M451" s="38"/>
    </row>
    <row r="452">
      <c r="E452" s="38"/>
      <c r="I452" s="38"/>
      <c r="M452" s="38"/>
    </row>
    <row r="453">
      <c r="E453" s="38"/>
      <c r="I453" s="38"/>
      <c r="M453" s="38"/>
    </row>
    <row r="454">
      <c r="E454" s="38"/>
      <c r="I454" s="38"/>
      <c r="M454" s="38"/>
    </row>
    <row r="455">
      <c r="E455" s="38"/>
      <c r="I455" s="38"/>
      <c r="M455" s="38"/>
    </row>
    <row r="456">
      <c r="E456" s="38"/>
      <c r="I456" s="38"/>
      <c r="M456" s="38"/>
    </row>
    <row r="457">
      <c r="E457" s="38"/>
      <c r="I457" s="38"/>
      <c r="M457" s="38"/>
    </row>
    <row r="458">
      <c r="E458" s="38"/>
      <c r="I458" s="38"/>
      <c r="M458" s="38"/>
    </row>
    <row r="459">
      <c r="E459" s="38"/>
      <c r="I459" s="38"/>
      <c r="M459" s="38"/>
    </row>
    <row r="460">
      <c r="E460" s="38"/>
      <c r="I460" s="38"/>
      <c r="M460" s="38"/>
    </row>
    <row r="461">
      <c r="E461" s="38"/>
      <c r="I461" s="38"/>
      <c r="M461" s="38"/>
    </row>
    <row r="462">
      <c r="E462" s="38"/>
      <c r="I462" s="38"/>
      <c r="M462" s="38"/>
    </row>
    <row r="463">
      <c r="E463" s="38"/>
      <c r="I463" s="38"/>
      <c r="M463" s="38"/>
    </row>
    <row r="464">
      <c r="E464" s="38"/>
      <c r="I464" s="38"/>
      <c r="M464" s="38"/>
    </row>
    <row r="465">
      <c r="E465" s="38"/>
      <c r="I465" s="38"/>
      <c r="M465" s="38"/>
    </row>
    <row r="466">
      <c r="E466" s="38"/>
      <c r="I466" s="38"/>
      <c r="M466" s="38"/>
    </row>
    <row r="467">
      <c r="E467" s="38"/>
      <c r="I467" s="38"/>
      <c r="M467" s="38"/>
    </row>
    <row r="468">
      <c r="E468" s="38"/>
      <c r="I468" s="38"/>
      <c r="M468" s="38"/>
    </row>
    <row r="469">
      <c r="E469" s="38"/>
      <c r="I469" s="38"/>
      <c r="M469" s="38"/>
    </row>
    <row r="470">
      <c r="E470" s="38"/>
      <c r="I470" s="38"/>
      <c r="M470" s="38"/>
    </row>
    <row r="471">
      <c r="E471" s="38"/>
      <c r="I471" s="38"/>
      <c r="M471" s="38"/>
    </row>
    <row r="472">
      <c r="E472" s="38"/>
      <c r="I472" s="38"/>
      <c r="M472" s="38"/>
    </row>
    <row r="473">
      <c r="E473" s="38"/>
      <c r="I473" s="38"/>
      <c r="M473" s="38"/>
    </row>
    <row r="474">
      <c r="E474" s="38"/>
      <c r="I474" s="38"/>
      <c r="M474" s="38"/>
    </row>
    <row r="475">
      <c r="E475" s="38"/>
      <c r="I475" s="38"/>
      <c r="M475" s="38"/>
    </row>
    <row r="476">
      <c r="E476" s="38"/>
      <c r="I476" s="38"/>
      <c r="M476" s="38"/>
    </row>
    <row r="477">
      <c r="E477" s="38"/>
      <c r="I477" s="38"/>
      <c r="M477" s="38"/>
    </row>
    <row r="478">
      <c r="E478" s="38"/>
      <c r="I478" s="38"/>
      <c r="M478" s="38"/>
    </row>
    <row r="479">
      <c r="E479" s="38"/>
      <c r="I479" s="38"/>
      <c r="M479" s="38"/>
    </row>
    <row r="480">
      <c r="E480" s="38"/>
      <c r="I480" s="38"/>
      <c r="M480" s="38"/>
    </row>
    <row r="481">
      <c r="E481" s="38"/>
      <c r="I481" s="38"/>
      <c r="M481" s="38"/>
    </row>
    <row r="482">
      <c r="E482" s="38"/>
      <c r="I482" s="38"/>
      <c r="M482" s="38"/>
    </row>
    <row r="483">
      <c r="E483" s="38"/>
      <c r="I483" s="38"/>
      <c r="M483" s="38"/>
    </row>
    <row r="484">
      <c r="E484" s="38"/>
      <c r="I484" s="38"/>
      <c r="M484" s="38"/>
    </row>
    <row r="485">
      <c r="E485" s="38"/>
      <c r="I485" s="38"/>
      <c r="M485" s="38"/>
    </row>
    <row r="486">
      <c r="E486" s="38"/>
      <c r="I486" s="38"/>
      <c r="M486" s="38"/>
    </row>
    <row r="487">
      <c r="E487" s="38"/>
      <c r="I487" s="38"/>
      <c r="M487" s="38"/>
    </row>
    <row r="488">
      <c r="E488" s="38"/>
      <c r="I488" s="38"/>
      <c r="M488" s="38"/>
    </row>
    <row r="489">
      <c r="E489" s="38"/>
      <c r="I489" s="38"/>
      <c r="M489" s="38"/>
    </row>
    <row r="490">
      <c r="E490" s="38"/>
      <c r="I490" s="38"/>
      <c r="M490" s="38"/>
    </row>
    <row r="491">
      <c r="E491" s="38"/>
      <c r="I491" s="38"/>
      <c r="M491" s="38"/>
    </row>
    <row r="492">
      <c r="E492" s="38"/>
      <c r="I492" s="38"/>
      <c r="M492" s="38"/>
    </row>
    <row r="493">
      <c r="E493" s="38"/>
      <c r="I493" s="38"/>
      <c r="M493" s="38"/>
    </row>
    <row r="494">
      <c r="E494" s="38"/>
      <c r="I494" s="38"/>
      <c r="M494" s="38"/>
    </row>
    <row r="495">
      <c r="E495" s="38"/>
      <c r="I495" s="38"/>
      <c r="M495" s="38"/>
    </row>
    <row r="496">
      <c r="E496" s="38"/>
      <c r="I496" s="38"/>
      <c r="M496" s="38"/>
    </row>
    <row r="497">
      <c r="E497" s="38"/>
      <c r="I497" s="38"/>
      <c r="M497" s="38"/>
    </row>
    <row r="498">
      <c r="E498" s="38"/>
      <c r="I498" s="38"/>
      <c r="M498" s="38"/>
    </row>
    <row r="499">
      <c r="E499" s="38"/>
      <c r="I499" s="38"/>
      <c r="M499" s="38"/>
    </row>
    <row r="500">
      <c r="E500" s="38"/>
      <c r="I500" s="38"/>
      <c r="M500" s="38"/>
    </row>
    <row r="501">
      <c r="E501" s="38"/>
      <c r="I501" s="38"/>
      <c r="M501" s="38"/>
    </row>
    <row r="502">
      <c r="E502" s="38"/>
      <c r="I502" s="38"/>
      <c r="M502" s="38"/>
    </row>
    <row r="503">
      <c r="E503" s="38"/>
      <c r="I503" s="38"/>
      <c r="M503" s="38"/>
    </row>
    <row r="504">
      <c r="E504" s="38"/>
      <c r="I504" s="38"/>
      <c r="M504" s="38"/>
    </row>
    <row r="505">
      <c r="E505" s="38"/>
      <c r="I505" s="38"/>
      <c r="M505" s="38"/>
    </row>
    <row r="506">
      <c r="E506" s="38"/>
      <c r="I506" s="38"/>
      <c r="M506" s="38"/>
    </row>
    <row r="507">
      <c r="E507" s="38"/>
      <c r="I507" s="38"/>
      <c r="M507" s="38"/>
    </row>
    <row r="508">
      <c r="E508" s="38"/>
      <c r="I508" s="38"/>
      <c r="M508" s="38"/>
    </row>
    <row r="509">
      <c r="E509" s="38"/>
      <c r="I509" s="38"/>
      <c r="M509" s="38"/>
    </row>
    <row r="510">
      <c r="E510" s="38"/>
      <c r="I510" s="38"/>
      <c r="M510" s="38"/>
    </row>
    <row r="511">
      <c r="E511" s="38"/>
      <c r="I511" s="38"/>
      <c r="M511" s="38"/>
    </row>
    <row r="512">
      <c r="E512" s="38"/>
      <c r="I512" s="38"/>
      <c r="M512" s="38"/>
    </row>
    <row r="513">
      <c r="E513" s="38"/>
      <c r="I513" s="38"/>
      <c r="M513" s="38"/>
    </row>
    <row r="514">
      <c r="E514" s="38"/>
      <c r="I514" s="38"/>
      <c r="M514" s="38"/>
    </row>
    <row r="515">
      <c r="E515" s="38"/>
      <c r="I515" s="38"/>
      <c r="M515" s="38"/>
    </row>
    <row r="516">
      <c r="E516" s="38"/>
      <c r="I516" s="38"/>
      <c r="M516" s="38"/>
    </row>
    <row r="517">
      <c r="E517" s="38"/>
      <c r="I517" s="38"/>
      <c r="M517" s="38"/>
    </row>
    <row r="518">
      <c r="E518" s="38"/>
      <c r="I518" s="38"/>
      <c r="M518" s="38"/>
    </row>
    <row r="519">
      <c r="E519" s="38"/>
      <c r="I519" s="38"/>
      <c r="M519" s="38"/>
    </row>
    <row r="520">
      <c r="E520" s="38"/>
      <c r="I520" s="38"/>
      <c r="M520" s="38"/>
    </row>
    <row r="521">
      <c r="E521" s="38"/>
      <c r="I521" s="38"/>
      <c r="M521" s="38"/>
    </row>
    <row r="522">
      <c r="E522" s="38"/>
      <c r="I522" s="38"/>
      <c r="M522" s="38"/>
    </row>
    <row r="523">
      <c r="E523" s="38"/>
      <c r="I523" s="38"/>
      <c r="M523" s="38"/>
    </row>
    <row r="524">
      <c r="E524" s="38"/>
      <c r="I524" s="38"/>
      <c r="M524" s="38"/>
    </row>
    <row r="525">
      <c r="E525" s="38"/>
      <c r="I525" s="38"/>
      <c r="M525" s="38"/>
    </row>
    <row r="526">
      <c r="E526" s="38"/>
      <c r="I526" s="38"/>
      <c r="M526" s="38"/>
    </row>
    <row r="527">
      <c r="E527" s="38"/>
      <c r="I527" s="38"/>
      <c r="M527" s="38"/>
    </row>
    <row r="528">
      <c r="E528" s="38"/>
      <c r="I528" s="38"/>
      <c r="M528" s="38"/>
    </row>
    <row r="529">
      <c r="E529" s="38"/>
      <c r="I529" s="38"/>
      <c r="M529" s="38"/>
    </row>
    <row r="530">
      <c r="E530" s="38"/>
      <c r="I530" s="38"/>
      <c r="M530" s="38"/>
    </row>
    <row r="531">
      <c r="E531" s="38"/>
      <c r="I531" s="38"/>
      <c r="M531" s="38"/>
    </row>
    <row r="532">
      <c r="E532" s="38"/>
      <c r="I532" s="38"/>
      <c r="M532" s="38"/>
    </row>
    <row r="533">
      <c r="E533" s="38"/>
      <c r="I533" s="38"/>
      <c r="M533" s="38"/>
    </row>
    <row r="534">
      <c r="E534" s="38"/>
      <c r="I534" s="38"/>
      <c r="M534" s="38"/>
    </row>
    <row r="535">
      <c r="E535" s="38"/>
      <c r="I535" s="38"/>
      <c r="M535" s="38"/>
    </row>
    <row r="536">
      <c r="E536" s="38"/>
      <c r="I536" s="38"/>
      <c r="M536" s="38"/>
    </row>
    <row r="537">
      <c r="E537" s="38"/>
      <c r="I537" s="38"/>
      <c r="M537" s="38"/>
    </row>
    <row r="538">
      <c r="E538" s="38"/>
      <c r="I538" s="38"/>
      <c r="M538" s="38"/>
    </row>
    <row r="539">
      <c r="E539" s="38"/>
      <c r="I539" s="38"/>
      <c r="M539" s="38"/>
    </row>
    <row r="540">
      <c r="E540" s="38"/>
      <c r="I540" s="38"/>
      <c r="M540" s="38"/>
    </row>
    <row r="541">
      <c r="E541" s="38"/>
      <c r="I541" s="38"/>
      <c r="M541" s="38"/>
    </row>
    <row r="542">
      <c r="E542" s="38"/>
      <c r="I542" s="38"/>
      <c r="M542" s="38"/>
    </row>
    <row r="543">
      <c r="E543" s="38"/>
      <c r="I543" s="38"/>
      <c r="M543" s="38"/>
    </row>
    <row r="544">
      <c r="E544" s="38"/>
      <c r="I544" s="38"/>
      <c r="M544" s="38"/>
    </row>
    <row r="545">
      <c r="E545" s="38"/>
      <c r="I545" s="38"/>
      <c r="M545" s="38"/>
    </row>
    <row r="546">
      <c r="E546" s="38"/>
      <c r="I546" s="38"/>
      <c r="M546" s="38"/>
    </row>
    <row r="547">
      <c r="E547" s="38"/>
      <c r="I547" s="38"/>
      <c r="M547" s="38"/>
    </row>
    <row r="548">
      <c r="E548" s="38"/>
      <c r="I548" s="38"/>
      <c r="M548" s="38"/>
    </row>
    <row r="549">
      <c r="E549" s="38"/>
      <c r="I549" s="38"/>
      <c r="M549" s="38"/>
    </row>
    <row r="550">
      <c r="E550" s="38"/>
      <c r="I550" s="38"/>
      <c r="M550" s="38"/>
    </row>
    <row r="551">
      <c r="E551" s="38"/>
      <c r="I551" s="38"/>
      <c r="M551" s="38"/>
    </row>
    <row r="552">
      <c r="E552" s="38"/>
      <c r="I552" s="38"/>
      <c r="M552" s="38"/>
    </row>
    <row r="553">
      <c r="E553" s="38"/>
      <c r="I553" s="38"/>
      <c r="M553" s="38"/>
    </row>
    <row r="554">
      <c r="E554" s="38"/>
      <c r="I554" s="38"/>
      <c r="M554" s="38"/>
    </row>
    <row r="555">
      <c r="E555" s="38"/>
      <c r="I555" s="38"/>
      <c r="M555" s="38"/>
    </row>
    <row r="556">
      <c r="E556" s="38"/>
      <c r="I556" s="38"/>
      <c r="M556" s="38"/>
    </row>
    <row r="557">
      <c r="E557" s="38"/>
      <c r="I557" s="38"/>
      <c r="M557" s="38"/>
    </row>
    <row r="558">
      <c r="E558" s="38"/>
      <c r="I558" s="38"/>
      <c r="M558" s="38"/>
    </row>
    <row r="559">
      <c r="E559" s="38"/>
      <c r="I559" s="38"/>
      <c r="M559" s="38"/>
    </row>
    <row r="560">
      <c r="E560" s="38"/>
      <c r="I560" s="38"/>
      <c r="M560" s="38"/>
    </row>
    <row r="561">
      <c r="E561" s="38"/>
      <c r="I561" s="38"/>
      <c r="M561" s="38"/>
    </row>
    <row r="562">
      <c r="E562" s="38"/>
      <c r="I562" s="38"/>
      <c r="M562" s="38"/>
    </row>
    <row r="563">
      <c r="E563" s="38"/>
      <c r="I563" s="38"/>
      <c r="M563" s="38"/>
    </row>
    <row r="564">
      <c r="E564" s="38"/>
      <c r="I564" s="38"/>
      <c r="M564" s="38"/>
    </row>
    <row r="565">
      <c r="E565" s="38"/>
      <c r="I565" s="38"/>
      <c r="M565" s="38"/>
    </row>
    <row r="566">
      <c r="E566" s="38"/>
      <c r="I566" s="38"/>
      <c r="M566" s="38"/>
    </row>
    <row r="567">
      <c r="E567" s="38"/>
      <c r="I567" s="38"/>
      <c r="M567" s="38"/>
    </row>
    <row r="568">
      <c r="E568" s="38"/>
      <c r="I568" s="38"/>
      <c r="M568" s="38"/>
    </row>
    <row r="569">
      <c r="E569" s="38"/>
      <c r="I569" s="38"/>
      <c r="M569" s="38"/>
    </row>
    <row r="570">
      <c r="E570" s="38"/>
      <c r="I570" s="38"/>
      <c r="M570" s="38"/>
    </row>
    <row r="571">
      <c r="E571" s="38"/>
      <c r="I571" s="38"/>
      <c r="M571" s="38"/>
    </row>
    <row r="572">
      <c r="E572" s="38"/>
      <c r="I572" s="38"/>
      <c r="M572" s="38"/>
    </row>
    <row r="573">
      <c r="E573" s="38"/>
      <c r="I573" s="38"/>
      <c r="M573" s="38"/>
    </row>
    <row r="574">
      <c r="E574" s="38"/>
      <c r="I574" s="38"/>
      <c r="M574" s="38"/>
    </row>
    <row r="575">
      <c r="E575" s="38"/>
      <c r="I575" s="38"/>
      <c r="M575" s="38"/>
    </row>
    <row r="576">
      <c r="E576" s="38"/>
      <c r="I576" s="38"/>
      <c r="M576" s="38"/>
    </row>
    <row r="577">
      <c r="E577" s="38"/>
      <c r="I577" s="38"/>
      <c r="M577" s="38"/>
    </row>
    <row r="578">
      <c r="E578" s="38"/>
      <c r="I578" s="38"/>
      <c r="M578" s="38"/>
    </row>
    <row r="579">
      <c r="E579" s="38"/>
      <c r="I579" s="38"/>
      <c r="M579" s="38"/>
    </row>
    <row r="580">
      <c r="E580" s="38"/>
      <c r="I580" s="38"/>
      <c r="M580" s="38"/>
    </row>
    <row r="581">
      <c r="E581" s="38"/>
      <c r="I581" s="38"/>
      <c r="M581" s="38"/>
    </row>
    <row r="582">
      <c r="E582" s="38"/>
      <c r="I582" s="38"/>
      <c r="M582" s="38"/>
    </row>
    <row r="583">
      <c r="E583" s="38"/>
      <c r="I583" s="38"/>
      <c r="M583" s="38"/>
    </row>
    <row r="584">
      <c r="E584" s="38"/>
      <c r="I584" s="38"/>
      <c r="M584" s="38"/>
    </row>
    <row r="585">
      <c r="E585" s="38"/>
      <c r="I585" s="38"/>
      <c r="M585" s="38"/>
    </row>
    <row r="586">
      <c r="E586" s="38"/>
      <c r="I586" s="38"/>
      <c r="M586" s="38"/>
    </row>
    <row r="587">
      <c r="E587" s="38"/>
      <c r="I587" s="38"/>
      <c r="M587" s="38"/>
    </row>
    <row r="588">
      <c r="E588" s="38"/>
      <c r="I588" s="38"/>
      <c r="M588" s="38"/>
    </row>
    <row r="589">
      <c r="E589" s="38"/>
      <c r="I589" s="38"/>
      <c r="M589" s="38"/>
    </row>
    <row r="590">
      <c r="E590" s="38"/>
      <c r="I590" s="38"/>
      <c r="M590" s="38"/>
    </row>
    <row r="591">
      <c r="E591" s="38"/>
      <c r="I591" s="38"/>
      <c r="M591" s="38"/>
    </row>
    <row r="592">
      <c r="E592" s="38"/>
      <c r="I592" s="38"/>
      <c r="M592" s="38"/>
    </row>
    <row r="593">
      <c r="E593" s="38"/>
      <c r="I593" s="38"/>
      <c r="M593" s="38"/>
    </row>
    <row r="594">
      <c r="E594" s="38"/>
      <c r="I594" s="38"/>
      <c r="M594" s="38"/>
    </row>
    <row r="595">
      <c r="E595" s="38"/>
      <c r="I595" s="38"/>
      <c r="M595" s="38"/>
    </row>
    <row r="596">
      <c r="E596" s="38"/>
      <c r="I596" s="38"/>
      <c r="M596" s="38"/>
    </row>
    <row r="597">
      <c r="E597" s="38"/>
      <c r="I597" s="38"/>
      <c r="M597" s="38"/>
    </row>
    <row r="598">
      <c r="E598" s="38"/>
      <c r="I598" s="38"/>
      <c r="M598" s="38"/>
    </row>
    <row r="599">
      <c r="E599" s="38"/>
      <c r="I599" s="38"/>
      <c r="M599" s="38"/>
    </row>
    <row r="600">
      <c r="E600" s="38"/>
      <c r="I600" s="38"/>
      <c r="M600" s="38"/>
    </row>
    <row r="601">
      <c r="E601" s="38"/>
      <c r="I601" s="38"/>
      <c r="M601" s="38"/>
    </row>
    <row r="602">
      <c r="E602" s="38"/>
      <c r="I602" s="38"/>
      <c r="M602" s="38"/>
    </row>
    <row r="603">
      <c r="E603" s="38"/>
      <c r="I603" s="38"/>
      <c r="M603" s="38"/>
    </row>
    <row r="604">
      <c r="E604" s="38"/>
      <c r="I604" s="38"/>
      <c r="M604" s="38"/>
    </row>
    <row r="605">
      <c r="E605" s="38"/>
      <c r="I605" s="38"/>
      <c r="M605" s="38"/>
    </row>
    <row r="606">
      <c r="E606" s="38"/>
      <c r="I606" s="38"/>
      <c r="M606" s="38"/>
    </row>
    <row r="607">
      <c r="E607" s="38"/>
      <c r="I607" s="38"/>
      <c r="M607" s="38"/>
    </row>
    <row r="608">
      <c r="E608" s="38"/>
      <c r="I608" s="38"/>
      <c r="M608" s="38"/>
    </row>
    <row r="609">
      <c r="E609" s="38"/>
      <c r="I609" s="38"/>
      <c r="M609" s="38"/>
    </row>
    <row r="610">
      <c r="E610" s="38"/>
      <c r="I610" s="38"/>
      <c r="M610" s="38"/>
    </row>
    <row r="611">
      <c r="E611" s="38"/>
      <c r="I611" s="38"/>
      <c r="M611" s="38"/>
    </row>
    <row r="612">
      <c r="E612" s="38"/>
      <c r="I612" s="38"/>
      <c r="M612" s="38"/>
    </row>
    <row r="613">
      <c r="E613" s="38"/>
      <c r="I613" s="38"/>
      <c r="M613" s="38"/>
    </row>
    <row r="614">
      <c r="E614" s="38"/>
      <c r="I614" s="38"/>
      <c r="M614" s="38"/>
    </row>
    <row r="615">
      <c r="E615" s="38"/>
      <c r="I615" s="38"/>
      <c r="M615" s="38"/>
    </row>
    <row r="616">
      <c r="E616" s="38"/>
      <c r="I616" s="38"/>
      <c r="M616" s="38"/>
    </row>
    <row r="617">
      <c r="E617" s="38"/>
      <c r="I617" s="38"/>
      <c r="M617" s="38"/>
    </row>
    <row r="618">
      <c r="E618" s="38"/>
      <c r="I618" s="38"/>
      <c r="M618" s="38"/>
    </row>
    <row r="619">
      <c r="E619" s="38"/>
      <c r="I619" s="38"/>
      <c r="M619" s="38"/>
    </row>
    <row r="620">
      <c r="E620" s="38"/>
      <c r="I620" s="38"/>
      <c r="M620" s="38"/>
    </row>
    <row r="621">
      <c r="E621" s="38"/>
      <c r="I621" s="38"/>
      <c r="M621" s="38"/>
    </row>
    <row r="622">
      <c r="E622" s="38"/>
      <c r="I622" s="38"/>
      <c r="M622" s="38"/>
    </row>
    <row r="623">
      <c r="E623" s="38"/>
      <c r="I623" s="38"/>
      <c r="M623" s="38"/>
    </row>
    <row r="624">
      <c r="E624" s="38"/>
      <c r="I624" s="38"/>
      <c r="M624" s="38"/>
    </row>
    <row r="625">
      <c r="E625" s="38"/>
      <c r="I625" s="38"/>
      <c r="M625" s="38"/>
    </row>
    <row r="626">
      <c r="E626" s="38"/>
      <c r="I626" s="38"/>
      <c r="M626" s="38"/>
    </row>
    <row r="627">
      <c r="E627" s="38"/>
      <c r="I627" s="38"/>
      <c r="M627" s="38"/>
    </row>
    <row r="628">
      <c r="E628" s="38"/>
      <c r="I628" s="38"/>
      <c r="M628" s="38"/>
    </row>
    <row r="629">
      <c r="E629" s="38"/>
      <c r="I629" s="38"/>
      <c r="M629" s="38"/>
    </row>
    <row r="630">
      <c r="E630" s="38"/>
      <c r="I630" s="38"/>
      <c r="M630" s="38"/>
    </row>
    <row r="631">
      <c r="E631" s="38"/>
      <c r="I631" s="38"/>
      <c r="M631" s="38"/>
    </row>
    <row r="632">
      <c r="E632" s="38"/>
      <c r="I632" s="38"/>
      <c r="M632" s="38"/>
    </row>
    <row r="633">
      <c r="E633" s="38"/>
      <c r="I633" s="38"/>
      <c r="M633" s="38"/>
    </row>
    <row r="634">
      <c r="E634" s="38"/>
      <c r="I634" s="38"/>
      <c r="M634" s="38"/>
    </row>
    <row r="635">
      <c r="E635" s="38"/>
      <c r="I635" s="38"/>
      <c r="M635" s="38"/>
    </row>
    <row r="636">
      <c r="E636" s="38"/>
      <c r="I636" s="38"/>
      <c r="M636" s="38"/>
    </row>
    <row r="637">
      <c r="E637" s="38"/>
      <c r="I637" s="38"/>
      <c r="M637" s="38"/>
    </row>
    <row r="638">
      <c r="E638" s="38"/>
      <c r="I638" s="38"/>
      <c r="M638" s="38"/>
    </row>
    <row r="639">
      <c r="E639" s="38"/>
      <c r="I639" s="38"/>
      <c r="M639" s="38"/>
    </row>
    <row r="640">
      <c r="E640" s="38"/>
      <c r="I640" s="38"/>
      <c r="M640" s="38"/>
    </row>
    <row r="641">
      <c r="E641" s="38"/>
      <c r="I641" s="38"/>
      <c r="M641" s="38"/>
    </row>
    <row r="642">
      <c r="E642" s="38"/>
      <c r="I642" s="38"/>
      <c r="M642" s="38"/>
    </row>
    <row r="643">
      <c r="E643" s="38"/>
      <c r="I643" s="38"/>
      <c r="M643" s="38"/>
    </row>
    <row r="644">
      <c r="E644" s="38"/>
      <c r="I644" s="38"/>
      <c r="M644" s="38"/>
    </row>
    <row r="645">
      <c r="E645" s="38"/>
      <c r="I645" s="38"/>
      <c r="M645" s="38"/>
    </row>
    <row r="646">
      <c r="E646" s="38"/>
      <c r="I646" s="38"/>
      <c r="M646" s="38"/>
    </row>
    <row r="647">
      <c r="E647" s="38"/>
      <c r="I647" s="38"/>
      <c r="M647" s="38"/>
    </row>
    <row r="648">
      <c r="E648" s="38"/>
      <c r="I648" s="38"/>
      <c r="M648" s="38"/>
    </row>
    <row r="649">
      <c r="E649" s="38"/>
      <c r="I649" s="38"/>
      <c r="M649" s="38"/>
    </row>
    <row r="650">
      <c r="E650" s="38"/>
      <c r="I650" s="38"/>
      <c r="M650" s="38"/>
    </row>
    <row r="651">
      <c r="E651" s="38"/>
      <c r="I651" s="38"/>
      <c r="M651" s="38"/>
    </row>
    <row r="652">
      <c r="E652" s="38"/>
      <c r="I652" s="38"/>
      <c r="M652" s="38"/>
    </row>
    <row r="653">
      <c r="E653" s="38"/>
      <c r="I653" s="38"/>
      <c r="M653" s="38"/>
    </row>
    <row r="654">
      <c r="E654" s="38"/>
      <c r="I654" s="38"/>
      <c r="M654" s="38"/>
    </row>
    <row r="655">
      <c r="E655" s="38"/>
      <c r="I655" s="38"/>
      <c r="M655" s="38"/>
    </row>
    <row r="656">
      <c r="E656" s="38"/>
      <c r="I656" s="38"/>
      <c r="M656" s="38"/>
    </row>
    <row r="657">
      <c r="E657" s="38"/>
      <c r="I657" s="38"/>
      <c r="M657" s="38"/>
    </row>
    <row r="658">
      <c r="E658" s="38"/>
      <c r="I658" s="38"/>
      <c r="M658" s="38"/>
    </row>
    <row r="659">
      <c r="E659" s="38"/>
      <c r="I659" s="38"/>
      <c r="M659" s="38"/>
    </row>
    <row r="660">
      <c r="E660" s="38"/>
      <c r="I660" s="38"/>
      <c r="M660" s="38"/>
    </row>
    <row r="661">
      <c r="E661" s="38"/>
      <c r="I661" s="38"/>
      <c r="M661" s="38"/>
    </row>
    <row r="662">
      <c r="E662" s="38"/>
      <c r="I662" s="38"/>
      <c r="M662" s="38"/>
    </row>
    <row r="663">
      <c r="E663" s="38"/>
      <c r="I663" s="38"/>
      <c r="M663" s="38"/>
    </row>
    <row r="664">
      <c r="E664" s="38"/>
      <c r="I664" s="38"/>
      <c r="M664" s="38"/>
    </row>
    <row r="665">
      <c r="E665" s="38"/>
      <c r="I665" s="38"/>
      <c r="M665" s="38"/>
    </row>
    <row r="666">
      <c r="E666" s="38"/>
      <c r="I666" s="38"/>
      <c r="M666" s="38"/>
    </row>
    <row r="667">
      <c r="E667" s="38"/>
      <c r="I667" s="38"/>
      <c r="M667" s="38"/>
    </row>
    <row r="668">
      <c r="E668" s="38"/>
      <c r="I668" s="38"/>
      <c r="M668" s="38"/>
    </row>
    <row r="669">
      <c r="E669" s="38"/>
      <c r="I669" s="38"/>
      <c r="M669" s="38"/>
    </row>
    <row r="670">
      <c r="E670" s="38"/>
      <c r="I670" s="38"/>
      <c r="M670" s="38"/>
    </row>
    <row r="671">
      <c r="E671" s="38"/>
      <c r="I671" s="38"/>
      <c r="M671" s="38"/>
    </row>
    <row r="672">
      <c r="E672" s="38"/>
      <c r="I672" s="38"/>
      <c r="M672" s="38"/>
    </row>
    <row r="673">
      <c r="E673" s="38"/>
      <c r="I673" s="38"/>
      <c r="M673" s="38"/>
    </row>
    <row r="674">
      <c r="E674" s="38"/>
      <c r="I674" s="38"/>
      <c r="M674" s="38"/>
    </row>
    <row r="675">
      <c r="E675" s="38"/>
      <c r="I675" s="38"/>
      <c r="M675" s="38"/>
    </row>
    <row r="676">
      <c r="E676" s="38"/>
      <c r="I676" s="38"/>
      <c r="M676" s="38"/>
    </row>
    <row r="677">
      <c r="E677" s="38"/>
      <c r="I677" s="38"/>
      <c r="M677" s="38"/>
    </row>
    <row r="678">
      <c r="E678" s="38"/>
      <c r="I678" s="38"/>
      <c r="M678" s="38"/>
    </row>
    <row r="679">
      <c r="E679" s="38"/>
      <c r="I679" s="38"/>
      <c r="M679" s="38"/>
    </row>
    <row r="680">
      <c r="E680" s="38"/>
      <c r="I680" s="38"/>
      <c r="M680" s="38"/>
    </row>
    <row r="681">
      <c r="E681" s="38"/>
      <c r="I681" s="38"/>
      <c r="M681" s="38"/>
    </row>
    <row r="682">
      <c r="E682" s="38"/>
      <c r="I682" s="38"/>
      <c r="M682" s="38"/>
    </row>
    <row r="683">
      <c r="E683" s="38"/>
      <c r="I683" s="38"/>
      <c r="M683" s="38"/>
    </row>
    <row r="684">
      <c r="E684" s="38"/>
      <c r="I684" s="38"/>
      <c r="M684" s="38"/>
    </row>
    <row r="685">
      <c r="E685" s="38"/>
      <c r="I685" s="38"/>
      <c r="M685" s="38"/>
    </row>
    <row r="686">
      <c r="E686" s="38"/>
      <c r="I686" s="38"/>
      <c r="M686" s="38"/>
    </row>
    <row r="687">
      <c r="E687" s="38"/>
      <c r="I687" s="38"/>
      <c r="M687" s="38"/>
    </row>
    <row r="688">
      <c r="E688" s="38"/>
      <c r="I688" s="38"/>
      <c r="M688" s="38"/>
    </row>
    <row r="689">
      <c r="E689" s="38"/>
      <c r="I689" s="38"/>
      <c r="M689" s="38"/>
    </row>
    <row r="690">
      <c r="E690" s="38"/>
      <c r="I690" s="38"/>
      <c r="M690" s="38"/>
    </row>
    <row r="691">
      <c r="E691" s="38"/>
      <c r="I691" s="38"/>
      <c r="M691" s="38"/>
    </row>
    <row r="692">
      <c r="E692" s="38"/>
      <c r="I692" s="38"/>
      <c r="M692" s="38"/>
    </row>
    <row r="693">
      <c r="E693" s="38"/>
      <c r="I693" s="38"/>
      <c r="M693" s="38"/>
    </row>
    <row r="694">
      <c r="E694" s="38"/>
      <c r="I694" s="38"/>
      <c r="M694" s="38"/>
    </row>
    <row r="695">
      <c r="E695" s="38"/>
      <c r="I695" s="38"/>
      <c r="M695" s="38"/>
    </row>
    <row r="696">
      <c r="E696" s="38"/>
      <c r="I696" s="38"/>
      <c r="M696" s="38"/>
    </row>
    <row r="697">
      <c r="E697" s="38"/>
      <c r="I697" s="38"/>
      <c r="M697" s="38"/>
    </row>
    <row r="698">
      <c r="E698" s="38"/>
      <c r="I698" s="38"/>
      <c r="M698" s="38"/>
    </row>
    <row r="699">
      <c r="E699" s="38"/>
      <c r="I699" s="38"/>
      <c r="M699" s="38"/>
    </row>
    <row r="700">
      <c r="E700" s="38"/>
      <c r="I700" s="38"/>
      <c r="M700" s="38"/>
    </row>
    <row r="701">
      <c r="E701" s="38"/>
      <c r="I701" s="38"/>
      <c r="M701" s="38"/>
    </row>
    <row r="702">
      <c r="E702" s="38"/>
      <c r="I702" s="38"/>
      <c r="M702" s="38"/>
    </row>
    <row r="703">
      <c r="E703" s="38"/>
      <c r="I703" s="38"/>
      <c r="M703" s="38"/>
    </row>
    <row r="704">
      <c r="E704" s="38"/>
      <c r="I704" s="38"/>
      <c r="M704" s="38"/>
    </row>
    <row r="705">
      <c r="E705" s="38"/>
      <c r="I705" s="38"/>
      <c r="M705" s="38"/>
    </row>
    <row r="706">
      <c r="E706" s="38"/>
      <c r="I706" s="38"/>
      <c r="M706" s="38"/>
    </row>
    <row r="707">
      <c r="E707" s="38"/>
      <c r="I707" s="38"/>
      <c r="M707" s="38"/>
    </row>
    <row r="708">
      <c r="E708" s="38"/>
      <c r="I708" s="38"/>
      <c r="M708" s="38"/>
    </row>
    <row r="709">
      <c r="E709" s="38"/>
      <c r="I709" s="38"/>
      <c r="M709" s="38"/>
    </row>
    <row r="710">
      <c r="E710" s="38"/>
      <c r="I710" s="38"/>
      <c r="M710" s="38"/>
    </row>
    <row r="711">
      <c r="E711" s="38"/>
      <c r="I711" s="38"/>
      <c r="M711" s="38"/>
    </row>
    <row r="712">
      <c r="E712" s="38"/>
      <c r="I712" s="38"/>
      <c r="M712" s="38"/>
    </row>
    <row r="713">
      <c r="E713" s="38"/>
      <c r="I713" s="38"/>
      <c r="M713" s="38"/>
    </row>
    <row r="714">
      <c r="E714" s="38"/>
      <c r="I714" s="38"/>
      <c r="M714" s="38"/>
    </row>
    <row r="715">
      <c r="E715" s="38"/>
      <c r="I715" s="38"/>
      <c r="M715" s="38"/>
    </row>
    <row r="716">
      <c r="E716" s="38"/>
      <c r="I716" s="38"/>
      <c r="M716" s="38"/>
    </row>
    <row r="717">
      <c r="E717" s="38"/>
      <c r="I717" s="38"/>
      <c r="M717" s="38"/>
    </row>
    <row r="718">
      <c r="E718" s="38"/>
      <c r="I718" s="38"/>
      <c r="M718" s="38"/>
    </row>
    <row r="719">
      <c r="E719" s="38"/>
      <c r="I719" s="38"/>
      <c r="M719" s="38"/>
    </row>
    <row r="720">
      <c r="E720" s="38"/>
      <c r="I720" s="38"/>
      <c r="M720" s="38"/>
    </row>
    <row r="721">
      <c r="E721" s="38"/>
      <c r="I721" s="38"/>
      <c r="M721" s="38"/>
    </row>
    <row r="722">
      <c r="E722" s="38"/>
      <c r="I722" s="38"/>
      <c r="M722" s="38"/>
    </row>
    <row r="723">
      <c r="E723" s="38"/>
      <c r="I723" s="38"/>
      <c r="M723" s="38"/>
    </row>
    <row r="724">
      <c r="E724" s="38"/>
      <c r="I724" s="38"/>
      <c r="M724" s="38"/>
    </row>
    <row r="725">
      <c r="E725" s="38"/>
      <c r="I725" s="38"/>
      <c r="M725" s="38"/>
    </row>
    <row r="726">
      <c r="E726" s="38"/>
      <c r="I726" s="38"/>
      <c r="M726" s="38"/>
    </row>
    <row r="727">
      <c r="E727" s="38"/>
      <c r="I727" s="38"/>
      <c r="M727" s="38"/>
    </row>
    <row r="728">
      <c r="E728" s="38"/>
      <c r="I728" s="38"/>
      <c r="M728" s="38"/>
    </row>
    <row r="729">
      <c r="E729" s="38"/>
      <c r="I729" s="38"/>
      <c r="M729" s="38"/>
    </row>
    <row r="730">
      <c r="E730" s="38"/>
      <c r="I730" s="38"/>
      <c r="M730" s="38"/>
    </row>
    <row r="731">
      <c r="E731" s="38"/>
      <c r="I731" s="38"/>
      <c r="M731" s="38"/>
    </row>
    <row r="732">
      <c r="E732" s="38"/>
      <c r="I732" s="38"/>
      <c r="M732" s="38"/>
    </row>
    <row r="733">
      <c r="E733" s="38"/>
      <c r="I733" s="38"/>
      <c r="M733" s="38"/>
    </row>
    <row r="734">
      <c r="E734" s="38"/>
      <c r="I734" s="38"/>
      <c r="M734" s="38"/>
    </row>
    <row r="735">
      <c r="E735" s="38"/>
      <c r="I735" s="38"/>
      <c r="M735" s="38"/>
    </row>
    <row r="736">
      <c r="E736" s="38"/>
      <c r="I736" s="38"/>
      <c r="M736" s="38"/>
    </row>
    <row r="737">
      <c r="E737" s="38"/>
      <c r="I737" s="38"/>
      <c r="M737" s="38"/>
    </row>
    <row r="738">
      <c r="E738" s="38"/>
      <c r="I738" s="38"/>
      <c r="M738" s="38"/>
    </row>
    <row r="739">
      <c r="E739" s="38"/>
      <c r="I739" s="38"/>
      <c r="M739" s="38"/>
    </row>
    <row r="740">
      <c r="E740" s="38"/>
      <c r="I740" s="38"/>
      <c r="M740" s="38"/>
    </row>
    <row r="741">
      <c r="E741" s="38"/>
      <c r="I741" s="38"/>
      <c r="M741" s="38"/>
    </row>
    <row r="742">
      <c r="E742" s="38"/>
      <c r="I742" s="38"/>
      <c r="M742" s="38"/>
    </row>
    <row r="743">
      <c r="E743" s="38"/>
      <c r="I743" s="38"/>
      <c r="M743" s="38"/>
    </row>
    <row r="744">
      <c r="E744" s="38"/>
      <c r="I744" s="38"/>
      <c r="M744" s="38"/>
    </row>
    <row r="745">
      <c r="E745" s="38"/>
      <c r="I745" s="38"/>
      <c r="M745" s="38"/>
    </row>
    <row r="746">
      <c r="E746" s="38"/>
      <c r="I746" s="38"/>
      <c r="M746" s="38"/>
    </row>
    <row r="747">
      <c r="E747" s="38"/>
      <c r="I747" s="38"/>
      <c r="M747" s="38"/>
    </row>
    <row r="748">
      <c r="E748" s="38"/>
      <c r="I748" s="38"/>
      <c r="M748" s="38"/>
    </row>
    <row r="749">
      <c r="E749" s="38"/>
      <c r="I749" s="38"/>
      <c r="M749" s="38"/>
    </row>
    <row r="750">
      <c r="E750" s="38"/>
      <c r="I750" s="38"/>
      <c r="M750" s="38"/>
    </row>
    <row r="751">
      <c r="E751" s="38"/>
      <c r="I751" s="38"/>
      <c r="M751" s="38"/>
    </row>
    <row r="752">
      <c r="E752" s="38"/>
      <c r="I752" s="38"/>
      <c r="M752" s="38"/>
    </row>
    <row r="753">
      <c r="E753" s="38"/>
      <c r="I753" s="38"/>
      <c r="M753" s="38"/>
    </row>
    <row r="754">
      <c r="E754" s="38"/>
      <c r="I754" s="38"/>
      <c r="M754" s="38"/>
    </row>
    <row r="755">
      <c r="E755" s="38"/>
      <c r="I755" s="38"/>
      <c r="M755" s="38"/>
    </row>
    <row r="756">
      <c r="E756" s="38"/>
      <c r="I756" s="38"/>
      <c r="M756" s="38"/>
    </row>
    <row r="757">
      <c r="E757" s="38"/>
      <c r="I757" s="38"/>
      <c r="M757" s="38"/>
    </row>
    <row r="758">
      <c r="E758" s="38"/>
      <c r="I758" s="38"/>
      <c r="M758" s="38"/>
    </row>
    <row r="759">
      <c r="E759" s="38"/>
      <c r="I759" s="38"/>
      <c r="M759" s="38"/>
    </row>
    <row r="760">
      <c r="E760" s="38"/>
      <c r="I760" s="38"/>
      <c r="M760" s="38"/>
    </row>
    <row r="761">
      <c r="E761" s="38"/>
      <c r="I761" s="38"/>
      <c r="M761" s="38"/>
    </row>
    <row r="762">
      <c r="E762" s="38"/>
      <c r="I762" s="38"/>
      <c r="M762" s="38"/>
    </row>
    <row r="763">
      <c r="E763" s="38"/>
      <c r="I763" s="38"/>
      <c r="M763" s="38"/>
    </row>
    <row r="764">
      <c r="E764" s="38"/>
      <c r="I764" s="38"/>
      <c r="M764" s="38"/>
    </row>
    <row r="765">
      <c r="E765" s="38"/>
      <c r="I765" s="38"/>
      <c r="M765" s="38"/>
    </row>
    <row r="766">
      <c r="E766" s="38"/>
      <c r="I766" s="38"/>
      <c r="M766" s="38"/>
    </row>
    <row r="767">
      <c r="E767" s="38"/>
      <c r="I767" s="38"/>
      <c r="M767" s="38"/>
    </row>
    <row r="768">
      <c r="E768" s="38"/>
      <c r="I768" s="38"/>
      <c r="M768" s="38"/>
    </row>
    <row r="769">
      <c r="E769" s="38"/>
      <c r="I769" s="38"/>
      <c r="M769" s="38"/>
    </row>
    <row r="770">
      <c r="E770" s="38"/>
      <c r="I770" s="38"/>
      <c r="M770" s="38"/>
    </row>
    <row r="771">
      <c r="E771" s="38"/>
      <c r="I771" s="38"/>
      <c r="M771" s="38"/>
    </row>
    <row r="772">
      <c r="E772" s="38"/>
      <c r="I772" s="38"/>
      <c r="M772" s="38"/>
    </row>
    <row r="773">
      <c r="E773" s="38"/>
      <c r="I773" s="38"/>
      <c r="M773" s="38"/>
    </row>
    <row r="774">
      <c r="E774" s="38"/>
      <c r="I774" s="38"/>
      <c r="M774" s="38"/>
    </row>
    <row r="775">
      <c r="E775" s="38"/>
      <c r="I775" s="38"/>
      <c r="M775" s="38"/>
    </row>
    <row r="776">
      <c r="E776" s="38"/>
      <c r="I776" s="38"/>
      <c r="M776" s="38"/>
    </row>
    <row r="777">
      <c r="E777" s="38"/>
      <c r="I777" s="38"/>
      <c r="M777" s="38"/>
    </row>
    <row r="778">
      <c r="E778" s="38"/>
      <c r="I778" s="38"/>
      <c r="M778" s="38"/>
    </row>
    <row r="779">
      <c r="E779" s="38"/>
      <c r="I779" s="38"/>
      <c r="M779" s="38"/>
    </row>
    <row r="780">
      <c r="E780" s="38"/>
      <c r="I780" s="38"/>
      <c r="M780" s="38"/>
    </row>
    <row r="781">
      <c r="E781" s="38"/>
      <c r="I781" s="38"/>
      <c r="M781" s="38"/>
    </row>
    <row r="782">
      <c r="E782" s="38"/>
      <c r="I782" s="38"/>
      <c r="M782" s="38"/>
    </row>
    <row r="783">
      <c r="E783" s="38"/>
      <c r="I783" s="38"/>
      <c r="M783" s="38"/>
    </row>
    <row r="784">
      <c r="E784" s="38"/>
      <c r="I784" s="38"/>
      <c r="M784" s="38"/>
    </row>
    <row r="785">
      <c r="E785" s="38"/>
      <c r="I785" s="38"/>
      <c r="M785" s="38"/>
    </row>
    <row r="786">
      <c r="E786" s="38"/>
      <c r="I786" s="38"/>
      <c r="M786" s="38"/>
    </row>
    <row r="787">
      <c r="E787" s="38"/>
      <c r="I787" s="38"/>
      <c r="M787" s="38"/>
    </row>
    <row r="788">
      <c r="E788" s="38"/>
      <c r="I788" s="38"/>
      <c r="M788" s="38"/>
    </row>
    <row r="789">
      <c r="E789" s="38"/>
      <c r="I789" s="38"/>
      <c r="M789" s="38"/>
    </row>
    <row r="790">
      <c r="E790" s="38"/>
      <c r="I790" s="38"/>
      <c r="M790" s="38"/>
    </row>
    <row r="791">
      <c r="E791" s="38"/>
      <c r="I791" s="38"/>
      <c r="M791" s="38"/>
    </row>
    <row r="792">
      <c r="E792" s="38"/>
      <c r="I792" s="38"/>
      <c r="M792" s="38"/>
    </row>
    <row r="793">
      <c r="E793" s="38"/>
      <c r="I793" s="38"/>
      <c r="M793" s="38"/>
    </row>
    <row r="794">
      <c r="E794" s="38"/>
      <c r="I794" s="38"/>
      <c r="M794" s="38"/>
    </row>
    <row r="795">
      <c r="E795" s="38"/>
      <c r="I795" s="38"/>
      <c r="M795" s="38"/>
    </row>
    <row r="796">
      <c r="E796" s="38"/>
      <c r="I796" s="38"/>
      <c r="M796" s="38"/>
    </row>
    <row r="797">
      <c r="E797" s="38"/>
      <c r="I797" s="38"/>
      <c r="M797" s="38"/>
    </row>
    <row r="798">
      <c r="E798" s="38"/>
      <c r="I798" s="38"/>
      <c r="M798" s="38"/>
    </row>
    <row r="799">
      <c r="E799" s="38"/>
      <c r="I799" s="38"/>
      <c r="M799" s="38"/>
    </row>
    <row r="800">
      <c r="E800" s="38"/>
      <c r="I800" s="38"/>
      <c r="M800" s="38"/>
    </row>
    <row r="801">
      <c r="E801" s="38"/>
      <c r="I801" s="38"/>
      <c r="M801" s="38"/>
    </row>
    <row r="802">
      <c r="E802" s="38"/>
      <c r="I802" s="38"/>
      <c r="M802" s="38"/>
    </row>
    <row r="803">
      <c r="E803" s="38"/>
      <c r="I803" s="38"/>
      <c r="M803" s="38"/>
    </row>
    <row r="804">
      <c r="E804" s="38"/>
      <c r="I804" s="38"/>
      <c r="M804" s="38"/>
    </row>
    <row r="805">
      <c r="E805" s="38"/>
      <c r="I805" s="38"/>
      <c r="M805" s="38"/>
    </row>
    <row r="806">
      <c r="E806" s="38"/>
      <c r="I806" s="38"/>
      <c r="M806" s="38"/>
    </row>
    <row r="807">
      <c r="E807" s="38"/>
      <c r="I807" s="38"/>
      <c r="M807" s="38"/>
    </row>
    <row r="808">
      <c r="E808" s="38"/>
      <c r="I808" s="38"/>
      <c r="M808" s="38"/>
    </row>
    <row r="809">
      <c r="E809" s="38"/>
      <c r="I809" s="38"/>
      <c r="M809" s="38"/>
    </row>
    <row r="810">
      <c r="E810" s="38"/>
      <c r="I810" s="38"/>
      <c r="M810" s="38"/>
    </row>
    <row r="811">
      <c r="E811" s="38"/>
      <c r="I811" s="38"/>
      <c r="M811" s="38"/>
    </row>
    <row r="812">
      <c r="E812" s="38"/>
      <c r="I812" s="38"/>
      <c r="M812" s="38"/>
    </row>
    <row r="813">
      <c r="E813" s="38"/>
      <c r="I813" s="38"/>
      <c r="M813" s="38"/>
    </row>
    <row r="814">
      <c r="E814" s="38"/>
      <c r="I814" s="38"/>
      <c r="M814" s="38"/>
    </row>
    <row r="815">
      <c r="E815" s="38"/>
      <c r="I815" s="38"/>
      <c r="M815" s="38"/>
    </row>
    <row r="816">
      <c r="E816" s="38"/>
      <c r="I816" s="38"/>
      <c r="M816" s="38"/>
    </row>
    <row r="817">
      <c r="E817" s="38"/>
      <c r="I817" s="38"/>
      <c r="M817" s="38"/>
    </row>
    <row r="818">
      <c r="E818" s="38"/>
      <c r="I818" s="38"/>
      <c r="M818" s="38"/>
    </row>
    <row r="819">
      <c r="E819" s="38"/>
      <c r="I819" s="38"/>
      <c r="M819" s="38"/>
    </row>
    <row r="820">
      <c r="E820" s="38"/>
      <c r="I820" s="38"/>
      <c r="M820" s="38"/>
    </row>
    <row r="821">
      <c r="E821" s="38"/>
      <c r="I821" s="38"/>
      <c r="M821" s="38"/>
    </row>
    <row r="822">
      <c r="E822" s="38"/>
      <c r="I822" s="38"/>
      <c r="M822" s="38"/>
    </row>
    <row r="823">
      <c r="E823" s="38"/>
      <c r="I823" s="38"/>
      <c r="M823" s="38"/>
    </row>
    <row r="824">
      <c r="E824" s="38"/>
      <c r="I824" s="38"/>
      <c r="M824" s="38"/>
    </row>
    <row r="825">
      <c r="E825" s="38"/>
      <c r="I825" s="38"/>
      <c r="M825" s="38"/>
    </row>
    <row r="826">
      <c r="E826" s="38"/>
      <c r="I826" s="38"/>
      <c r="M826" s="38"/>
    </row>
    <row r="827">
      <c r="E827" s="38"/>
      <c r="I827" s="38"/>
      <c r="M827" s="38"/>
    </row>
    <row r="828">
      <c r="E828" s="38"/>
      <c r="I828" s="38"/>
      <c r="M828" s="38"/>
    </row>
    <row r="829">
      <c r="E829" s="38"/>
      <c r="I829" s="38"/>
      <c r="M829" s="38"/>
    </row>
    <row r="830">
      <c r="E830" s="38"/>
      <c r="I830" s="38"/>
      <c r="M830" s="38"/>
    </row>
    <row r="831">
      <c r="E831" s="38"/>
      <c r="I831" s="38"/>
      <c r="M831" s="38"/>
    </row>
    <row r="832">
      <c r="E832" s="38"/>
      <c r="I832" s="38"/>
      <c r="M832" s="38"/>
    </row>
    <row r="833">
      <c r="E833" s="38"/>
      <c r="I833" s="38"/>
      <c r="M833" s="38"/>
    </row>
    <row r="834">
      <c r="E834" s="38"/>
      <c r="I834" s="38"/>
      <c r="M834" s="38"/>
    </row>
    <row r="835">
      <c r="E835" s="38"/>
      <c r="I835" s="38"/>
      <c r="M835" s="38"/>
    </row>
    <row r="836">
      <c r="E836" s="38"/>
      <c r="I836" s="38"/>
      <c r="M836" s="38"/>
    </row>
    <row r="837">
      <c r="E837" s="38"/>
      <c r="I837" s="38"/>
      <c r="M837" s="38"/>
    </row>
    <row r="838">
      <c r="E838" s="38"/>
      <c r="I838" s="38"/>
      <c r="M838" s="38"/>
    </row>
    <row r="839">
      <c r="E839" s="38"/>
      <c r="I839" s="38"/>
      <c r="M839" s="38"/>
    </row>
    <row r="840">
      <c r="E840" s="38"/>
      <c r="I840" s="38"/>
      <c r="M840" s="38"/>
    </row>
    <row r="841">
      <c r="E841" s="38"/>
      <c r="I841" s="38"/>
      <c r="M841" s="38"/>
    </row>
    <row r="842">
      <c r="E842" s="38"/>
      <c r="I842" s="38"/>
      <c r="M842" s="38"/>
    </row>
    <row r="843">
      <c r="E843" s="38"/>
      <c r="I843" s="38"/>
      <c r="M843" s="38"/>
    </row>
    <row r="844">
      <c r="E844" s="38"/>
      <c r="I844" s="38"/>
      <c r="M844" s="38"/>
    </row>
    <row r="845">
      <c r="E845" s="38"/>
      <c r="I845" s="38"/>
      <c r="M845" s="38"/>
    </row>
    <row r="846">
      <c r="E846" s="38"/>
      <c r="I846" s="38"/>
      <c r="M846" s="38"/>
    </row>
    <row r="847">
      <c r="E847" s="38"/>
      <c r="I847" s="38"/>
      <c r="M847" s="38"/>
    </row>
    <row r="848">
      <c r="E848" s="38"/>
      <c r="I848" s="38"/>
      <c r="M848" s="38"/>
    </row>
    <row r="849">
      <c r="E849" s="38"/>
      <c r="I849" s="38"/>
      <c r="M849" s="38"/>
    </row>
    <row r="850">
      <c r="E850" s="38"/>
      <c r="I850" s="38"/>
      <c r="M850" s="38"/>
    </row>
    <row r="851">
      <c r="E851" s="38"/>
      <c r="I851" s="38"/>
      <c r="M851" s="38"/>
    </row>
    <row r="852">
      <c r="E852" s="38"/>
      <c r="I852" s="38"/>
      <c r="M852" s="38"/>
    </row>
    <row r="853">
      <c r="E853" s="38"/>
      <c r="I853" s="38"/>
      <c r="M853" s="38"/>
    </row>
    <row r="854">
      <c r="E854" s="38"/>
      <c r="I854" s="38"/>
      <c r="M854" s="38"/>
    </row>
    <row r="855">
      <c r="E855" s="38"/>
      <c r="I855" s="38"/>
      <c r="M855" s="38"/>
    </row>
    <row r="856">
      <c r="E856" s="38"/>
      <c r="I856" s="38"/>
      <c r="M856" s="38"/>
    </row>
    <row r="857">
      <c r="E857" s="38"/>
      <c r="I857" s="38"/>
      <c r="M857" s="38"/>
    </row>
    <row r="858">
      <c r="E858" s="38"/>
      <c r="I858" s="38"/>
      <c r="M858" s="38"/>
    </row>
    <row r="859">
      <c r="E859" s="38"/>
      <c r="I859" s="38"/>
      <c r="M859" s="38"/>
    </row>
    <row r="860">
      <c r="E860" s="38"/>
      <c r="I860" s="38"/>
      <c r="M860" s="38"/>
    </row>
    <row r="861">
      <c r="E861" s="38"/>
      <c r="I861" s="38"/>
      <c r="M861" s="38"/>
    </row>
    <row r="862">
      <c r="E862" s="38"/>
      <c r="I862" s="38"/>
      <c r="M862" s="38"/>
    </row>
    <row r="863">
      <c r="E863" s="38"/>
      <c r="I863" s="38"/>
      <c r="M863" s="38"/>
    </row>
    <row r="864">
      <c r="E864" s="38"/>
      <c r="I864" s="38"/>
      <c r="M864" s="38"/>
    </row>
    <row r="865">
      <c r="E865" s="38"/>
      <c r="I865" s="38"/>
      <c r="M865" s="38"/>
    </row>
    <row r="866">
      <c r="E866" s="38"/>
      <c r="I866" s="38"/>
      <c r="M866" s="38"/>
    </row>
    <row r="867">
      <c r="E867" s="38"/>
      <c r="I867" s="38"/>
      <c r="M867" s="38"/>
    </row>
    <row r="868">
      <c r="E868" s="38"/>
      <c r="I868" s="38"/>
      <c r="M868" s="38"/>
    </row>
    <row r="869">
      <c r="E869" s="38"/>
      <c r="I869" s="38"/>
      <c r="M869" s="38"/>
    </row>
    <row r="870">
      <c r="E870" s="38"/>
      <c r="I870" s="38"/>
      <c r="M870" s="38"/>
    </row>
    <row r="871">
      <c r="E871" s="38"/>
      <c r="I871" s="38"/>
      <c r="M871" s="38"/>
    </row>
    <row r="872">
      <c r="E872" s="38"/>
      <c r="I872" s="38"/>
      <c r="M872" s="38"/>
    </row>
    <row r="873">
      <c r="E873" s="38"/>
      <c r="I873" s="38"/>
      <c r="M873" s="38"/>
    </row>
    <row r="874">
      <c r="E874" s="38"/>
      <c r="I874" s="38"/>
      <c r="M874" s="38"/>
    </row>
    <row r="875">
      <c r="E875" s="38"/>
      <c r="I875" s="38"/>
      <c r="M875" s="38"/>
    </row>
    <row r="876">
      <c r="E876" s="38"/>
      <c r="I876" s="38"/>
      <c r="M876" s="38"/>
    </row>
    <row r="877">
      <c r="E877" s="38"/>
      <c r="I877" s="38"/>
      <c r="M877" s="38"/>
    </row>
    <row r="878">
      <c r="E878" s="38"/>
      <c r="I878" s="38"/>
      <c r="M878" s="38"/>
    </row>
    <row r="879">
      <c r="E879" s="38"/>
      <c r="I879" s="38"/>
      <c r="M879" s="38"/>
    </row>
    <row r="880">
      <c r="E880" s="38"/>
      <c r="I880" s="38"/>
      <c r="M880" s="38"/>
    </row>
    <row r="881">
      <c r="E881" s="38"/>
      <c r="I881" s="38"/>
      <c r="M881" s="38"/>
    </row>
    <row r="882">
      <c r="E882" s="38"/>
      <c r="I882" s="38"/>
      <c r="M882" s="38"/>
    </row>
    <row r="883">
      <c r="E883" s="38"/>
      <c r="I883" s="38"/>
      <c r="M883" s="38"/>
    </row>
    <row r="884">
      <c r="E884" s="38"/>
      <c r="I884" s="38"/>
      <c r="M884" s="38"/>
    </row>
    <row r="885">
      <c r="E885" s="38"/>
      <c r="I885" s="38"/>
      <c r="M885" s="38"/>
    </row>
    <row r="886">
      <c r="E886" s="38"/>
      <c r="I886" s="38"/>
      <c r="M886" s="38"/>
    </row>
    <row r="887">
      <c r="E887" s="38"/>
      <c r="I887" s="38"/>
      <c r="M887" s="38"/>
    </row>
    <row r="888">
      <c r="E888" s="38"/>
      <c r="I888" s="38"/>
      <c r="M888" s="38"/>
    </row>
    <row r="889">
      <c r="E889" s="38"/>
      <c r="I889" s="38"/>
      <c r="M889" s="38"/>
    </row>
    <row r="890">
      <c r="E890" s="38"/>
      <c r="I890" s="38"/>
      <c r="M890" s="38"/>
    </row>
    <row r="891">
      <c r="E891" s="38"/>
      <c r="I891" s="38"/>
      <c r="M891" s="38"/>
    </row>
    <row r="892">
      <c r="E892" s="38"/>
      <c r="I892" s="38"/>
      <c r="M892" s="38"/>
    </row>
    <row r="893">
      <c r="E893" s="38"/>
      <c r="I893" s="38"/>
      <c r="M893" s="38"/>
    </row>
    <row r="894">
      <c r="E894" s="38"/>
      <c r="I894" s="38"/>
      <c r="M894" s="38"/>
    </row>
    <row r="895">
      <c r="E895" s="38"/>
      <c r="I895" s="38"/>
      <c r="M895" s="38"/>
    </row>
    <row r="896">
      <c r="E896" s="38"/>
      <c r="I896" s="38"/>
      <c r="M896" s="38"/>
    </row>
    <row r="897">
      <c r="E897" s="38"/>
      <c r="I897" s="38"/>
      <c r="M897" s="38"/>
    </row>
    <row r="898">
      <c r="E898" s="38"/>
      <c r="I898" s="38"/>
      <c r="M898" s="38"/>
    </row>
    <row r="899">
      <c r="E899" s="38"/>
      <c r="I899" s="38"/>
      <c r="M899" s="38"/>
    </row>
    <row r="900">
      <c r="E900" s="38"/>
      <c r="I900" s="38"/>
      <c r="M900" s="38"/>
    </row>
    <row r="901">
      <c r="E901" s="38"/>
      <c r="I901" s="38"/>
      <c r="M901" s="38"/>
    </row>
    <row r="902">
      <c r="E902" s="38"/>
      <c r="I902" s="38"/>
      <c r="M902" s="38"/>
    </row>
    <row r="903">
      <c r="E903" s="38"/>
      <c r="I903" s="38"/>
      <c r="M903" s="38"/>
    </row>
    <row r="904">
      <c r="E904" s="38"/>
      <c r="I904" s="38"/>
      <c r="M904" s="38"/>
    </row>
    <row r="905">
      <c r="E905" s="38"/>
      <c r="I905" s="38"/>
      <c r="M905" s="38"/>
    </row>
    <row r="906">
      <c r="E906" s="38"/>
      <c r="I906" s="38"/>
      <c r="M906" s="38"/>
    </row>
    <row r="907">
      <c r="E907" s="38"/>
      <c r="I907" s="38"/>
      <c r="M907" s="38"/>
    </row>
    <row r="908">
      <c r="E908" s="38"/>
      <c r="I908" s="38"/>
      <c r="M908" s="38"/>
    </row>
    <row r="909">
      <c r="E909" s="38"/>
      <c r="I909" s="38"/>
      <c r="M909" s="38"/>
    </row>
    <row r="910">
      <c r="E910" s="38"/>
      <c r="I910" s="38"/>
      <c r="M910" s="38"/>
    </row>
    <row r="911">
      <c r="E911" s="38"/>
      <c r="I911" s="38"/>
      <c r="M911" s="38"/>
    </row>
    <row r="912">
      <c r="E912" s="38"/>
      <c r="I912" s="38"/>
      <c r="M912" s="38"/>
    </row>
    <row r="913">
      <c r="E913" s="38"/>
      <c r="I913" s="38"/>
      <c r="M913" s="38"/>
    </row>
    <row r="914">
      <c r="E914" s="38"/>
      <c r="I914" s="38"/>
      <c r="M914" s="38"/>
    </row>
    <row r="915">
      <c r="E915" s="38"/>
      <c r="I915" s="38"/>
      <c r="M915" s="38"/>
    </row>
    <row r="916">
      <c r="E916" s="38"/>
      <c r="I916" s="38"/>
      <c r="M916" s="38"/>
    </row>
    <row r="917">
      <c r="E917" s="38"/>
      <c r="I917" s="38"/>
      <c r="M917" s="38"/>
    </row>
    <row r="918">
      <c r="E918" s="38"/>
      <c r="I918" s="38"/>
      <c r="M918" s="38"/>
    </row>
    <row r="919">
      <c r="E919" s="38"/>
      <c r="I919" s="38"/>
      <c r="M919" s="38"/>
    </row>
    <row r="920">
      <c r="E920" s="38"/>
      <c r="I920" s="38"/>
      <c r="M920" s="38"/>
    </row>
    <row r="921">
      <c r="E921" s="38"/>
      <c r="I921" s="38"/>
      <c r="M921" s="38"/>
    </row>
    <row r="922">
      <c r="E922" s="38"/>
      <c r="I922" s="38"/>
      <c r="M922" s="38"/>
    </row>
    <row r="923">
      <c r="E923" s="38"/>
      <c r="I923" s="38"/>
      <c r="M923" s="38"/>
    </row>
    <row r="924">
      <c r="E924" s="38"/>
      <c r="I924" s="38"/>
      <c r="M924" s="38"/>
    </row>
    <row r="925">
      <c r="E925" s="38"/>
      <c r="I925" s="38"/>
      <c r="M925" s="38"/>
    </row>
    <row r="926">
      <c r="E926" s="38"/>
      <c r="I926" s="38"/>
      <c r="M926" s="38"/>
    </row>
    <row r="927">
      <c r="E927" s="38"/>
      <c r="I927" s="38"/>
      <c r="M927" s="38"/>
    </row>
    <row r="928">
      <c r="E928" s="38"/>
      <c r="I928" s="38"/>
      <c r="M928" s="38"/>
    </row>
    <row r="929">
      <c r="E929" s="38"/>
      <c r="I929" s="38"/>
      <c r="M929" s="38"/>
    </row>
    <row r="930">
      <c r="E930" s="38"/>
      <c r="I930" s="38"/>
      <c r="M930" s="38"/>
    </row>
    <row r="931">
      <c r="E931" s="38"/>
      <c r="I931" s="38"/>
      <c r="M931" s="38"/>
    </row>
    <row r="932">
      <c r="E932" s="38"/>
      <c r="I932" s="38"/>
      <c r="M932" s="38"/>
    </row>
    <row r="933">
      <c r="E933" s="38"/>
      <c r="I933" s="38"/>
      <c r="M933" s="38"/>
    </row>
    <row r="934">
      <c r="E934" s="38"/>
      <c r="I934" s="38"/>
      <c r="M934" s="38"/>
    </row>
    <row r="935">
      <c r="E935" s="38"/>
      <c r="I935" s="38"/>
      <c r="M935" s="38"/>
    </row>
    <row r="936">
      <c r="E936" s="38"/>
      <c r="I936" s="38"/>
      <c r="M936" s="38"/>
    </row>
    <row r="937">
      <c r="E937" s="38"/>
      <c r="I937" s="38"/>
      <c r="M937" s="38"/>
    </row>
    <row r="938">
      <c r="E938" s="38"/>
      <c r="I938" s="38"/>
      <c r="M938" s="38"/>
    </row>
    <row r="939">
      <c r="E939" s="38"/>
      <c r="I939" s="38"/>
      <c r="M939" s="38"/>
    </row>
    <row r="940">
      <c r="E940" s="38"/>
      <c r="I940" s="38"/>
      <c r="M940" s="38"/>
    </row>
    <row r="941">
      <c r="E941" s="38"/>
      <c r="I941" s="38"/>
      <c r="M941" s="38"/>
    </row>
    <row r="942">
      <c r="E942" s="38"/>
      <c r="I942" s="38"/>
      <c r="M942" s="38"/>
    </row>
    <row r="943">
      <c r="E943" s="38"/>
      <c r="I943" s="38"/>
      <c r="M943" s="38"/>
    </row>
    <row r="944">
      <c r="E944" s="38"/>
      <c r="I944" s="38"/>
      <c r="M944" s="38"/>
    </row>
    <row r="945">
      <c r="E945" s="38"/>
      <c r="I945" s="38"/>
      <c r="M945" s="38"/>
    </row>
    <row r="946">
      <c r="E946" s="38"/>
      <c r="I946" s="38"/>
      <c r="M946" s="38"/>
    </row>
    <row r="947">
      <c r="E947" s="38"/>
      <c r="I947" s="38"/>
      <c r="M947" s="38"/>
    </row>
    <row r="948">
      <c r="E948" s="38"/>
      <c r="I948" s="38"/>
      <c r="M948" s="38"/>
    </row>
    <row r="949">
      <c r="E949" s="38"/>
      <c r="I949" s="38"/>
      <c r="M949" s="38"/>
    </row>
    <row r="950">
      <c r="E950" s="38"/>
      <c r="I950" s="38"/>
      <c r="M950" s="38"/>
    </row>
    <row r="951">
      <c r="E951" s="38"/>
      <c r="I951" s="38"/>
      <c r="M951" s="38"/>
    </row>
    <row r="952">
      <c r="E952" s="38"/>
      <c r="I952" s="38"/>
      <c r="M952" s="38"/>
    </row>
    <row r="953">
      <c r="E953" s="38"/>
      <c r="I953" s="38"/>
      <c r="M953" s="38"/>
    </row>
    <row r="954">
      <c r="E954" s="38"/>
      <c r="I954" s="38"/>
      <c r="M954" s="38"/>
    </row>
    <row r="955">
      <c r="E955" s="38"/>
      <c r="I955" s="38"/>
      <c r="M955" s="38"/>
    </row>
    <row r="956">
      <c r="E956" s="38"/>
      <c r="I956" s="38"/>
      <c r="M956" s="38"/>
    </row>
    <row r="957">
      <c r="E957" s="38"/>
      <c r="I957" s="38"/>
      <c r="M957" s="38"/>
    </row>
    <row r="958">
      <c r="E958" s="38"/>
      <c r="I958" s="38"/>
      <c r="M958" s="38"/>
    </row>
    <row r="959">
      <c r="E959" s="38"/>
      <c r="I959" s="38"/>
      <c r="M959" s="38"/>
    </row>
    <row r="960">
      <c r="E960" s="38"/>
      <c r="I960" s="38"/>
      <c r="M960" s="38"/>
    </row>
    <row r="961">
      <c r="E961" s="38"/>
      <c r="I961" s="38"/>
      <c r="M961" s="38"/>
    </row>
    <row r="962">
      <c r="E962" s="38"/>
      <c r="I962" s="38"/>
      <c r="M962" s="38"/>
    </row>
    <row r="963">
      <c r="E963" s="38"/>
      <c r="I963" s="38"/>
      <c r="M963" s="38"/>
    </row>
    <row r="964">
      <c r="E964" s="38"/>
      <c r="I964" s="38"/>
      <c r="M964" s="38"/>
    </row>
    <row r="965">
      <c r="E965" s="38"/>
      <c r="I965" s="38"/>
      <c r="M965" s="38"/>
    </row>
    <row r="966">
      <c r="E966" s="38"/>
      <c r="I966" s="38"/>
      <c r="M966" s="38"/>
    </row>
    <row r="967">
      <c r="E967" s="38"/>
      <c r="I967" s="38"/>
      <c r="M967" s="38"/>
    </row>
    <row r="968">
      <c r="E968" s="38"/>
      <c r="I968" s="38"/>
      <c r="M968" s="38"/>
    </row>
    <row r="969">
      <c r="E969" s="38"/>
      <c r="I969" s="38"/>
      <c r="M969" s="38"/>
    </row>
    <row r="970">
      <c r="E970" s="38"/>
      <c r="I970" s="38"/>
      <c r="M970" s="38"/>
    </row>
    <row r="971">
      <c r="E971" s="38"/>
      <c r="I971" s="38"/>
      <c r="M971" s="38"/>
    </row>
    <row r="972">
      <c r="E972" s="38"/>
      <c r="I972" s="38"/>
      <c r="M972" s="38"/>
    </row>
    <row r="973">
      <c r="E973" s="38"/>
      <c r="I973" s="38"/>
      <c r="M973" s="38"/>
    </row>
    <row r="974">
      <c r="E974" s="38"/>
      <c r="I974" s="38"/>
      <c r="M974" s="38"/>
    </row>
    <row r="975">
      <c r="E975" s="38"/>
      <c r="I975" s="38"/>
      <c r="M975" s="38"/>
    </row>
    <row r="976">
      <c r="E976" s="38"/>
      <c r="I976" s="38"/>
      <c r="M976" s="38"/>
    </row>
    <row r="977">
      <c r="E977" s="38"/>
      <c r="I977" s="38"/>
      <c r="M977" s="38"/>
    </row>
    <row r="978">
      <c r="E978" s="38"/>
      <c r="I978" s="38"/>
      <c r="M978" s="38"/>
    </row>
    <row r="979">
      <c r="E979" s="38"/>
      <c r="I979" s="38"/>
      <c r="M979" s="38"/>
    </row>
    <row r="980">
      <c r="E980" s="38"/>
      <c r="I980" s="38"/>
      <c r="M980" s="38"/>
    </row>
    <row r="981">
      <c r="E981" s="38"/>
      <c r="I981" s="38"/>
      <c r="M981" s="38"/>
    </row>
    <row r="982">
      <c r="E982" s="38"/>
      <c r="I982" s="38"/>
      <c r="M982" s="38"/>
    </row>
    <row r="983">
      <c r="E983" s="38"/>
      <c r="I983" s="38"/>
      <c r="M983" s="38"/>
    </row>
    <row r="984">
      <c r="E984" s="38"/>
      <c r="I984" s="38"/>
      <c r="M984" s="38"/>
    </row>
    <row r="985">
      <c r="E985" s="38"/>
      <c r="I985" s="38"/>
      <c r="M985" s="38"/>
    </row>
    <row r="986">
      <c r="E986" s="38"/>
      <c r="I986" s="38"/>
      <c r="M986" s="38"/>
    </row>
    <row r="987">
      <c r="E987" s="38"/>
      <c r="I987" s="38"/>
      <c r="M987" s="38"/>
    </row>
    <row r="988">
      <c r="E988" s="38"/>
      <c r="I988" s="38"/>
      <c r="M988" s="38"/>
    </row>
    <row r="989">
      <c r="E989" s="38"/>
      <c r="I989" s="38"/>
      <c r="M989" s="38"/>
    </row>
    <row r="990">
      <c r="E990" s="38"/>
      <c r="I990" s="38"/>
      <c r="M990" s="38"/>
    </row>
    <row r="991">
      <c r="E991" s="38"/>
      <c r="I991" s="38"/>
      <c r="M991" s="38"/>
    </row>
    <row r="992">
      <c r="E992" s="38"/>
      <c r="I992" s="38"/>
      <c r="M992" s="38"/>
    </row>
    <row r="993">
      <c r="E993" s="38"/>
      <c r="I993" s="38"/>
      <c r="M993" s="38"/>
    </row>
    <row r="994">
      <c r="E994" s="38"/>
      <c r="I994" s="38"/>
      <c r="M994" s="38"/>
    </row>
    <row r="995">
      <c r="E995" s="38"/>
      <c r="I995" s="38"/>
      <c r="M995" s="38"/>
    </row>
    <row r="996">
      <c r="E996" s="38"/>
      <c r="I996" s="38"/>
      <c r="M996" s="38"/>
    </row>
    <row r="997">
      <c r="E997" s="38"/>
      <c r="I997" s="38"/>
      <c r="M997" s="38"/>
    </row>
    <row r="998">
      <c r="E998" s="38"/>
      <c r="I998" s="38"/>
      <c r="M998" s="38"/>
    </row>
    <row r="999">
      <c r="E999" s="38"/>
      <c r="I999" s="38"/>
      <c r="M999" s="38"/>
    </row>
    <row r="1000">
      <c r="E1000" s="38"/>
      <c r="I1000" s="38"/>
      <c r="M1000" s="38"/>
    </row>
    <row r="1001">
      <c r="E1001" s="38"/>
      <c r="I1001" s="38"/>
      <c r="M1001" s="38"/>
    </row>
    <row r="1002">
      <c r="E1002" s="38"/>
      <c r="I1002" s="38"/>
      <c r="M1002" s="38"/>
    </row>
    <row r="1003">
      <c r="E1003" s="38"/>
      <c r="I1003" s="38"/>
      <c r="M1003" s="38"/>
    </row>
    <row r="1004">
      <c r="E1004" s="38"/>
      <c r="I1004" s="38"/>
      <c r="M1004" s="38"/>
    </row>
    <row r="1005">
      <c r="E1005" s="38"/>
      <c r="I1005" s="38"/>
      <c r="M1005" s="38"/>
    </row>
    <row r="1006">
      <c r="E1006" s="38"/>
      <c r="I1006" s="38"/>
      <c r="M1006" s="38"/>
    </row>
  </sheetData>
  <mergeCells count="7">
    <mergeCell ref="A2:N4"/>
    <mergeCell ref="B6:D6"/>
    <mergeCell ref="F6:N6"/>
    <mergeCell ref="B7:D7"/>
    <mergeCell ref="F7:N7"/>
    <mergeCell ref="B8:D8"/>
    <mergeCell ref="F8:N8"/>
  </mergeCells>
  <dataValidations>
    <dataValidation type="list" allowBlank="1" showDropDown="1" showErrorMessage="1" sqref="B11:B17">
      <formula1>'Rate card'!$A$4:$A1006</formula1>
    </dataValidation>
  </dataValidations>
  <hyperlinks>
    <hyperlink r:id="rId1" ref="A9"/>
  </hyperlinks>
  <printOptions gridLines="1" horizontalCentered="1"/>
  <pageMargins bottom="0.75" footer="0.0" header="0.0" left="0.7" right="0.7" top="0.75"/>
  <pageSetup fitToHeight="0" paperSize="9"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M1" s="38"/>
    </row>
    <row r="2">
      <c r="M2" s="38"/>
    </row>
    <row r="3">
      <c r="M3" s="38"/>
    </row>
    <row r="4">
      <c r="A4" s="25" t="s">
        <v>31</v>
      </c>
      <c r="B4" s="40"/>
      <c r="C4" s="40"/>
      <c r="D4" s="40"/>
      <c r="E4" s="40"/>
      <c r="F4" s="40"/>
      <c r="G4" s="28"/>
      <c r="H4" s="64"/>
      <c r="I4" s="64"/>
      <c r="J4" s="64"/>
      <c r="K4" s="64"/>
      <c r="L4" s="108" t="s">
        <v>393</v>
      </c>
      <c r="M4" s="108" t="s">
        <v>394</v>
      </c>
      <c r="N4" s="66" t="s">
        <v>395</v>
      </c>
      <c r="O4" s="66" t="s">
        <v>396</v>
      </c>
      <c r="P4" s="66" t="s">
        <v>397</v>
      </c>
      <c r="Q4" s="66" t="s">
        <v>398</v>
      </c>
      <c r="R4" s="28"/>
      <c r="S4" s="28"/>
      <c r="T4" s="28"/>
      <c r="U4" s="108" t="s">
        <v>399</v>
      </c>
      <c r="V4" s="1"/>
      <c r="W4" s="1"/>
      <c r="X4" s="1"/>
      <c r="Y4" s="1"/>
      <c r="Z4" s="1"/>
      <c r="AA4" s="1"/>
      <c r="AB4" s="1"/>
      <c r="AC4" s="1"/>
      <c r="AD4" s="1"/>
      <c r="AE4" s="1"/>
      <c r="AF4" s="1"/>
    </row>
    <row r="5">
      <c r="A5" s="63" t="s">
        <v>161</v>
      </c>
      <c r="B5" s="40"/>
      <c r="C5" s="40"/>
      <c r="D5" s="40"/>
      <c r="E5" s="40"/>
      <c r="F5" s="40"/>
      <c r="G5" s="28"/>
      <c r="H5" s="64"/>
      <c r="I5" s="40"/>
      <c r="J5" s="40"/>
      <c r="K5" s="64"/>
      <c r="L5" s="64"/>
      <c r="M5" s="40"/>
      <c r="N5" s="28"/>
      <c r="O5" s="28"/>
      <c r="P5" s="28"/>
      <c r="Q5" s="28"/>
      <c r="R5" s="28"/>
      <c r="S5" s="28"/>
      <c r="T5" s="28"/>
      <c r="U5" s="67"/>
      <c r="V5" s="1"/>
      <c r="W5" s="1"/>
      <c r="X5" s="1"/>
      <c r="Y5" s="1"/>
      <c r="Z5" s="1"/>
      <c r="AA5" s="1"/>
      <c r="AB5" s="1"/>
      <c r="AC5" s="1"/>
      <c r="AD5" s="1"/>
      <c r="AE5" s="1"/>
      <c r="AF5" s="1"/>
    </row>
    <row r="6">
      <c r="A6" s="31" t="s">
        <v>16</v>
      </c>
      <c r="B6" s="95" t="s">
        <v>179</v>
      </c>
      <c r="C6" s="95" t="s">
        <v>31</v>
      </c>
      <c r="D6" s="33" t="s">
        <v>180</v>
      </c>
      <c r="E6" s="75" t="s">
        <v>198</v>
      </c>
      <c r="F6" s="75" t="s">
        <v>181</v>
      </c>
      <c r="G6" s="95" t="str">
        <f>VLOOKUP($B6,'Rate card'!$A$4:$G1002,6,FALSE)</f>
        <v>Sqft</v>
      </c>
      <c r="H6" s="75">
        <v>1500.0</v>
      </c>
      <c r="I6" s="31"/>
      <c r="J6" s="31" t="s">
        <v>270</v>
      </c>
      <c r="K6" s="69">
        <f>H6*J6</f>
        <v>75000</v>
      </c>
      <c r="L6" s="62">
        <v>50.0</v>
      </c>
      <c r="M6" s="62">
        <v>35300.0</v>
      </c>
      <c r="N6" s="69">
        <f>L6*H6</f>
        <v>75000</v>
      </c>
      <c r="O6" s="32">
        <v>30000.0</v>
      </c>
      <c r="P6" s="32">
        <v>300.0</v>
      </c>
      <c r="Q6" s="32">
        <f>P6*L6</f>
        <v>15000</v>
      </c>
      <c r="R6" s="32"/>
      <c r="S6" s="32" t="s">
        <v>199</v>
      </c>
      <c r="T6" s="62" t="s">
        <v>200</v>
      </c>
      <c r="U6" s="76">
        <f>M6*L6</f>
        <v>1765000</v>
      </c>
      <c r="V6" s="52"/>
      <c r="W6" s="52"/>
      <c r="X6" s="52"/>
      <c r="Y6" s="52"/>
      <c r="Z6" s="52"/>
      <c r="AA6" s="52"/>
      <c r="AB6" s="52"/>
      <c r="AC6" s="52"/>
      <c r="AD6" s="52"/>
      <c r="AE6" s="52"/>
      <c r="AF6" s="52"/>
    </row>
    <row r="7">
      <c r="A7" s="140" t="s">
        <v>265</v>
      </c>
      <c r="B7" s="141"/>
      <c r="C7" s="141"/>
      <c r="D7" s="141"/>
      <c r="E7" s="141"/>
      <c r="F7" s="141"/>
      <c r="G7" s="141"/>
      <c r="H7" s="143"/>
      <c r="I7" s="144"/>
      <c r="J7" s="144"/>
      <c r="K7" s="143"/>
      <c r="L7" s="143"/>
      <c r="M7" s="167"/>
      <c r="N7" s="141"/>
      <c r="O7" s="141"/>
      <c r="P7" s="141"/>
      <c r="Q7" s="141"/>
      <c r="R7" s="141"/>
      <c r="S7" s="141"/>
      <c r="T7" s="141"/>
      <c r="U7" s="147"/>
      <c r="V7" s="148"/>
      <c r="W7" s="148"/>
      <c r="X7" s="148"/>
      <c r="Y7" s="148"/>
      <c r="Z7" s="148"/>
      <c r="AA7" s="148"/>
      <c r="AB7" s="148"/>
      <c r="AC7" s="148"/>
      <c r="AD7" s="148"/>
      <c r="AE7" s="148"/>
      <c r="AF7" s="148"/>
    </row>
    <row r="8">
      <c r="A8" s="31" t="s">
        <v>27</v>
      </c>
      <c r="B8" s="62" t="s">
        <v>236</v>
      </c>
      <c r="C8" s="94" t="str">
        <f>VLOOKUP($B8,'Rate card'!$A$4:$G1002,2,FALSE)</f>
        <v>Carpentry</v>
      </c>
      <c r="D8" s="94" t="str">
        <f>VLOOKUP($B8,'Rate card'!$A$4:$G1002,3,FALSE)</f>
        <v>Panelling with framing</v>
      </c>
      <c r="E8" s="62" t="s">
        <v>400</v>
      </c>
      <c r="F8" s="94" t="str">
        <f>VLOOKUP($B8,'Rate card'!$A$4:$G1002,5,FALSE)</f>
        <v>MR ply + ply framing + 5mm clear mirror</v>
      </c>
      <c r="G8" s="94" t="str">
        <f>VLOOKUP($B8,'Rate card'!$A$4:$G1002,6,FALSE)</f>
        <v>Sqft</v>
      </c>
      <c r="H8" s="62">
        <v>1500.0</v>
      </c>
      <c r="I8" s="78"/>
      <c r="J8" s="78" t="s">
        <v>270</v>
      </c>
      <c r="K8" s="79">
        <f>H8*J8</f>
        <v>75000</v>
      </c>
      <c r="L8" s="67">
        <f>12*9</f>
        <v>108</v>
      </c>
      <c r="M8" s="62">
        <v>34000.0</v>
      </c>
      <c r="N8" s="77">
        <f>L8*H8</f>
        <v>162000</v>
      </c>
      <c r="O8" s="75"/>
      <c r="P8" s="75">
        <v>250.0</v>
      </c>
      <c r="Q8" s="32">
        <f>P8*L8</f>
        <v>27000</v>
      </c>
      <c r="R8" s="75"/>
      <c r="S8" s="75" t="s">
        <v>268</v>
      </c>
      <c r="T8" s="67"/>
      <c r="U8" s="76">
        <f>M8*L8</f>
        <v>3672000</v>
      </c>
      <c r="V8" s="1"/>
      <c r="W8" s="1"/>
      <c r="X8" s="1"/>
      <c r="Y8" s="1"/>
      <c r="Z8" s="1"/>
      <c r="AA8" s="1"/>
      <c r="AB8" s="1"/>
      <c r="AC8" s="1"/>
      <c r="AD8" s="1"/>
      <c r="AE8" s="1"/>
      <c r="AF8" s="1"/>
    </row>
    <row r="9">
      <c r="A9" s="140" t="s">
        <v>256</v>
      </c>
      <c r="B9" s="141"/>
      <c r="C9" s="141"/>
      <c r="D9" s="141"/>
      <c r="E9" s="141"/>
      <c r="F9" s="141"/>
      <c r="G9" s="141"/>
      <c r="H9" s="143"/>
      <c r="I9" s="144"/>
      <c r="J9" s="144"/>
      <c r="K9" s="143"/>
      <c r="L9" s="143"/>
      <c r="M9" s="167"/>
      <c r="N9" s="141"/>
      <c r="O9" s="141"/>
      <c r="P9" s="141"/>
      <c r="Q9" s="141"/>
      <c r="R9" s="141"/>
      <c r="S9" s="141"/>
      <c r="T9" s="141"/>
      <c r="U9" s="147"/>
      <c r="V9" s="148"/>
      <c r="W9" s="148"/>
      <c r="X9" s="148"/>
      <c r="Y9" s="148"/>
      <c r="Z9" s="148"/>
      <c r="AA9" s="148"/>
      <c r="AB9" s="148"/>
      <c r="AC9" s="148"/>
      <c r="AD9" s="148"/>
      <c r="AE9" s="148"/>
      <c r="AF9" s="148"/>
    </row>
    <row r="10">
      <c r="A10" s="149" t="s">
        <v>16</v>
      </c>
      <c r="B10" s="150" t="s">
        <v>238</v>
      </c>
      <c r="C10" s="150" t="s">
        <v>31</v>
      </c>
      <c r="D10" s="154" t="s">
        <v>180</v>
      </c>
      <c r="E10" s="150" t="str">
        <f>VLOOKUP($B10,'Rate card'!$A$4:$G1002,4,FALSE)</f>
        <v>Laminate Finish</v>
      </c>
      <c r="F10" s="71" t="s">
        <v>239</v>
      </c>
      <c r="G10" s="150" t="str">
        <f>VLOOKUP($B10,'Rate card'!$A$4:$G1002,6,FALSE)</f>
        <v>Sqft</v>
      </c>
      <c r="H10" s="185">
        <v>1500.0</v>
      </c>
      <c r="I10" s="153"/>
      <c r="J10" s="154" t="s">
        <v>262</v>
      </c>
      <c r="K10" s="155">
        <f>H10*J10</f>
        <v>135000</v>
      </c>
      <c r="L10" s="150">
        <f>9*9</f>
        <v>81</v>
      </c>
      <c r="M10" s="178">
        <v>38500.0</v>
      </c>
      <c r="N10" s="154">
        <f>L10*H10</f>
        <v>121500</v>
      </c>
      <c r="O10" s="157"/>
      <c r="P10" s="186">
        <v>300.0</v>
      </c>
      <c r="Q10" s="32">
        <f>P10*L10</f>
        <v>24300</v>
      </c>
      <c r="R10" s="155"/>
      <c r="S10" s="155" t="s">
        <v>241</v>
      </c>
      <c r="T10" s="147"/>
      <c r="U10" s="76">
        <f>M10*L10</f>
        <v>3118500</v>
      </c>
      <c r="V10" s="148"/>
      <c r="W10" s="148"/>
      <c r="X10" s="148"/>
      <c r="Y10" s="148"/>
      <c r="Z10" s="148"/>
      <c r="AA10" s="148"/>
      <c r="AB10" s="148"/>
      <c r="AC10" s="148"/>
      <c r="AD10" s="148"/>
      <c r="AE10" s="148"/>
      <c r="AF10" s="148"/>
    </row>
    <row r="11">
      <c r="A11" s="187" t="s">
        <v>401</v>
      </c>
      <c r="B11" s="141"/>
      <c r="C11" s="141"/>
      <c r="D11" s="141"/>
      <c r="E11" s="141"/>
      <c r="F11" s="141"/>
      <c r="G11" s="141"/>
      <c r="H11" s="143"/>
      <c r="I11" s="144"/>
      <c r="J11" s="144"/>
      <c r="K11" s="143"/>
      <c r="L11" s="143"/>
      <c r="M11" s="167"/>
      <c r="N11" s="141"/>
      <c r="O11" s="141"/>
      <c r="P11" s="141"/>
      <c r="Q11" s="141"/>
      <c r="R11" s="141"/>
      <c r="S11" s="141"/>
      <c r="T11" s="141"/>
      <c r="U11" s="147"/>
      <c r="V11" s="148"/>
      <c r="W11" s="148"/>
      <c r="X11" s="148"/>
      <c r="Y11" s="148"/>
      <c r="Z11" s="148"/>
      <c r="AA11" s="148"/>
      <c r="AB11" s="148"/>
      <c r="AC11" s="148"/>
      <c r="AD11" s="148"/>
      <c r="AE11" s="148"/>
      <c r="AF11" s="148"/>
    </row>
    <row r="12">
      <c r="A12" s="188">
        <v>1.0</v>
      </c>
      <c r="B12" s="150" t="s">
        <v>238</v>
      </c>
      <c r="C12" s="150" t="s">
        <v>31</v>
      </c>
      <c r="D12" s="154" t="s">
        <v>180</v>
      </c>
      <c r="E12" s="62" t="s">
        <v>267</v>
      </c>
      <c r="F12" s="189"/>
      <c r="G12" s="150" t="str">
        <f>VLOOKUP($B12,'Rate card'!$A$4:$G1002,6,FALSE)</f>
        <v>Sqft</v>
      </c>
      <c r="H12" s="188">
        <v>1500.0</v>
      </c>
      <c r="I12" s="189"/>
      <c r="J12" s="188"/>
      <c r="K12" s="189"/>
      <c r="L12" s="188">
        <v>95.0</v>
      </c>
      <c r="M12" s="190">
        <v>38050.0</v>
      </c>
      <c r="N12" s="154">
        <f>L12*H12</f>
        <v>142500</v>
      </c>
      <c r="O12" s="189"/>
      <c r="P12" s="186">
        <v>400.0</v>
      </c>
      <c r="Q12" s="32">
        <f>P12*L12</f>
        <v>38000</v>
      </c>
      <c r="R12" s="189"/>
      <c r="S12" s="189"/>
      <c r="T12" s="189"/>
      <c r="U12" s="191"/>
    </row>
    <row r="13">
      <c r="A13" s="189"/>
      <c r="B13" s="189"/>
      <c r="C13" s="189"/>
      <c r="D13" s="189"/>
      <c r="E13" s="189"/>
      <c r="F13" s="189"/>
      <c r="G13" s="189"/>
      <c r="H13" s="189"/>
      <c r="I13" s="189"/>
      <c r="J13" s="189"/>
      <c r="K13" s="189"/>
      <c r="L13" s="189"/>
      <c r="M13" s="192">
        <f t="shared" ref="M13:N13" si="1">SUM(M6:M12)</f>
        <v>145850</v>
      </c>
      <c r="N13" s="193">
        <f t="shared" si="1"/>
        <v>501000</v>
      </c>
      <c r="O13" s="193">
        <f>SUM(O6:O10)</f>
        <v>30000</v>
      </c>
      <c r="P13" s="189"/>
      <c r="Q13" s="193">
        <f>SUM(Q6:Q12)</f>
        <v>104300</v>
      </c>
      <c r="R13" s="189"/>
      <c r="S13" s="189"/>
      <c r="T13" s="189"/>
      <c r="U13" s="191"/>
    </row>
    <row r="14">
      <c r="M14" s="38"/>
      <c r="U14" s="37">
        <v>119000.0</v>
      </c>
    </row>
    <row r="15">
      <c r="M15" s="38"/>
    </row>
    <row r="16">
      <c r="L16" s="189"/>
      <c r="M16" s="194">
        <f>N13</f>
        <v>501000</v>
      </c>
      <c r="N16" s="188" t="s">
        <v>402</v>
      </c>
      <c r="O16" s="189"/>
    </row>
    <row r="17">
      <c r="L17" s="189"/>
      <c r="M17" s="194">
        <f>O13</f>
        <v>30000</v>
      </c>
      <c r="N17" s="188" t="s">
        <v>403</v>
      </c>
      <c r="O17" s="189"/>
    </row>
    <row r="18">
      <c r="L18" s="189"/>
      <c r="M18" s="194">
        <f>Q13</f>
        <v>104300</v>
      </c>
      <c r="N18" s="188" t="s">
        <v>404</v>
      </c>
      <c r="O18" s="189"/>
    </row>
    <row r="19">
      <c r="L19" s="189"/>
      <c r="M19" s="192">
        <f>M13</f>
        <v>145850</v>
      </c>
      <c r="N19" s="188" t="s">
        <v>405</v>
      </c>
      <c r="O19" s="189"/>
    </row>
    <row r="20">
      <c r="L20" s="189"/>
      <c r="M20" s="195">
        <f>SUM(M17:M19)</f>
        <v>280150</v>
      </c>
      <c r="N20" s="188" t="s">
        <v>406</v>
      </c>
      <c r="O20" s="189"/>
    </row>
    <row r="21">
      <c r="M21" s="196">
        <f>M16-M20</f>
        <v>220850</v>
      </c>
    </row>
    <row r="22">
      <c r="M22" s="38"/>
    </row>
    <row r="23">
      <c r="M23" s="38"/>
    </row>
    <row r="24">
      <c r="M24" s="38"/>
    </row>
    <row r="25">
      <c r="M25" s="38"/>
    </row>
    <row r="26">
      <c r="M26" s="38"/>
    </row>
    <row r="27">
      <c r="M27" s="38"/>
    </row>
    <row r="28">
      <c r="M28" s="38"/>
    </row>
    <row r="29">
      <c r="M29" s="38"/>
    </row>
    <row r="30">
      <c r="M30" s="38"/>
    </row>
    <row r="31">
      <c r="M31" s="38"/>
    </row>
    <row r="32">
      <c r="M32" s="38"/>
    </row>
    <row r="33">
      <c r="M33" s="38"/>
    </row>
    <row r="34">
      <c r="M34" s="38"/>
    </row>
    <row r="35">
      <c r="M35" s="38"/>
    </row>
    <row r="36">
      <c r="M36" s="38"/>
    </row>
    <row r="37">
      <c r="M37" s="38"/>
    </row>
    <row r="38">
      <c r="M38" s="38"/>
    </row>
    <row r="39">
      <c r="M39" s="38"/>
    </row>
    <row r="40">
      <c r="M40" s="38"/>
    </row>
    <row r="41">
      <c r="M41" s="38"/>
    </row>
    <row r="42">
      <c r="M42" s="38"/>
    </row>
    <row r="43">
      <c r="M43" s="38"/>
    </row>
    <row r="44">
      <c r="M44" s="38"/>
    </row>
    <row r="45">
      <c r="M45" s="38"/>
    </row>
    <row r="46">
      <c r="M46" s="38"/>
    </row>
    <row r="47">
      <c r="M47" s="38"/>
    </row>
    <row r="48">
      <c r="M48" s="38"/>
    </row>
    <row r="49">
      <c r="M49" s="38"/>
    </row>
    <row r="50">
      <c r="M50" s="38"/>
    </row>
    <row r="51">
      <c r="M51" s="38"/>
    </row>
    <row r="52">
      <c r="M52" s="38"/>
    </row>
    <row r="53">
      <c r="M53" s="38"/>
    </row>
    <row r="54">
      <c r="M54" s="38"/>
    </row>
    <row r="55">
      <c r="M55" s="38"/>
    </row>
    <row r="56">
      <c r="M56" s="38"/>
    </row>
    <row r="57">
      <c r="M57" s="38"/>
    </row>
    <row r="58">
      <c r="M58" s="38"/>
    </row>
    <row r="59">
      <c r="M59" s="38"/>
    </row>
    <row r="60">
      <c r="M60" s="38"/>
    </row>
    <row r="61">
      <c r="M61" s="38"/>
    </row>
    <row r="62">
      <c r="M62" s="38"/>
    </row>
    <row r="63">
      <c r="M63" s="38"/>
    </row>
    <row r="64">
      <c r="M64" s="38"/>
    </row>
    <row r="65">
      <c r="M65" s="38"/>
    </row>
    <row r="66">
      <c r="M66" s="38"/>
    </row>
    <row r="67">
      <c r="M67" s="38"/>
    </row>
    <row r="68">
      <c r="M68" s="38"/>
    </row>
    <row r="69">
      <c r="M69" s="38"/>
    </row>
    <row r="70">
      <c r="M70" s="38"/>
    </row>
    <row r="71">
      <c r="M71" s="38"/>
    </row>
    <row r="72">
      <c r="M72" s="38"/>
    </row>
    <row r="73">
      <c r="M73" s="38"/>
    </row>
    <row r="74">
      <c r="M74" s="38"/>
    </row>
    <row r="75">
      <c r="M75" s="38"/>
    </row>
    <row r="76">
      <c r="M76" s="38"/>
    </row>
    <row r="77">
      <c r="M77" s="38"/>
    </row>
    <row r="78">
      <c r="M78" s="38"/>
    </row>
    <row r="79">
      <c r="M79" s="38"/>
    </row>
    <row r="80">
      <c r="M80" s="38"/>
    </row>
    <row r="81">
      <c r="M81" s="38"/>
    </row>
    <row r="82">
      <c r="M82" s="38"/>
    </row>
    <row r="83">
      <c r="M83" s="38"/>
    </row>
    <row r="84">
      <c r="M84" s="38"/>
    </row>
    <row r="85">
      <c r="M85" s="38"/>
    </row>
    <row r="86">
      <c r="M86" s="38"/>
    </row>
    <row r="87">
      <c r="M87" s="38"/>
    </row>
    <row r="88">
      <c r="M88" s="38"/>
    </row>
    <row r="89">
      <c r="M89" s="38"/>
    </row>
    <row r="90">
      <c r="M90" s="38"/>
    </row>
    <row r="91">
      <c r="M91" s="38"/>
    </row>
    <row r="92">
      <c r="M92" s="38"/>
    </row>
    <row r="93">
      <c r="M93" s="38"/>
    </row>
    <row r="94">
      <c r="M94" s="38"/>
    </row>
    <row r="95">
      <c r="M95" s="38"/>
    </row>
    <row r="96">
      <c r="M96" s="38"/>
    </row>
    <row r="97">
      <c r="M97" s="38"/>
    </row>
    <row r="98">
      <c r="M98" s="38"/>
    </row>
    <row r="99">
      <c r="M99" s="38"/>
    </row>
    <row r="100">
      <c r="M100" s="38"/>
    </row>
    <row r="101">
      <c r="M101" s="38"/>
    </row>
    <row r="102">
      <c r="M102" s="38"/>
    </row>
    <row r="103">
      <c r="M103" s="38"/>
    </row>
    <row r="104">
      <c r="M104" s="38"/>
    </row>
    <row r="105">
      <c r="M105" s="38"/>
    </row>
    <row r="106">
      <c r="M106" s="38"/>
    </row>
    <row r="107">
      <c r="M107" s="38"/>
    </row>
    <row r="108">
      <c r="M108" s="38"/>
    </row>
    <row r="109">
      <c r="M109" s="38"/>
    </row>
    <row r="110">
      <c r="M110" s="38"/>
    </row>
    <row r="111">
      <c r="M111" s="38"/>
    </row>
    <row r="112">
      <c r="M112" s="38"/>
    </row>
    <row r="113">
      <c r="M113" s="38"/>
    </row>
    <row r="114">
      <c r="M114" s="38"/>
    </row>
    <row r="115">
      <c r="M115" s="38"/>
    </row>
    <row r="116">
      <c r="M116" s="38"/>
    </row>
    <row r="117">
      <c r="M117" s="38"/>
    </row>
    <row r="118">
      <c r="M118" s="38"/>
    </row>
    <row r="119">
      <c r="M119" s="38"/>
    </row>
    <row r="120">
      <c r="M120" s="38"/>
    </row>
    <row r="121">
      <c r="M121" s="38"/>
    </row>
    <row r="122">
      <c r="M122" s="38"/>
    </row>
    <row r="123">
      <c r="M123" s="38"/>
    </row>
    <row r="124">
      <c r="M124" s="38"/>
    </row>
    <row r="125">
      <c r="M125" s="38"/>
    </row>
    <row r="126">
      <c r="M126" s="38"/>
    </row>
    <row r="127">
      <c r="M127" s="38"/>
    </row>
    <row r="128">
      <c r="M128" s="38"/>
    </row>
    <row r="129">
      <c r="M129" s="38"/>
    </row>
    <row r="130">
      <c r="M130" s="38"/>
    </row>
    <row r="131">
      <c r="M131" s="38"/>
    </row>
    <row r="132">
      <c r="M132" s="38"/>
    </row>
    <row r="133">
      <c r="M133" s="38"/>
    </row>
    <row r="134">
      <c r="M134" s="38"/>
    </row>
    <row r="135">
      <c r="M135" s="38"/>
    </row>
    <row r="136">
      <c r="M136" s="38"/>
    </row>
    <row r="137">
      <c r="M137" s="38"/>
    </row>
    <row r="138">
      <c r="M138" s="38"/>
    </row>
    <row r="139">
      <c r="M139" s="38"/>
    </row>
    <row r="140">
      <c r="M140" s="38"/>
    </row>
    <row r="141">
      <c r="M141" s="38"/>
    </row>
    <row r="142">
      <c r="M142" s="38"/>
    </row>
    <row r="143">
      <c r="M143" s="38"/>
    </row>
    <row r="144">
      <c r="M144" s="38"/>
    </row>
    <row r="145">
      <c r="M145" s="38"/>
    </row>
    <row r="146">
      <c r="M146" s="38"/>
    </row>
    <row r="147">
      <c r="M147" s="38"/>
    </row>
    <row r="148">
      <c r="M148" s="38"/>
    </row>
    <row r="149">
      <c r="M149" s="38"/>
    </row>
    <row r="150">
      <c r="M150" s="38"/>
    </row>
    <row r="151">
      <c r="M151" s="38"/>
    </row>
    <row r="152">
      <c r="M152" s="38"/>
    </row>
    <row r="153">
      <c r="M153" s="38"/>
    </row>
    <row r="154">
      <c r="M154" s="38"/>
    </row>
    <row r="155">
      <c r="M155" s="38"/>
    </row>
    <row r="156">
      <c r="M156" s="38"/>
    </row>
    <row r="157">
      <c r="M157" s="38"/>
    </row>
    <row r="158">
      <c r="M158" s="38"/>
    </row>
    <row r="159">
      <c r="M159" s="38"/>
    </row>
    <row r="160">
      <c r="M160" s="38"/>
    </row>
    <row r="161">
      <c r="M161" s="38"/>
    </row>
    <row r="162">
      <c r="M162" s="38"/>
    </row>
    <row r="163">
      <c r="M163" s="38"/>
    </row>
    <row r="164">
      <c r="M164" s="38"/>
    </row>
    <row r="165">
      <c r="M165" s="38"/>
    </row>
    <row r="166">
      <c r="M166" s="38"/>
    </row>
    <row r="167">
      <c r="M167" s="38"/>
    </row>
    <row r="168">
      <c r="M168" s="38"/>
    </row>
    <row r="169">
      <c r="M169" s="38"/>
    </row>
    <row r="170">
      <c r="M170" s="38"/>
    </row>
    <row r="171">
      <c r="M171" s="38"/>
    </row>
    <row r="172">
      <c r="M172" s="38"/>
    </row>
    <row r="173">
      <c r="M173" s="38"/>
    </row>
    <row r="174">
      <c r="M174" s="38"/>
    </row>
    <row r="175">
      <c r="M175" s="38"/>
    </row>
    <row r="176">
      <c r="M176" s="38"/>
    </row>
    <row r="177">
      <c r="M177" s="38"/>
    </row>
    <row r="178">
      <c r="M178" s="38"/>
    </row>
    <row r="179">
      <c r="M179" s="38"/>
    </row>
    <row r="180">
      <c r="M180" s="38"/>
    </row>
    <row r="181">
      <c r="M181" s="38"/>
    </row>
    <row r="182">
      <c r="M182" s="38"/>
    </row>
    <row r="183">
      <c r="M183" s="38"/>
    </row>
    <row r="184">
      <c r="M184" s="38"/>
    </row>
    <row r="185">
      <c r="M185" s="38"/>
    </row>
    <row r="186">
      <c r="M186" s="38"/>
    </row>
    <row r="187">
      <c r="M187" s="38"/>
    </row>
    <row r="188">
      <c r="M188" s="38"/>
    </row>
    <row r="189">
      <c r="M189" s="38"/>
    </row>
    <row r="190">
      <c r="M190" s="38"/>
    </row>
    <row r="191">
      <c r="M191" s="38"/>
    </row>
    <row r="192">
      <c r="M192" s="38"/>
    </row>
    <row r="193">
      <c r="M193" s="38"/>
    </row>
    <row r="194">
      <c r="M194" s="38"/>
    </row>
    <row r="195">
      <c r="M195" s="38"/>
    </row>
    <row r="196">
      <c r="M196" s="38"/>
    </row>
    <row r="197">
      <c r="M197" s="38"/>
    </row>
    <row r="198">
      <c r="M198" s="38"/>
    </row>
    <row r="199">
      <c r="M199" s="38"/>
    </row>
    <row r="200">
      <c r="M200" s="38"/>
    </row>
    <row r="201">
      <c r="M201" s="38"/>
    </row>
    <row r="202">
      <c r="M202" s="38"/>
    </row>
    <row r="203">
      <c r="M203" s="38"/>
    </row>
    <row r="204">
      <c r="M204" s="38"/>
    </row>
    <row r="205">
      <c r="M205" s="38"/>
    </row>
    <row r="206">
      <c r="M206" s="38"/>
    </row>
    <row r="207">
      <c r="M207" s="38"/>
    </row>
    <row r="208">
      <c r="M208" s="38"/>
    </row>
    <row r="209">
      <c r="M209" s="38"/>
    </row>
    <row r="210">
      <c r="M210" s="38"/>
    </row>
    <row r="211">
      <c r="M211" s="38"/>
    </row>
    <row r="212">
      <c r="M212" s="38"/>
    </row>
    <row r="213">
      <c r="M213" s="38"/>
    </row>
    <row r="214">
      <c r="M214" s="38"/>
    </row>
    <row r="215">
      <c r="M215" s="38"/>
    </row>
    <row r="216">
      <c r="M216" s="38"/>
    </row>
    <row r="217">
      <c r="M217" s="38"/>
    </row>
    <row r="218">
      <c r="M218" s="38"/>
    </row>
    <row r="219">
      <c r="M219" s="38"/>
    </row>
    <row r="220">
      <c r="M220" s="38"/>
    </row>
    <row r="221">
      <c r="M221" s="38"/>
    </row>
    <row r="222">
      <c r="M222" s="38"/>
    </row>
    <row r="223">
      <c r="M223" s="38"/>
    </row>
    <row r="224">
      <c r="M224" s="38"/>
    </row>
    <row r="225">
      <c r="M225" s="38"/>
    </row>
    <row r="226">
      <c r="M226" s="38"/>
    </row>
    <row r="227">
      <c r="M227" s="38"/>
    </row>
    <row r="228">
      <c r="M228" s="38"/>
    </row>
    <row r="229">
      <c r="M229" s="38"/>
    </row>
    <row r="230">
      <c r="M230" s="38"/>
    </row>
    <row r="231">
      <c r="M231" s="38"/>
    </row>
    <row r="232">
      <c r="M232" s="38"/>
    </row>
    <row r="233">
      <c r="M233" s="38"/>
    </row>
    <row r="234">
      <c r="M234" s="38"/>
    </row>
    <row r="235">
      <c r="M235" s="38"/>
    </row>
    <row r="236">
      <c r="M236" s="38"/>
    </row>
    <row r="237">
      <c r="M237" s="38"/>
    </row>
    <row r="238">
      <c r="M238" s="38"/>
    </row>
    <row r="239">
      <c r="M239" s="38"/>
    </row>
    <row r="240">
      <c r="M240" s="38"/>
    </row>
    <row r="241">
      <c r="M241" s="38"/>
    </row>
    <row r="242">
      <c r="M242" s="38"/>
    </row>
    <row r="243">
      <c r="M243" s="38"/>
    </row>
    <row r="244">
      <c r="M244" s="38"/>
    </row>
    <row r="245">
      <c r="M245" s="38"/>
    </row>
    <row r="246">
      <c r="M246" s="38"/>
    </row>
    <row r="247">
      <c r="M247" s="38"/>
    </row>
    <row r="248">
      <c r="M248" s="38"/>
    </row>
    <row r="249">
      <c r="M249" s="38"/>
    </row>
    <row r="250">
      <c r="M250" s="38"/>
    </row>
    <row r="251">
      <c r="M251" s="38"/>
    </row>
    <row r="252">
      <c r="M252" s="38"/>
    </row>
    <row r="253">
      <c r="M253" s="38"/>
    </row>
    <row r="254">
      <c r="M254" s="38"/>
    </row>
    <row r="255">
      <c r="M255" s="38"/>
    </row>
    <row r="256">
      <c r="M256" s="38"/>
    </row>
    <row r="257">
      <c r="M257" s="38"/>
    </row>
    <row r="258">
      <c r="M258" s="38"/>
    </row>
    <row r="259">
      <c r="M259" s="38"/>
    </row>
    <row r="260">
      <c r="M260" s="38"/>
    </row>
    <row r="261">
      <c r="M261" s="38"/>
    </row>
    <row r="262">
      <c r="M262" s="38"/>
    </row>
    <row r="263">
      <c r="M263" s="38"/>
    </row>
    <row r="264">
      <c r="M264" s="38"/>
    </row>
    <row r="265">
      <c r="M265" s="38"/>
    </row>
    <row r="266">
      <c r="M266" s="38"/>
    </row>
    <row r="267">
      <c r="M267" s="38"/>
    </row>
    <row r="268">
      <c r="M268" s="38"/>
    </row>
    <row r="269">
      <c r="M269" s="38"/>
    </row>
    <row r="270">
      <c r="M270" s="38"/>
    </row>
    <row r="271">
      <c r="M271" s="38"/>
    </row>
    <row r="272">
      <c r="M272" s="38"/>
    </row>
    <row r="273">
      <c r="M273" s="38"/>
    </row>
    <row r="274">
      <c r="M274" s="38"/>
    </row>
    <row r="275">
      <c r="M275" s="38"/>
    </row>
    <row r="276">
      <c r="M276" s="38"/>
    </row>
    <row r="277">
      <c r="M277" s="38"/>
    </row>
    <row r="278">
      <c r="M278" s="38"/>
    </row>
    <row r="279">
      <c r="M279" s="38"/>
    </row>
    <row r="280">
      <c r="M280" s="38"/>
    </row>
    <row r="281">
      <c r="M281" s="38"/>
    </row>
    <row r="282">
      <c r="M282" s="38"/>
    </row>
    <row r="283">
      <c r="M283" s="38"/>
    </row>
    <row r="284">
      <c r="M284" s="38"/>
    </row>
    <row r="285">
      <c r="M285" s="38"/>
    </row>
    <row r="286">
      <c r="M286" s="38"/>
    </row>
    <row r="287">
      <c r="M287" s="38"/>
    </row>
    <row r="288">
      <c r="M288" s="38"/>
    </row>
    <row r="289">
      <c r="M289" s="38"/>
    </row>
    <row r="290">
      <c r="M290" s="38"/>
    </row>
    <row r="291">
      <c r="M291" s="38"/>
    </row>
    <row r="292">
      <c r="M292" s="38"/>
    </row>
    <row r="293">
      <c r="M293" s="38"/>
    </row>
    <row r="294">
      <c r="M294" s="38"/>
    </row>
    <row r="295">
      <c r="M295" s="38"/>
    </row>
    <row r="296">
      <c r="M296" s="38"/>
    </row>
    <row r="297">
      <c r="M297" s="38"/>
    </row>
    <row r="298">
      <c r="M298" s="38"/>
    </row>
    <row r="299">
      <c r="M299" s="38"/>
    </row>
    <row r="300">
      <c r="M300" s="38"/>
    </row>
    <row r="301">
      <c r="M301" s="38"/>
    </row>
    <row r="302">
      <c r="M302" s="38"/>
    </row>
    <row r="303">
      <c r="M303" s="38"/>
    </row>
    <row r="304">
      <c r="M304" s="38"/>
    </row>
    <row r="305">
      <c r="M305" s="38"/>
    </row>
    <row r="306">
      <c r="M306" s="38"/>
    </row>
    <row r="307">
      <c r="M307" s="38"/>
    </row>
    <row r="308">
      <c r="M308" s="38"/>
    </row>
    <row r="309">
      <c r="M309" s="38"/>
    </row>
    <row r="310">
      <c r="M310" s="38"/>
    </row>
    <row r="311">
      <c r="M311" s="38"/>
    </row>
    <row r="312">
      <c r="M312" s="38"/>
    </row>
    <row r="313">
      <c r="M313" s="38"/>
    </row>
    <row r="314">
      <c r="M314" s="38"/>
    </row>
    <row r="315">
      <c r="M315" s="38"/>
    </row>
    <row r="316">
      <c r="M316" s="38"/>
    </row>
    <row r="317">
      <c r="M317" s="38"/>
    </row>
    <row r="318">
      <c r="M318" s="38"/>
    </row>
    <row r="319">
      <c r="M319" s="38"/>
    </row>
    <row r="320">
      <c r="M320" s="38"/>
    </row>
    <row r="321">
      <c r="M321" s="38"/>
    </row>
    <row r="322">
      <c r="M322" s="38"/>
    </row>
    <row r="323">
      <c r="M323" s="38"/>
    </row>
    <row r="324">
      <c r="M324" s="38"/>
    </row>
    <row r="325">
      <c r="M325" s="38"/>
    </row>
    <row r="326">
      <c r="M326" s="38"/>
    </row>
    <row r="327">
      <c r="M327" s="38"/>
    </row>
    <row r="328">
      <c r="M328" s="38"/>
    </row>
    <row r="329">
      <c r="M329" s="38"/>
    </row>
    <row r="330">
      <c r="M330" s="38"/>
    </row>
    <row r="331">
      <c r="M331" s="38"/>
    </row>
    <row r="332">
      <c r="M332" s="38"/>
    </row>
    <row r="333">
      <c r="M333" s="38"/>
    </row>
    <row r="334">
      <c r="M334" s="38"/>
    </row>
    <row r="335">
      <c r="M335" s="38"/>
    </row>
    <row r="336">
      <c r="M336" s="38"/>
    </row>
    <row r="337">
      <c r="M337" s="38"/>
    </row>
    <row r="338">
      <c r="M338" s="38"/>
    </row>
    <row r="339">
      <c r="M339" s="38"/>
    </row>
    <row r="340">
      <c r="M340" s="38"/>
    </row>
    <row r="341">
      <c r="M341" s="38"/>
    </row>
    <row r="342">
      <c r="M342" s="38"/>
    </row>
    <row r="343">
      <c r="M343" s="38"/>
    </row>
    <row r="344">
      <c r="M344" s="38"/>
    </row>
    <row r="345">
      <c r="M345" s="38"/>
    </row>
    <row r="346">
      <c r="M346" s="38"/>
    </row>
    <row r="347">
      <c r="M347" s="38"/>
    </row>
    <row r="348">
      <c r="M348" s="38"/>
    </row>
    <row r="349">
      <c r="M349" s="38"/>
    </row>
    <row r="350">
      <c r="M350" s="38"/>
    </row>
    <row r="351">
      <c r="M351" s="38"/>
    </row>
    <row r="352">
      <c r="M352" s="38"/>
    </row>
    <row r="353">
      <c r="M353" s="38"/>
    </row>
    <row r="354">
      <c r="M354" s="38"/>
    </row>
    <row r="355">
      <c r="M355" s="38"/>
    </row>
    <row r="356">
      <c r="M356" s="38"/>
    </row>
    <row r="357">
      <c r="M357" s="38"/>
    </row>
    <row r="358">
      <c r="M358" s="38"/>
    </row>
    <row r="359">
      <c r="M359" s="38"/>
    </row>
    <row r="360">
      <c r="M360" s="38"/>
    </row>
    <row r="361">
      <c r="M361" s="38"/>
    </row>
    <row r="362">
      <c r="M362" s="38"/>
    </row>
    <row r="363">
      <c r="M363" s="38"/>
    </row>
    <row r="364">
      <c r="M364" s="38"/>
    </row>
    <row r="365">
      <c r="M365" s="38"/>
    </row>
    <row r="366">
      <c r="M366" s="38"/>
    </row>
    <row r="367">
      <c r="M367" s="38"/>
    </row>
    <row r="368">
      <c r="M368" s="38"/>
    </row>
    <row r="369">
      <c r="M369" s="38"/>
    </row>
    <row r="370">
      <c r="M370" s="38"/>
    </row>
    <row r="371">
      <c r="M371" s="38"/>
    </row>
    <row r="372">
      <c r="M372" s="38"/>
    </row>
    <row r="373">
      <c r="M373" s="38"/>
    </row>
    <row r="374">
      <c r="M374" s="38"/>
    </row>
    <row r="375">
      <c r="M375" s="38"/>
    </row>
    <row r="376">
      <c r="M376" s="38"/>
    </row>
    <row r="377">
      <c r="M377" s="38"/>
    </row>
    <row r="378">
      <c r="M378" s="38"/>
    </row>
    <row r="379">
      <c r="M379" s="38"/>
    </row>
    <row r="380">
      <c r="M380" s="38"/>
    </row>
    <row r="381">
      <c r="M381" s="38"/>
    </row>
    <row r="382">
      <c r="M382" s="38"/>
    </row>
    <row r="383">
      <c r="M383" s="38"/>
    </row>
    <row r="384">
      <c r="M384" s="38"/>
    </row>
    <row r="385">
      <c r="M385" s="38"/>
    </row>
    <row r="386">
      <c r="M386" s="38"/>
    </row>
    <row r="387">
      <c r="M387" s="38"/>
    </row>
    <row r="388">
      <c r="M388" s="38"/>
    </row>
    <row r="389">
      <c r="M389" s="38"/>
    </row>
    <row r="390">
      <c r="M390" s="38"/>
    </row>
    <row r="391">
      <c r="M391" s="38"/>
    </row>
    <row r="392">
      <c r="M392" s="38"/>
    </row>
    <row r="393">
      <c r="M393" s="38"/>
    </row>
    <row r="394">
      <c r="M394" s="38"/>
    </row>
    <row r="395">
      <c r="M395" s="38"/>
    </row>
    <row r="396">
      <c r="M396" s="38"/>
    </row>
    <row r="397">
      <c r="M397" s="38"/>
    </row>
    <row r="398">
      <c r="M398" s="38"/>
    </row>
    <row r="399">
      <c r="M399" s="38"/>
    </row>
    <row r="400">
      <c r="M400" s="38"/>
    </row>
    <row r="401">
      <c r="M401" s="38"/>
    </row>
    <row r="402">
      <c r="M402" s="38"/>
    </row>
    <row r="403">
      <c r="M403" s="38"/>
    </row>
    <row r="404">
      <c r="M404" s="38"/>
    </row>
    <row r="405">
      <c r="M405" s="38"/>
    </row>
    <row r="406">
      <c r="M406" s="38"/>
    </row>
    <row r="407">
      <c r="M407" s="38"/>
    </row>
    <row r="408">
      <c r="M408" s="38"/>
    </row>
    <row r="409">
      <c r="M409" s="38"/>
    </row>
    <row r="410">
      <c r="M410" s="38"/>
    </row>
    <row r="411">
      <c r="M411" s="38"/>
    </row>
    <row r="412">
      <c r="M412" s="38"/>
    </row>
    <row r="413">
      <c r="M413" s="38"/>
    </row>
    <row r="414">
      <c r="M414" s="38"/>
    </row>
    <row r="415">
      <c r="M415" s="38"/>
    </row>
    <row r="416">
      <c r="M416" s="38"/>
    </row>
    <row r="417">
      <c r="M417" s="38"/>
    </row>
    <row r="418">
      <c r="M418" s="38"/>
    </row>
    <row r="419">
      <c r="M419" s="38"/>
    </row>
    <row r="420">
      <c r="M420" s="38"/>
    </row>
    <row r="421">
      <c r="M421" s="38"/>
    </row>
    <row r="422">
      <c r="M422" s="38"/>
    </row>
    <row r="423">
      <c r="M423" s="38"/>
    </row>
    <row r="424">
      <c r="M424" s="38"/>
    </row>
    <row r="425">
      <c r="M425" s="38"/>
    </row>
    <row r="426">
      <c r="M426" s="38"/>
    </row>
    <row r="427">
      <c r="M427" s="38"/>
    </row>
    <row r="428">
      <c r="M428" s="38"/>
    </row>
    <row r="429">
      <c r="M429" s="38"/>
    </row>
    <row r="430">
      <c r="M430" s="38"/>
    </row>
    <row r="431">
      <c r="M431" s="38"/>
    </row>
    <row r="432">
      <c r="M432" s="38"/>
    </row>
    <row r="433">
      <c r="M433" s="38"/>
    </row>
    <row r="434">
      <c r="M434" s="38"/>
    </row>
    <row r="435">
      <c r="M435" s="38"/>
    </row>
    <row r="436">
      <c r="M436" s="38"/>
    </row>
    <row r="437">
      <c r="M437" s="38"/>
    </row>
    <row r="438">
      <c r="M438" s="38"/>
    </row>
    <row r="439">
      <c r="M439" s="38"/>
    </row>
    <row r="440">
      <c r="M440" s="38"/>
    </row>
    <row r="441">
      <c r="M441" s="38"/>
    </row>
    <row r="442">
      <c r="M442" s="38"/>
    </row>
    <row r="443">
      <c r="M443" s="38"/>
    </row>
    <row r="444">
      <c r="M444" s="38"/>
    </row>
    <row r="445">
      <c r="M445" s="38"/>
    </row>
    <row r="446">
      <c r="M446" s="38"/>
    </row>
    <row r="447">
      <c r="M447" s="38"/>
    </row>
    <row r="448">
      <c r="M448" s="38"/>
    </row>
    <row r="449">
      <c r="M449" s="38"/>
    </row>
    <row r="450">
      <c r="M450" s="38"/>
    </row>
    <row r="451">
      <c r="M451" s="38"/>
    </row>
    <row r="452">
      <c r="M452" s="38"/>
    </row>
    <row r="453">
      <c r="M453" s="38"/>
    </row>
    <row r="454">
      <c r="M454" s="38"/>
    </row>
    <row r="455">
      <c r="M455" s="38"/>
    </row>
    <row r="456">
      <c r="M456" s="38"/>
    </row>
    <row r="457">
      <c r="M457" s="38"/>
    </row>
    <row r="458">
      <c r="M458" s="38"/>
    </row>
    <row r="459">
      <c r="M459" s="38"/>
    </row>
    <row r="460">
      <c r="M460" s="38"/>
    </row>
    <row r="461">
      <c r="M461" s="38"/>
    </row>
    <row r="462">
      <c r="M462" s="38"/>
    </row>
    <row r="463">
      <c r="M463" s="38"/>
    </row>
    <row r="464">
      <c r="M464" s="38"/>
    </row>
    <row r="465">
      <c r="M465" s="38"/>
    </row>
    <row r="466">
      <c r="M466" s="38"/>
    </row>
    <row r="467">
      <c r="M467" s="38"/>
    </row>
    <row r="468">
      <c r="M468" s="38"/>
    </row>
    <row r="469">
      <c r="M469" s="38"/>
    </row>
    <row r="470">
      <c r="M470" s="38"/>
    </row>
    <row r="471">
      <c r="M471" s="38"/>
    </row>
    <row r="472">
      <c r="M472" s="38"/>
    </row>
    <row r="473">
      <c r="M473" s="38"/>
    </row>
    <row r="474">
      <c r="M474" s="38"/>
    </row>
    <row r="475">
      <c r="M475" s="38"/>
    </row>
    <row r="476">
      <c r="M476" s="38"/>
    </row>
    <row r="477">
      <c r="M477" s="38"/>
    </row>
    <row r="478">
      <c r="M478" s="38"/>
    </row>
    <row r="479">
      <c r="M479" s="38"/>
    </row>
    <row r="480">
      <c r="M480" s="38"/>
    </row>
    <row r="481">
      <c r="M481" s="38"/>
    </row>
    <row r="482">
      <c r="M482" s="38"/>
    </row>
    <row r="483">
      <c r="M483" s="38"/>
    </row>
    <row r="484">
      <c r="M484" s="38"/>
    </row>
    <row r="485">
      <c r="M485" s="38"/>
    </row>
    <row r="486">
      <c r="M486" s="38"/>
    </row>
    <row r="487">
      <c r="M487" s="38"/>
    </row>
    <row r="488">
      <c r="M488" s="38"/>
    </row>
    <row r="489">
      <c r="M489" s="38"/>
    </row>
    <row r="490">
      <c r="M490" s="38"/>
    </row>
    <row r="491">
      <c r="M491" s="38"/>
    </row>
    <row r="492">
      <c r="M492" s="38"/>
    </row>
    <row r="493">
      <c r="M493" s="38"/>
    </row>
    <row r="494">
      <c r="M494" s="38"/>
    </row>
    <row r="495">
      <c r="M495" s="38"/>
    </row>
    <row r="496">
      <c r="M496" s="38"/>
    </row>
    <row r="497">
      <c r="M497" s="38"/>
    </row>
    <row r="498">
      <c r="M498" s="38"/>
    </row>
    <row r="499">
      <c r="M499" s="38"/>
    </row>
    <row r="500">
      <c r="M500" s="38"/>
    </row>
    <row r="501">
      <c r="M501" s="38"/>
    </row>
    <row r="502">
      <c r="M502" s="38"/>
    </row>
    <row r="503">
      <c r="M503" s="38"/>
    </row>
    <row r="504">
      <c r="M504" s="38"/>
    </row>
    <row r="505">
      <c r="M505" s="38"/>
    </row>
    <row r="506">
      <c r="M506" s="38"/>
    </row>
    <row r="507">
      <c r="M507" s="38"/>
    </row>
    <row r="508">
      <c r="M508" s="38"/>
    </row>
    <row r="509">
      <c r="M509" s="38"/>
    </row>
    <row r="510">
      <c r="M510" s="38"/>
    </row>
    <row r="511">
      <c r="M511" s="38"/>
    </row>
    <row r="512">
      <c r="M512" s="38"/>
    </row>
    <row r="513">
      <c r="M513" s="38"/>
    </row>
    <row r="514">
      <c r="M514" s="38"/>
    </row>
    <row r="515">
      <c r="M515" s="38"/>
    </row>
    <row r="516">
      <c r="M516" s="38"/>
    </row>
    <row r="517">
      <c r="M517" s="38"/>
    </row>
    <row r="518">
      <c r="M518" s="38"/>
    </row>
    <row r="519">
      <c r="M519" s="38"/>
    </row>
    <row r="520">
      <c r="M520" s="38"/>
    </row>
    <row r="521">
      <c r="M521" s="38"/>
    </row>
    <row r="522">
      <c r="M522" s="38"/>
    </row>
    <row r="523">
      <c r="M523" s="38"/>
    </row>
    <row r="524">
      <c r="M524" s="38"/>
    </row>
    <row r="525">
      <c r="M525" s="38"/>
    </row>
    <row r="526">
      <c r="M526" s="38"/>
    </row>
    <row r="527">
      <c r="M527" s="38"/>
    </row>
    <row r="528">
      <c r="M528" s="38"/>
    </row>
    <row r="529">
      <c r="M529" s="38"/>
    </row>
    <row r="530">
      <c r="M530" s="38"/>
    </row>
    <row r="531">
      <c r="M531" s="38"/>
    </row>
    <row r="532">
      <c r="M532" s="38"/>
    </row>
    <row r="533">
      <c r="M533" s="38"/>
    </row>
    <row r="534">
      <c r="M534" s="38"/>
    </row>
    <row r="535">
      <c r="M535" s="38"/>
    </row>
    <row r="536">
      <c r="M536" s="38"/>
    </row>
    <row r="537">
      <c r="M537" s="38"/>
    </row>
    <row r="538">
      <c r="M538" s="38"/>
    </row>
    <row r="539">
      <c r="M539" s="38"/>
    </row>
    <row r="540">
      <c r="M540" s="38"/>
    </row>
    <row r="541">
      <c r="M541" s="38"/>
    </row>
    <row r="542">
      <c r="M542" s="38"/>
    </row>
    <row r="543">
      <c r="M543" s="38"/>
    </row>
    <row r="544">
      <c r="M544" s="38"/>
    </row>
    <row r="545">
      <c r="M545" s="38"/>
    </row>
    <row r="546">
      <c r="M546" s="38"/>
    </row>
    <row r="547">
      <c r="M547" s="38"/>
    </row>
    <row r="548">
      <c r="M548" s="38"/>
    </row>
    <row r="549">
      <c r="M549" s="38"/>
    </row>
    <row r="550">
      <c r="M550" s="38"/>
    </row>
    <row r="551">
      <c r="M551" s="38"/>
    </row>
    <row r="552">
      <c r="M552" s="38"/>
    </row>
    <row r="553">
      <c r="M553" s="38"/>
    </row>
    <row r="554">
      <c r="M554" s="38"/>
    </row>
    <row r="555">
      <c r="M555" s="38"/>
    </row>
    <row r="556">
      <c r="M556" s="38"/>
    </row>
    <row r="557">
      <c r="M557" s="38"/>
    </row>
    <row r="558">
      <c r="M558" s="38"/>
    </row>
    <row r="559">
      <c r="M559" s="38"/>
    </row>
    <row r="560">
      <c r="M560" s="38"/>
    </row>
    <row r="561">
      <c r="M561" s="38"/>
    </row>
    <row r="562">
      <c r="M562" s="38"/>
    </row>
    <row r="563">
      <c r="M563" s="38"/>
    </row>
    <row r="564">
      <c r="M564" s="38"/>
    </row>
    <row r="565">
      <c r="M565" s="38"/>
    </row>
    <row r="566">
      <c r="M566" s="38"/>
    </row>
    <row r="567">
      <c r="M567" s="38"/>
    </row>
    <row r="568">
      <c r="M568" s="38"/>
    </row>
    <row r="569">
      <c r="M569" s="38"/>
    </row>
    <row r="570">
      <c r="M570" s="38"/>
    </row>
    <row r="571">
      <c r="M571" s="38"/>
    </row>
    <row r="572">
      <c r="M572" s="38"/>
    </row>
    <row r="573">
      <c r="M573" s="38"/>
    </row>
    <row r="574">
      <c r="M574" s="38"/>
    </row>
    <row r="575">
      <c r="M575" s="38"/>
    </row>
    <row r="576">
      <c r="M576" s="38"/>
    </row>
    <row r="577">
      <c r="M577" s="38"/>
    </row>
    <row r="578">
      <c r="M578" s="38"/>
    </row>
    <row r="579">
      <c r="M579" s="38"/>
    </row>
    <row r="580">
      <c r="M580" s="38"/>
    </row>
    <row r="581">
      <c r="M581" s="38"/>
    </row>
    <row r="582">
      <c r="M582" s="38"/>
    </row>
    <row r="583">
      <c r="M583" s="38"/>
    </row>
    <row r="584">
      <c r="M584" s="38"/>
    </row>
    <row r="585">
      <c r="M585" s="38"/>
    </row>
    <row r="586">
      <c r="M586" s="38"/>
    </row>
    <row r="587">
      <c r="M587" s="38"/>
    </row>
    <row r="588">
      <c r="M588" s="38"/>
    </row>
    <row r="589">
      <c r="M589" s="38"/>
    </row>
    <row r="590">
      <c r="M590" s="38"/>
    </row>
    <row r="591">
      <c r="M591" s="38"/>
    </row>
    <row r="592">
      <c r="M592" s="38"/>
    </row>
    <row r="593">
      <c r="M593" s="38"/>
    </row>
    <row r="594">
      <c r="M594" s="38"/>
    </row>
    <row r="595">
      <c r="M595" s="38"/>
    </row>
    <row r="596">
      <c r="M596" s="38"/>
    </row>
    <row r="597">
      <c r="M597" s="38"/>
    </row>
    <row r="598">
      <c r="M598" s="38"/>
    </row>
    <row r="599">
      <c r="M599" s="38"/>
    </row>
    <row r="600">
      <c r="M600" s="38"/>
    </row>
    <row r="601">
      <c r="M601" s="38"/>
    </row>
    <row r="602">
      <c r="M602" s="38"/>
    </row>
    <row r="603">
      <c r="M603" s="38"/>
    </row>
    <row r="604">
      <c r="M604" s="38"/>
    </row>
    <row r="605">
      <c r="M605" s="38"/>
    </row>
    <row r="606">
      <c r="M606" s="38"/>
    </row>
    <row r="607">
      <c r="M607" s="38"/>
    </row>
    <row r="608">
      <c r="M608" s="38"/>
    </row>
    <row r="609">
      <c r="M609" s="38"/>
    </row>
    <row r="610">
      <c r="M610" s="38"/>
    </row>
    <row r="611">
      <c r="M611" s="38"/>
    </row>
    <row r="612">
      <c r="M612" s="38"/>
    </row>
    <row r="613">
      <c r="M613" s="38"/>
    </row>
    <row r="614">
      <c r="M614" s="38"/>
    </row>
    <row r="615">
      <c r="M615" s="38"/>
    </row>
    <row r="616">
      <c r="M616" s="38"/>
    </row>
    <row r="617">
      <c r="M617" s="38"/>
    </row>
    <row r="618">
      <c r="M618" s="38"/>
    </row>
    <row r="619">
      <c r="M619" s="38"/>
    </row>
    <row r="620">
      <c r="M620" s="38"/>
    </row>
    <row r="621">
      <c r="M621" s="38"/>
    </row>
    <row r="622">
      <c r="M622" s="38"/>
    </row>
    <row r="623">
      <c r="M623" s="38"/>
    </row>
    <row r="624">
      <c r="M624" s="38"/>
    </row>
    <row r="625">
      <c r="M625" s="38"/>
    </row>
    <row r="626">
      <c r="M626" s="38"/>
    </row>
    <row r="627">
      <c r="M627" s="38"/>
    </row>
    <row r="628">
      <c r="M628" s="38"/>
    </row>
    <row r="629">
      <c r="M629" s="38"/>
    </row>
    <row r="630">
      <c r="M630" s="38"/>
    </row>
    <row r="631">
      <c r="M631" s="38"/>
    </row>
    <row r="632">
      <c r="M632" s="38"/>
    </row>
    <row r="633">
      <c r="M633" s="38"/>
    </row>
    <row r="634">
      <c r="M634" s="38"/>
    </row>
    <row r="635">
      <c r="M635" s="38"/>
    </row>
    <row r="636">
      <c r="M636" s="38"/>
    </row>
    <row r="637">
      <c r="M637" s="38"/>
    </row>
    <row r="638">
      <c r="M638" s="38"/>
    </row>
    <row r="639">
      <c r="M639" s="38"/>
    </row>
    <row r="640">
      <c r="M640" s="38"/>
    </row>
    <row r="641">
      <c r="M641" s="38"/>
    </row>
    <row r="642">
      <c r="M642" s="38"/>
    </row>
    <row r="643">
      <c r="M643" s="38"/>
    </row>
    <row r="644">
      <c r="M644" s="38"/>
    </row>
    <row r="645">
      <c r="M645" s="38"/>
    </row>
    <row r="646">
      <c r="M646" s="38"/>
    </row>
    <row r="647">
      <c r="M647" s="38"/>
    </row>
    <row r="648">
      <c r="M648" s="38"/>
    </row>
    <row r="649">
      <c r="M649" s="38"/>
    </row>
    <row r="650">
      <c r="M650" s="38"/>
    </row>
    <row r="651">
      <c r="M651" s="38"/>
    </row>
    <row r="652">
      <c r="M652" s="38"/>
    </row>
    <row r="653">
      <c r="M653" s="38"/>
    </row>
    <row r="654">
      <c r="M654" s="38"/>
    </row>
    <row r="655">
      <c r="M655" s="38"/>
    </row>
    <row r="656">
      <c r="M656" s="38"/>
    </row>
    <row r="657">
      <c r="M657" s="38"/>
    </row>
    <row r="658">
      <c r="M658" s="38"/>
    </row>
    <row r="659">
      <c r="M659" s="38"/>
    </row>
    <row r="660">
      <c r="M660" s="38"/>
    </row>
    <row r="661">
      <c r="M661" s="38"/>
    </row>
    <row r="662">
      <c r="M662" s="38"/>
    </row>
    <row r="663">
      <c r="M663" s="38"/>
    </row>
    <row r="664">
      <c r="M664" s="38"/>
    </row>
    <row r="665">
      <c r="M665" s="38"/>
    </row>
    <row r="666">
      <c r="M666" s="38"/>
    </row>
    <row r="667">
      <c r="M667" s="38"/>
    </row>
    <row r="668">
      <c r="M668" s="38"/>
    </row>
    <row r="669">
      <c r="M669" s="38"/>
    </row>
    <row r="670">
      <c r="M670" s="38"/>
    </row>
    <row r="671">
      <c r="M671" s="38"/>
    </row>
    <row r="672">
      <c r="M672" s="38"/>
    </row>
    <row r="673">
      <c r="M673" s="38"/>
    </row>
    <row r="674">
      <c r="M674" s="38"/>
    </row>
    <row r="675">
      <c r="M675" s="38"/>
    </row>
    <row r="676">
      <c r="M676" s="38"/>
    </row>
    <row r="677">
      <c r="M677" s="38"/>
    </row>
    <row r="678">
      <c r="M678" s="38"/>
    </row>
    <row r="679">
      <c r="M679" s="38"/>
    </row>
    <row r="680">
      <c r="M680" s="38"/>
    </row>
    <row r="681">
      <c r="M681" s="38"/>
    </row>
    <row r="682">
      <c r="M682" s="38"/>
    </row>
    <row r="683">
      <c r="M683" s="38"/>
    </row>
    <row r="684">
      <c r="M684" s="38"/>
    </row>
    <row r="685">
      <c r="M685" s="38"/>
    </row>
    <row r="686">
      <c r="M686" s="38"/>
    </row>
    <row r="687">
      <c r="M687" s="38"/>
    </row>
    <row r="688">
      <c r="M688" s="38"/>
    </row>
    <row r="689">
      <c r="M689" s="38"/>
    </row>
    <row r="690">
      <c r="M690" s="38"/>
    </row>
    <row r="691">
      <c r="M691" s="38"/>
    </row>
    <row r="692">
      <c r="M692" s="38"/>
    </row>
    <row r="693">
      <c r="M693" s="38"/>
    </row>
    <row r="694">
      <c r="M694" s="38"/>
    </row>
    <row r="695">
      <c r="M695" s="38"/>
    </row>
    <row r="696">
      <c r="M696" s="38"/>
    </row>
    <row r="697">
      <c r="M697" s="38"/>
    </row>
    <row r="698">
      <c r="M698" s="38"/>
    </row>
    <row r="699">
      <c r="M699" s="38"/>
    </row>
    <row r="700">
      <c r="M700" s="38"/>
    </row>
    <row r="701">
      <c r="M701" s="38"/>
    </row>
    <row r="702">
      <c r="M702" s="38"/>
    </row>
    <row r="703">
      <c r="M703" s="38"/>
    </row>
    <row r="704">
      <c r="M704" s="38"/>
    </row>
    <row r="705">
      <c r="M705" s="38"/>
    </row>
    <row r="706">
      <c r="M706" s="38"/>
    </row>
    <row r="707">
      <c r="M707" s="38"/>
    </row>
    <row r="708">
      <c r="M708" s="38"/>
    </row>
    <row r="709">
      <c r="M709" s="38"/>
    </row>
    <row r="710">
      <c r="M710" s="38"/>
    </row>
    <row r="711">
      <c r="M711" s="38"/>
    </row>
    <row r="712">
      <c r="M712" s="38"/>
    </row>
    <row r="713">
      <c r="M713" s="38"/>
    </row>
    <row r="714">
      <c r="M714" s="38"/>
    </row>
    <row r="715">
      <c r="M715" s="38"/>
    </row>
    <row r="716">
      <c r="M716" s="38"/>
    </row>
    <row r="717">
      <c r="M717" s="38"/>
    </row>
    <row r="718">
      <c r="M718" s="38"/>
    </row>
    <row r="719">
      <c r="M719" s="38"/>
    </row>
    <row r="720">
      <c r="M720" s="38"/>
    </row>
    <row r="721">
      <c r="M721" s="38"/>
    </row>
    <row r="722">
      <c r="M722" s="38"/>
    </row>
    <row r="723">
      <c r="M723" s="38"/>
    </row>
    <row r="724">
      <c r="M724" s="38"/>
    </row>
    <row r="725">
      <c r="M725" s="38"/>
    </row>
    <row r="726">
      <c r="M726" s="38"/>
    </row>
    <row r="727">
      <c r="M727" s="38"/>
    </row>
    <row r="728">
      <c r="M728" s="38"/>
    </row>
    <row r="729">
      <c r="M729" s="38"/>
    </row>
    <row r="730">
      <c r="M730" s="38"/>
    </row>
    <row r="731">
      <c r="M731" s="38"/>
    </row>
    <row r="732">
      <c r="M732" s="38"/>
    </row>
    <row r="733">
      <c r="M733" s="38"/>
    </row>
    <row r="734">
      <c r="M734" s="38"/>
    </row>
    <row r="735">
      <c r="M735" s="38"/>
    </row>
    <row r="736">
      <c r="M736" s="38"/>
    </row>
    <row r="737">
      <c r="M737" s="38"/>
    </row>
    <row r="738">
      <c r="M738" s="38"/>
    </row>
    <row r="739">
      <c r="M739" s="38"/>
    </row>
    <row r="740">
      <c r="M740" s="38"/>
    </row>
    <row r="741">
      <c r="M741" s="38"/>
    </row>
    <row r="742">
      <c r="M742" s="38"/>
    </row>
    <row r="743">
      <c r="M743" s="38"/>
    </row>
    <row r="744">
      <c r="M744" s="38"/>
    </row>
    <row r="745">
      <c r="M745" s="38"/>
    </row>
    <row r="746">
      <c r="M746" s="38"/>
    </row>
    <row r="747">
      <c r="M747" s="38"/>
    </row>
    <row r="748">
      <c r="M748" s="38"/>
    </row>
    <row r="749">
      <c r="M749" s="38"/>
    </row>
    <row r="750">
      <c r="M750" s="38"/>
    </row>
    <row r="751">
      <c r="M751" s="38"/>
    </row>
    <row r="752">
      <c r="M752" s="38"/>
    </row>
    <row r="753">
      <c r="M753" s="38"/>
    </row>
    <row r="754">
      <c r="M754" s="38"/>
    </row>
    <row r="755">
      <c r="M755" s="38"/>
    </row>
    <row r="756">
      <c r="M756" s="38"/>
    </row>
    <row r="757">
      <c r="M757" s="38"/>
    </row>
    <row r="758">
      <c r="M758" s="38"/>
    </row>
    <row r="759">
      <c r="M759" s="38"/>
    </row>
    <row r="760">
      <c r="M760" s="38"/>
    </row>
    <row r="761">
      <c r="M761" s="38"/>
    </row>
    <row r="762">
      <c r="M762" s="38"/>
    </row>
    <row r="763">
      <c r="M763" s="38"/>
    </row>
    <row r="764">
      <c r="M764" s="38"/>
    </row>
    <row r="765">
      <c r="M765" s="38"/>
    </row>
    <row r="766">
      <c r="M766" s="38"/>
    </row>
    <row r="767">
      <c r="M767" s="38"/>
    </row>
    <row r="768">
      <c r="M768" s="38"/>
    </row>
    <row r="769">
      <c r="M769" s="38"/>
    </row>
    <row r="770">
      <c r="M770" s="38"/>
    </row>
    <row r="771">
      <c r="M771" s="38"/>
    </row>
    <row r="772">
      <c r="M772" s="38"/>
    </row>
    <row r="773">
      <c r="M773" s="38"/>
    </row>
    <row r="774">
      <c r="M774" s="38"/>
    </row>
    <row r="775">
      <c r="M775" s="38"/>
    </row>
    <row r="776">
      <c r="M776" s="38"/>
    </row>
    <row r="777">
      <c r="M777" s="38"/>
    </row>
    <row r="778">
      <c r="M778" s="38"/>
    </row>
    <row r="779">
      <c r="M779" s="38"/>
    </row>
    <row r="780">
      <c r="M780" s="38"/>
    </row>
    <row r="781">
      <c r="M781" s="38"/>
    </row>
    <row r="782">
      <c r="M782" s="38"/>
    </row>
    <row r="783">
      <c r="M783" s="38"/>
    </row>
    <row r="784">
      <c r="M784" s="38"/>
    </row>
    <row r="785">
      <c r="M785" s="38"/>
    </row>
    <row r="786">
      <c r="M786" s="38"/>
    </row>
    <row r="787">
      <c r="M787" s="38"/>
    </row>
    <row r="788">
      <c r="M788" s="38"/>
    </row>
    <row r="789">
      <c r="M789" s="38"/>
    </row>
    <row r="790">
      <c r="M790" s="38"/>
    </row>
    <row r="791">
      <c r="M791" s="38"/>
    </row>
    <row r="792">
      <c r="M792" s="38"/>
    </row>
    <row r="793">
      <c r="M793" s="38"/>
    </row>
    <row r="794">
      <c r="M794" s="38"/>
    </row>
    <row r="795">
      <c r="M795" s="38"/>
    </row>
    <row r="796">
      <c r="M796" s="38"/>
    </row>
    <row r="797">
      <c r="M797" s="38"/>
    </row>
    <row r="798">
      <c r="M798" s="38"/>
    </row>
    <row r="799">
      <c r="M799" s="38"/>
    </row>
    <row r="800">
      <c r="M800" s="38"/>
    </row>
    <row r="801">
      <c r="M801" s="38"/>
    </row>
    <row r="802">
      <c r="M802" s="38"/>
    </row>
    <row r="803">
      <c r="M803" s="38"/>
    </row>
    <row r="804">
      <c r="M804" s="38"/>
    </row>
    <row r="805">
      <c r="M805" s="38"/>
    </row>
    <row r="806">
      <c r="M806" s="38"/>
    </row>
    <row r="807">
      <c r="M807" s="38"/>
    </row>
    <row r="808">
      <c r="M808" s="38"/>
    </row>
    <row r="809">
      <c r="M809" s="38"/>
    </row>
    <row r="810">
      <c r="M810" s="38"/>
    </row>
    <row r="811">
      <c r="M811" s="38"/>
    </row>
    <row r="812">
      <c r="M812" s="38"/>
    </row>
    <row r="813">
      <c r="M813" s="38"/>
    </row>
    <row r="814">
      <c r="M814" s="38"/>
    </row>
    <row r="815">
      <c r="M815" s="38"/>
    </row>
    <row r="816">
      <c r="M816" s="38"/>
    </row>
    <row r="817">
      <c r="M817" s="38"/>
    </row>
    <row r="818">
      <c r="M818" s="38"/>
    </row>
    <row r="819">
      <c r="M819" s="38"/>
    </row>
    <row r="820">
      <c r="M820" s="38"/>
    </row>
    <row r="821">
      <c r="M821" s="38"/>
    </row>
    <row r="822">
      <c r="M822" s="38"/>
    </row>
    <row r="823">
      <c r="M823" s="38"/>
    </row>
    <row r="824">
      <c r="M824" s="38"/>
    </row>
    <row r="825">
      <c r="M825" s="38"/>
    </row>
    <row r="826">
      <c r="M826" s="38"/>
    </row>
    <row r="827">
      <c r="M827" s="38"/>
    </row>
    <row r="828">
      <c r="M828" s="38"/>
    </row>
    <row r="829">
      <c r="M829" s="38"/>
    </row>
    <row r="830">
      <c r="M830" s="38"/>
    </row>
    <row r="831">
      <c r="M831" s="38"/>
    </row>
    <row r="832">
      <c r="M832" s="38"/>
    </row>
    <row r="833">
      <c r="M833" s="38"/>
    </row>
    <row r="834">
      <c r="M834" s="38"/>
    </row>
    <row r="835">
      <c r="M835" s="38"/>
    </row>
    <row r="836">
      <c r="M836" s="38"/>
    </row>
    <row r="837">
      <c r="M837" s="38"/>
    </row>
    <row r="838">
      <c r="M838" s="38"/>
    </row>
    <row r="839">
      <c r="M839" s="38"/>
    </row>
    <row r="840">
      <c r="M840" s="38"/>
    </row>
    <row r="841">
      <c r="M841" s="38"/>
    </row>
    <row r="842">
      <c r="M842" s="38"/>
    </row>
    <row r="843">
      <c r="M843" s="38"/>
    </row>
    <row r="844">
      <c r="M844" s="38"/>
    </row>
    <row r="845">
      <c r="M845" s="38"/>
    </row>
    <row r="846">
      <c r="M846" s="38"/>
    </row>
    <row r="847">
      <c r="M847" s="38"/>
    </row>
    <row r="848">
      <c r="M848" s="38"/>
    </row>
    <row r="849">
      <c r="M849" s="38"/>
    </row>
    <row r="850">
      <c r="M850" s="38"/>
    </row>
    <row r="851">
      <c r="M851" s="38"/>
    </row>
    <row r="852">
      <c r="M852" s="38"/>
    </row>
    <row r="853">
      <c r="M853" s="38"/>
    </row>
    <row r="854">
      <c r="M854" s="38"/>
    </row>
    <row r="855">
      <c r="M855" s="38"/>
    </row>
    <row r="856">
      <c r="M856" s="38"/>
    </row>
    <row r="857">
      <c r="M857" s="38"/>
    </row>
    <row r="858">
      <c r="M858" s="38"/>
    </row>
    <row r="859">
      <c r="M859" s="38"/>
    </row>
    <row r="860">
      <c r="M860" s="38"/>
    </row>
    <row r="861">
      <c r="M861" s="38"/>
    </row>
    <row r="862">
      <c r="M862" s="38"/>
    </row>
    <row r="863">
      <c r="M863" s="38"/>
    </row>
    <row r="864">
      <c r="M864" s="38"/>
    </row>
    <row r="865">
      <c r="M865" s="38"/>
    </row>
    <row r="866">
      <c r="M866" s="38"/>
    </row>
    <row r="867">
      <c r="M867" s="38"/>
    </row>
    <row r="868">
      <c r="M868" s="38"/>
    </row>
    <row r="869">
      <c r="M869" s="38"/>
    </row>
    <row r="870">
      <c r="M870" s="38"/>
    </row>
    <row r="871">
      <c r="M871" s="38"/>
    </row>
    <row r="872">
      <c r="M872" s="38"/>
    </row>
    <row r="873">
      <c r="M873" s="38"/>
    </row>
    <row r="874">
      <c r="M874" s="38"/>
    </row>
    <row r="875">
      <c r="M875" s="38"/>
    </row>
    <row r="876">
      <c r="M876" s="38"/>
    </row>
    <row r="877">
      <c r="M877" s="38"/>
    </row>
    <row r="878">
      <c r="M878" s="38"/>
    </row>
    <row r="879">
      <c r="M879" s="38"/>
    </row>
    <row r="880">
      <c r="M880" s="38"/>
    </row>
    <row r="881">
      <c r="M881" s="38"/>
    </row>
    <row r="882">
      <c r="M882" s="38"/>
    </row>
    <row r="883">
      <c r="M883" s="38"/>
    </row>
    <row r="884">
      <c r="M884" s="38"/>
    </row>
    <row r="885">
      <c r="M885" s="38"/>
    </row>
    <row r="886">
      <c r="M886" s="38"/>
    </row>
    <row r="887">
      <c r="M887" s="38"/>
    </row>
    <row r="888">
      <c r="M888" s="38"/>
    </row>
    <row r="889">
      <c r="M889" s="38"/>
    </row>
    <row r="890">
      <c r="M890" s="38"/>
    </row>
    <row r="891">
      <c r="M891" s="38"/>
    </row>
    <row r="892">
      <c r="M892" s="38"/>
    </row>
    <row r="893">
      <c r="M893" s="38"/>
    </row>
    <row r="894">
      <c r="M894" s="38"/>
    </row>
    <row r="895">
      <c r="M895" s="38"/>
    </row>
    <row r="896">
      <c r="M896" s="38"/>
    </row>
    <row r="897">
      <c r="M897" s="38"/>
    </row>
    <row r="898">
      <c r="M898" s="38"/>
    </row>
    <row r="899">
      <c r="M899" s="38"/>
    </row>
    <row r="900">
      <c r="M900" s="38"/>
    </row>
    <row r="901">
      <c r="M901" s="38"/>
    </row>
    <row r="902">
      <c r="M902" s="38"/>
    </row>
    <row r="903">
      <c r="M903" s="38"/>
    </row>
    <row r="904">
      <c r="M904" s="38"/>
    </row>
    <row r="905">
      <c r="M905" s="38"/>
    </row>
    <row r="906">
      <c r="M906" s="38"/>
    </row>
    <row r="907">
      <c r="M907" s="38"/>
    </row>
    <row r="908">
      <c r="M908" s="38"/>
    </row>
    <row r="909">
      <c r="M909" s="38"/>
    </row>
    <row r="910">
      <c r="M910" s="38"/>
    </row>
    <row r="911">
      <c r="M911" s="38"/>
    </row>
    <row r="912">
      <c r="M912" s="38"/>
    </row>
    <row r="913">
      <c r="M913" s="38"/>
    </row>
    <row r="914">
      <c r="M914" s="38"/>
    </row>
    <row r="915">
      <c r="M915" s="38"/>
    </row>
    <row r="916">
      <c r="M916" s="38"/>
    </row>
    <row r="917">
      <c r="M917" s="38"/>
    </row>
    <row r="918">
      <c r="M918" s="38"/>
    </row>
    <row r="919">
      <c r="M919" s="38"/>
    </row>
    <row r="920">
      <c r="M920" s="38"/>
    </row>
    <row r="921">
      <c r="M921" s="38"/>
    </row>
    <row r="922">
      <c r="M922" s="38"/>
    </row>
    <row r="923">
      <c r="M923" s="38"/>
    </row>
    <row r="924">
      <c r="M924" s="38"/>
    </row>
    <row r="925">
      <c r="M925" s="38"/>
    </row>
    <row r="926">
      <c r="M926" s="38"/>
    </row>
    <row r="927">
      <c r="M927" s="38"/>
    </row>
    <row r="928">
      <c r="M928" s="38"/>
    </row>
    <row r="929">
      <c r="M929" s="38"/>
    </row>
    <row r="930">
      <c r="M930" s="38"/>
    </row>
    <row r="931">
      <c r="M931" s="38"/>
    </row>
    <row r="932">
      <c r="M932" s="38"/>
    </row>
    <row r="933">
      <c r="M933" s="38"/>
    </row>
    <row r="934">
      <c r="M934" s="38"/>
    </row>
    <row r="935">
      <c r="M935" s="38"/>
    </row>
    <row r="936">
      <c r="M936" s="38"/>
    </row>
    <row r="937">
      <c r="M937" s="38"/>
    </row>
    <row r="938">
      <c r="M938" s="38"/>
    </row>
    <row r="939">
      <c r="M939" s="38"/>
    </row>
    <row r="940">
      <c r="M940" s="38"/>
    </row>
    <row r="941">
      <c r="M941" s="38"/>
    </row>
    <row r="942">
      <c r="M942" s="38"/>
    </row>
    <row r="943">
      <c r="M943" s="38"/>
    </row>
    <row r="944">
      <c r="M944" s="38"/>
    </row>
    <row r="945">
      <c r="M945" s="38"/>
    </row>
    <row r="946">
      <c r="M946" s="38"/>
    </row>
    <row r="947">
      <c r="M947" s="38"/>
    </row>
    <row r="948">
      <c r="M948" s="38"/>
    </row>
    <row r="949">
      <c r="M949" s="38"/>
    </row>
    <row r="950">
      <c r="M950" s="38"/>
    </row>
    <row r="951">
      <c r="M951" s="38"/>
    </row>
    <row r="952">
      <c r="M952" s="38"/>
    </row>
    <row r="953">
      <c r="M953" s="38"/>
    </row>
    <row r="954">
      <c r="M954" s="38"/>
    </row>
    <row r="955">
      <c r="M955" s="38"/>
    </row>
    <row r="956">
      <c r="M956" s="38"/>
    </row>
    <row r="957">
      <c r="M957" s="38"/>
    </row>
    <row r="958">
      <c r="M958" s="38"/>
    </row>
    <row r="959">
      <c r="M959" s="38"/>
    </row>
    <row r="960">
      <c r="M960" s="38"/>
    </row>
    <row r="961">
      <c r="M961" s="38"/>
    </row>
    <row r="962">
      <c r="M962" s="38"/>
    </row>
    <row r="963">
      <c r="M963" s="38"/>
    </row>
    <row r="964">
      <c r="M964" s="38"/>
    </row>
    <row r="965">
      <c r="M965" s="38"/>
    </row>
    <row r="966">
      <c r="M966" s="38"/>
    </row>
    <row r="967">
      <c r="M967" s="38"/>
    </row>
    <row r="968">
      <c r="M968" s="38"/>
    </row>
    <row r="969">
      <c r="M969" s="38"/>
    </row>
    <row r="970">
      <c r="M970" s="38"/>
    </row>
    <row r="971">
      <c r="M971" s="38"/>
    </row>
    <row r="972">
      <c r="M972" s="38"/>
    </row>
    <row r="973">
      <c r="M973" s="38"/>
    </row>
    <row r="974">
      <c r="M974" s="38"/>
    </row>
    <row r="975">
      <c r="M975" s="38"/>
    </row>
    <row r="976">
      <c r="M976" s="38"/>
    </row>
    <row r="977">
      <c r="M977" s="38"/>
    </row>
    <row r="978">
      <c r="M978" s="38"/>
    </row>
    <row r="979">
      <c r="M979" s="38"/>
    </row>
    <row r="980">
      <c r="M980" s="38"/>
    </row>
    <row r="981">
      <c r="M981" s="38"/>
    </row>
    <row r="982">
      <c r="M982" s="38"/>
    </row>
    <row r="983">
      <c r="M983" s="38"/>
    </row>
    <row r="984">
      <c r="M984" s="38"/>
    </row>
    <row r="985">
      <c r="M985" s="38"/>
    </row>
    <row r="986">
      <c r="M986" s="38"/>
    </row>
    <row r="987">
      <c r="M987" s="38"/>
    </row>
    <row r="988">
      <c r="M988" s="38"/>
    </row>
    <row r="989">
      <c r="M989" s="38"/>
    </row>
    <row r="990">
      <c r="M990" s="38"/>
    </row>
    <row r="991">
      <c r="M991" s="38"/>
    </row>
    <row r="992">
      <c r="M992" s="38"/>
    </row>
    <row r="993">
      <c r="M993" s="38"/>
    </row>
    <row r="994">
      <c r="M994" s="38"/>
    </row>
    <row r="995">
      <c r="M995" s="38"/>
    </row>
    <row r="996">
      <c r="M996" s="38"/>
    </row>
    <row r="997">
      <c r="M997" s="38"/>
    </row>
    <row r="998">
      <c r="M998" s="38"/>
    </row>
    <row r="999">
      <c r="M999" s="38"/>
    </row>
    <row r="1000">
      <c r="M1000" s="38"/>
    </row>
    <row r="1001">
      <c r="M1001" s="38"/>
    </row>
    <row r="1002">
      <c r="M1002" s="38"/>
    </row>
  </sheetData>
  <dataValidations>
    <dataValidation type="list" allowBlank="1" showDropDown="1" showErrorMessage="1" sqref="B6 B8 B10 B12">
      <formula1>'Rate card'!$A$4:$A1002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19.88"/>
    <col customWidth="1" min="3" max="3" width="16.25"/>
  </cols>
  <sheetData>
    <row r="1" ht="22.5" customHeight="1">
      <c r="A1" s="197" t="s">
        <v>407</v>
      </c>
      <c r="B1" s="197" t="s">
        <v>408</v>
      </c>
      <c r="C1" s="198" t="s">
        <v>409</v>
      </c>
      <c r="D1" s="197" t="s">
        <v>410</v>
      </c>
      <c r="E1" s="197" t="s">
        <v>411</v>
      </c>
      <c r="F1" s="197" t="s">
        <v>412</v>
      </c>
      <c r="G1" s="197" t="s">
        <v>413</v>
      </c>
      <c r="H1" s="199" t="s">
        <v>414</v>
      </c>
      <c r="I1" s="199" t="s">
        <v>415</v>
      </c>
      <c r="J1" s="199" t="s">
        <v>416</v>
      </c>
      <c r="K1" s="200" t="s">
        <v>417</v>
      </c>
      <c r="L1" s="199" t="s">
        <v>418</v>
      </c>
      <c r="M1" s="199" t="s">
        <v>419</v>
      </c>
      <c r="N1" s="199" t="s">
        <v>420</v>
      </c>
      <c r="O1" s="199" t="s">
        <v>421</v>
      </c>
      <c r="P1" s="199" t="s">
        <v>422</v>
      </c>
      <c r="Q1" s="199" t="s">
        <v>423</v>
      </c>
      <c r="R1" s="199" t="s">
        <v>424</v>
      </c>
      <c r="S1" s="199" t="s">
        <v>425</v>
      </c>
      <c r="T1" s="199" t="s">
        <v>426</v>
      </c>
      <c r="U1" s="199" t="s">
        <v>427</v>
      </c>
      <c r="V1" s="199" t="s">
        <v>428</v>
      </c>
      <c r="W1" s="199" t="s">
        <v>429</v>
      </c>
      <c r="X1" s="199" t="s">
        <v>430</v>
      </c>
      <c r="Y1" s="199" t="s">
        <v>431</v>
      </c>
      <c r="Z1" s="199" t="s">
        <v>432</v>
      </c>
      <c r="AA1" s="199" t="s">
        <v>433</v>
      </c>
      <c r="AB1" s="199" t="s">
        <v>434</v>
      </c>
      <c r="AC1" s="199" t="s">
        <v>435</v>
      </c>
      <c r="AD1" s="199" t="s">
        <v>436</v>
      </c>
      <c r="AE1" s="199" t="s">
        <v>437</v>
      </c>
      <c r="AF1" s="199" t="s">
        <v>438</v>
      </c>
      <c r="AG1" s="199" t="s">
        <v>439</v>
      </c>
      <c r="AH1" s="199" t="s">
        <v>440</v>
      </c>
      <c r="AI1" s="199" t="s">
        <v>441</v>
      </c>
    </row>
    <row r="2" ht="22.5" customHeight="1">
      <c r="A2" s="201" t="s">
        <v>442</v>
      </c>
      <c r="B2" s="202" t="s">
        <v>443</v>
      </c>
      <c r="C2" s="203">
        <f>E2-D2</f>
        <v>32</v>
      </c>
      <c r="D2" s="204">
        <v>45992.0</v>
      </c>
      <c r="E2" s="205">
        <f>E5</f>
        <v>46024</v>
      </c>
      <c r="F2" s="206" t="s">
        <v>444</v>
      </c>
      <c r="G2" s="207" t="s">
        <v>445</v>
      </c>
      <c r="H2" s="208"/>
      <c r="I2" s="208"/>
      <c r="J2" s="209">
        <f>E51-D2</f>
        <v>100</v>
      </c>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1"/>
    </row>
    <row r="3" ht="22.5" customHeight="1">
      <c r="A3" s="212" t="s">
        <v>446</v>
      </c>
      <c r="B3" s="213" t="s">
        <v>447</v>
      </c>
      <c r="C3" s="214">
        <v>25.0</v>
      </c>
      <c r="D3" s="215">
        <f>D2</f>
        <v>45992</v>
      </c>
      <c r="E3" s="215">
        <f t="shared" ref="E3:E8" si="1">D3+C3</f>
        <v>46017</v>
      </c>
      <c r="F3" s="216" t="s">
        <v>448</v>
      </c>
      <c r="G3" s="217"/>
      <c r="H3" s="217"/>
      <c r="I3" s="217"/>
      <c r="J3" s="218"/>
      <c r="K3" s="219"/>
      <c r="L3" s="219"/>
      <c r="M3" s="219"/>
      <c r="N3" s="219"/>
      <c r="O3" s="219"/>
      <c r="P3" s="219"/>
      <c r="Q3" s="219"/>
      <c r="R3" s="219"/>
      <c r="S3" s="219"/>
      <c r="T3" s="219"/>
      <c r="U3" s="219"/>
      <c r="V3" s="219"/>
      <c r="W3" s="219"/>
      <c r="X3" s="219"/>
      <c r="Y3" s="219"/>
      <c r="Z3" s="219"/>
      <c r="AA3" s="219"/>
      <c r="AB3" s="219"/>
      <c r="AC3" s="219"/>
      <c r="AD3" s="219"/>
      <c r="AE3" s="219"/>
      <c r="AF3" s="219"/>
      <c r="AG3" s="219"/>
      <c r="AH3" s="219"/>
      <c r="AI3" s="220"/>
    </row>
    <row r="4" ht="22.5" customHeight="1">
      <c r="A4" s="221" t="s">
        <v>449</v>
      </c>
      <c r="B4" s="202" t="s">
        <v>447</v>
      </c>
      <c r="C4" s="222">
        <v>15.0</v>
      </c>
      <c r="D4" s="223">
        <f>D2+5</f>
        <v>45997</v>
      </c>
      <c r="E4" s="223">
        <f t="shared" si="1"/>
        <v>46012</v>
      </c>
      <c r="F4" s="224" t="s">
        <v>450</v>
      </c>
      <c r="G4" s="208"/>
      <c r="H4" s="208"/>
      <c r="I4" s="208"/>
      <c r="J4" s="225" t="s">
        <v>451</v>
      </c>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1"/>
    </row>
    <row r="5" ht="22.5" customHeight="1">
      <c r="A5" s="226" t="s">
        <v>452</v>
      </c>
      <c r="B5" s="213" t="s">
        <v>447</v>
      </c>
      <c r="C5" s="214">
        <v>12.0</v>
      </c>
      <c r="D5" s="215">
        <f t="shared" ref="D5:D8" si="2">E4</f>
        <v>46012</v>
      </c>
      <c r="E5" s="215">
        <f t="shared" si="1"/>
        <v>46024</v>
      </c>
      <c r="F5" s="216" t="s">
        <v>453</v>
      </c>
      <c r="G5" s="217"/>
      <c r="H5" s="217"/>
      <c r="I5" s="217"/>
      <c r="J5" s="227">
        <f t="shared" ref="J5:J8" si="3">D2</f>
        <v>45992</v>
      </c>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20"/>
    </row>
    <row r="6" ht="22.5" customHeight="1">
      <c r="A6" s="228" t="s">
        <v>454</v>
      </c>
      <c r="B6" s="229" t="s">
        <v>443</v>
      </c>
      <c r="C6" s="230"/>
      <c r="D6" s="231">
        <f t="shared" si="2"/>
        <v>46024</v>
      </c>
      <c r="E6" s="231">
        <f t="shared" si="1"/>
        <v>46024</v>
      </c>
      <c r="F6" s="232"/>
      <c r="G6" s="233"/>
      <c r="H6" s="233"/>
      <c r="I6" s="233"/>
      <c r="J6" s="234">
        <f t="shared" si="3"/>
        <v>45992</v>
      </c>
      <c r="K6" s="235"/>
      <c r="L6" s="235"/>
      <c r="M6" s="235"/>
      <c r="N6" s="235"/>
      <c r="O6" s="235"/>
      <c r="P6" s="235"/>
      <c r="Q6" s="235"/>
      <c r="R6" s="235"/>
      <c r="S6" s="235"/>
      <c r="T6" s="235"/>
      <c r="U6" s="235"/>
      <c r="V6" s="235"/>
      <c r="W6" s="235"/>
      <c r="X6" s="235"/>
      <c r="Y6" s="235"/>
      <c r="Z6" s="235"/>
      <c r="AA6" s="235"/>
      <c r="AB6" s="235"/>
      <c r="AC6" s="235"/>
      <c r="AD6" s="235"/>
      <c r="AE6" s="235"/>
      <c r="AF6" s="235"/>
      <c r="AG6" s="235"/>
      <c r="AH6" s="235"/>
      <c r="AI6" s="236"/>
    </row>
    <row r="7" ht="22.5" customHeight="1">
      <c r="A7" s="228" t="s">
        <v>455</v>
      </c>
      <c r="B7" s="229" t="s">
        <v>456</v>
      </c>
      <c r="C7" s="230"/>
      <c r="D7" s="231">
        <f t="shared" si="2"/>
        <v>46024</v>
      </c>
      <c r="E7" s="231">
        <f t="shared" si="1"/>
        <v>46024</v>
      </c>
      <c r="F7" s="232"/>
      <c r="G7" s="233"/>
      <c r="H7" s="233"/>
      <c r="I7" s="233"/>
      <c r="J7" s="234">
        <f t="shared" si="3"/>
        <v>45997</v>
      </c>
      <c r="K7" s="235"/>
      <c r="L7" s="235"/>
      <c r="M7" s="235"/>
      <c r="N7" s="235"/>
      <c r="O7" s="235"/>
      <c r="P7" s="235"/>
      <c r="Q7" s="235"/>
      <c r="R7" s="235"/>
      <c r="S7" s="235"/>
      <c r="T7" s="235"/>
      <c r="U7" s="235"/>
      <c r="V7" s="235"/>
      <c r="W7" s="235"/>
      <c r="X7" s="235"/>
      <c r="Y7" s="235"/>
      <c r="Z7" s="235"/>
      <c r="AA7" s="235"/>
      <c r="AB7" s="235"/>
      <c r="AC7" s="235"/>
      <c r="AD7" s="235"/>
      <c r="AE7" s="235"/>
      <c r="AF7" s="235"/>
      <c r="AG7" s="235"/>
      <c r="AH7" s="235"/>
      <c r="AI7" s="236"/>
    </row>
    <row r="8" ht="22.5" customHeight="1">
      <c r="A8" s="228" t="s">
        <v>457</v>
      </c>
      <c r="B8" s="229" t="s">
        <v>456</v>
      </c>
      <c r="C8" s="230"/>
      <c r="D8" s="231">
        <f t="shared" si="2"/>
        <v>46024</v>
      </c>
      <c r="E8" s="231">
        <f t="shared" si="1"/>
        <v>46024</v>
      </c>
      <c r="F8" s="232"/>
      <c r="G8" s="233"/>
      <c r="H8" s="233"/>
      <c r="I8" s="233"/>
      <c r="J8" s="234">
        <f t="shared" si="3"/>
        <v>46012</v>
      </c>
      <c r="K8" s="235"/>
      <c r="L8" s="235"/>
      <c r="M8" s="235"/>
      <c r="N8" s="235"/>
      <c r="O8" s="235"/>
      <c r="P8" s="235"/>
      <c r="Q8" s="235"/>
      <c r="R8" s="235"/>
      <c r="S8" s="235"/>
      <c r="T8" s="235"/>
      <c r="U8" s="235"/>
      <c r="V8" s="235"/>
      <c r="W8" s="235"/>
      <c r="X8" s="235"/>
      <c r="Y8" s="235"/>
      <c r="Z8" s="235"/>
      <c r="AA8" s="235"/>
      <c r="AB8" s="235"/>
      <c r="AC8" s="235"/>
      <c r="AD8" s="235"/>
      <c r="AE8" s="235"/>
      <c r="AF8" s="235"/>
      <c r="AG8" s="235"/>
      <c r="AH8" s="235"/>
      <c r="AI8" s="236"/>
    </row>
    <row r="9" ht="22.5" customHeight="1">
      <c r="A9" s="201" t="s">
        <v>458</v>
      </c>
      <c r="B9" s="202" t="s">
        <v>443</v>
      </c>
      <c r="C9" s="203">
        <f>E9-D9</f>
        <v>79</v>
      </c>
      <c r="D9" s="205">
        <f>D10</f>
        <v>45999</v>
      </c>
      <c r="E9" s="205">
        <f>E11</f>
        <v>46078</v>
      </c>
      <c r="F9" s="237"/>
      <c r="G9" s="207" t="s">
        <v>445</v>
      </c>
      <c r="H9" s="208"/>
      <c r="I9" s="208"/>
      <c r="J9" s="225" t="s">
        <v>459</v>
      </c>
      <c r="K9" s="210"/>
      <c r="L9" s="210"/>
      <c r="M9" s="210"/>
      <c r="N9" s="210"/>
      <c r="O9" s="210"/>
      <c r="P9" s="210"/>
      <c r="Q9" s="210"/>
      <c r="R9" s="210"/>
      <c r="S9" s="210"/>
      <c r="T9" s="210"/>
      <c r="U9" s="210"/>
      <c r="V9" s="210"/>
      <c r="W9" s="210"/>
      <c r="X9" s="210"/>
      <c r="Y9" s="210"/>
      <c r="Z9" s="210"/>
      <c r="AA9" s="210"/>
      <c r="AB9" s="210"/>
      <c r="AC9" s="210"/>
      <c r="AD9" s="210"/>
      <c r="AE9" s="210"/>
      <c r="AF9" s="210"/>
      <c r="AG9" s="210"/>
      <c r="AH9" s="210"/>
      <c r="AI9" s="211"/>
    </row>
    <row r="10" ht="22.5" customHeight="1">
      <c r="A10" s="212" t="s">
        <v>460</v>
      </c>
      <c r="B10" s="213" t="s">
        <v>447</v>
      </c>
      <c r="C10" s="214">
        <v>18.0</v>
      </c>
      <c r="D10" s="215">
        <f>D3+7</f>
        <v>45999</v>
      </c>
      <c r="E10" s="215">
        <f t="shared" ref="E10:E11" si="4">D10+C10</f>
        <v>46017</v>
      </c>
      <c r="F10" s="216" t="s">
        <v>461</v>
      </c>
      <c r="G10" s="217"/>
      <c r="H10" s="217"/>
      <c r="I10" s="217"/>
      <c r="J10" s="227">
        <f>E51</f>
        <v>46092</v>
      </c>
      <c r="K10" s="219"/>
      <c r="L10" s="219"/>
      <c r="M10" s="219"/>
      <c r="N10" s="219"/>
      <c r="O10" s="219"/>
      <c r="P10" s="219"/>
      <c r="Q10" s="219"/>
      <c r="R10" s="219"/>
      <c r="S10" s="219"/>
      <c r="T10" s="219"/>
      <c r="U10" s="219"/>
      <c r="V10" s="219"/>
      <c r="W10" s="219"/>
      <c r="X10" s="219"/>
      <c r="Y10" s="219"/>
      <c r="Z10" s="219"/>
      <c r="AA10" s="219"/>
      <c r="AB10" s="219"/>
      <c r="AC10" s="219"/>
      <c r="AD10" s="219"/>
      <c r="AE10" s="219"/>
      <c r="AF10" s="219"/>
      <c r="AG10" s="219"/>
      <c r="AH10" s="219"/>
      <c r="AI10" s="220"/>
    </row>
    <row r="11" ht="22.5" customHeight="1">
      <c r="A11" s="221" t="s">
        <v>462</v>
      </c>
      <c r="B11" s="202" t="s">
        <v>456</v>
      </c>
      <c r="C11" s="222">
        <v>20.0</v>
      </c>
      <c r="D11" s="223">
        <v>46058.0</v>
      </c>
      <c r="E11" s="223">
        <f t="shared" si="4"/>
        <v>46078</v>
      </c>
      <c r="F11" s="224" t="s">
        <v>463</v>
      </c>
      <c r="G11" s="208"/>
      <c r="H11" s="208"/>
      <c r="I11" s="208"/>
      <c r="J11" s="238"/>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c r="AI11" s="211"/>
    </row>
    <row r="12" ht="22.5" customHeight="1">
      <c r="A12" s="239" t="s">
        <v>464</v>
      </c>
      <c r="B12" s="213" t="s">
        <v>443</v>
      </c>
      <c r="C12" s="240">
        <f>E12-D12</f>
        <v>38</v>
      </c>
      <c r="D12" s="241">
        <f>D13</f>
        <v>46007</v>
      </c>
      <c r="E12" s="241">
        <f>E17</f>
        <v>46045</v>
      </c>
      <c r="F12" s="242" t="s">
        <v>465</v>
      </c>
      <c r="G12" s="243" t="s">
        <v>466</v>
      </c>
      <c r="H12" s="217"/>
      <c r="I12" s="217"/>
      <c r="J12" s="218"/>
      <c r="K12" s="219"/>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20"/>
    </row>
    <row r="13" ht="22.5" customHeight="1">
      <c r="A13" s="221" t="s">
        <v>467</v>
      </c>
      <c r="B13" s="202" t="s">
        <v>443</v>
      </c>
      <c r="C13" s="222">
        <v>8.0</v>
      </c>
      <c r="D13" s="223">
        <f>E3-10</f>
        <v>46007</v>
      </c>
      <c r="E13" s="223">
        <f t="shared" ref="E13:E21" si="5">D13+C13</f>
        <v>46015</v>
      </c>
      <c r="F13" s="224" t="s">
        <v>468</v>
      </c>
      <c r="G13" s="208"/>
      <c r="H13" s="244" t="s">
        <v>469</v>
      </c>
      <c r="I13" s="244" t="s">
        <v>470</v>
      </c>
      <c r="J13" s="238"/>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1"/>
    </row>
    <row r="14" ht="22.5" customHeight="1">
      <c r="A14" s="226" t="s">
        <v>471</v>
      </c>
      <c r="B14" s="213" t="s">
        <v>443</v>
      </c>
      <c r="C14" s="214">
        <v>8.0</v>
      </c>
      <c r="D14" s="215">
        <f t="shared" ref="D14:D15" si="6">E13</f>
        <v>46015</v>
      </c>
      <c r="E14" s="215">
        <f t="shared" si="5"/>
        <v>46023</v>
      </c>
      <c r="F14" s="216" t="s">
        <v>472</v>
      </c>
      <c r="G14" s="217"/>
      <c r="H14" s="245" t="s">
        <v>469</v>
      </c>
      <c r="I14" s="245" t="s">
        <v>470</v>
      </c>
      <c r="J14" s="218"/>
      <c r="K14" s="219"/>
      <c r="L14" s="219"/>
      <c r="M14" s="219"/>
      <c r="N14" s="219"/>
      <c r="O14" s="219"/>
      <c r="P14" s="219"/>
      <c r="Q14" s="219"/>
      <c r="R14" s="219"/>
      <c r="S14" s="219"/>
      <c r="T14" s="219"/>
      <c r="U14" s="219"/>
      <c r="V14" s="219"/>
      <c r="W14" s="219"/>
      <c r="X14" s="219"/>
      <c r="Y14" s="219"/>
      <c r="Z14" s="219"/>
      <c r="AA14" s="219"/>
      <c r="AB14" s="219"/>
      <c r="AC14" s="219"/>
      <c r="AD14" s="219"/>
      <c r="AE14" s="219"/>
      <c r="AF14" s="219"/>
      <c r="AG14" s="219"/>
      <c r="AH14" s="219"/>
      <c r="AI14" s="220"/>
    </row>
    <row r="15" ht="22.5" customHeight="1">
      <c r="A15" s="246" t="s">
        <v>473</v>
      </c>
      <c r="B15" s="202" t="s">
        <v>443</v>
      </c>
      <c r="C15" s="222">
        <v>12.0</v>
      </c>
      <c r="D15" s="223">
        <f t="shared" si="6"/>
        <v>46023</v>
      </c>
      <c r="E15" s="223">
        <f t="shared" si="5"/>
        <v>46035</v>
      </c>
      <c r="F15" s="224" t="s">
        <v>474</v>
      </c>
      <c r="G15" s="208"/>
      <c r="H15" s="244" t="s">
        <v>469</v>
      </c>
      <c r="I15" s="244" t="s">
        <v>470</v>
      </c>
      <c r="J15" s="238"/>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1"/>
    </row>
    <row r="16" ht="22.5" customHeight="1">
      <c r="A16" s="212" t="s">
        <v>475</v>
      </c>
      <c r="B16" s="213" t="s">
        <v>443</v>
      </c>
      <c r="C16" s="214">
        <v>15.0</v>
      </c>
      <c r="D16" s="215">
        <f>D14+5</f>
        <v>46020</v>
      </c>
      <c r="E16" s="215">
        <f t="shared" si="5"/>
        <v>46035</v>
      </c>
      <c r="F16" s="216" t="s">
        <v>476</v>
      </c>
      <c r="G16" s="217"/>
      <c r="H16" s="217"/>
      <c r="I16" s="217"/>
      <c r="J16" s="218"/>
      <c r="K16" s="219"/>
      <c r="L16" s="219"/>
      <c r="M16" s="219"/>
      <c r="N16" s="219"/>
      <c r="O16" s="219"/>
      <c r="P16" s="219"/>
      <c r="Q16" s="219"/>
      <c r="R16" s="219"/>
      <c r="S16" s="219"/>
      <c r="T16" s="219"/>
      <c r="U16" s="219"/>
      <c r="V16" s="219"/>
      <c r="W16" s="219"/>
      <c r="X16" s="219"/>
      <c r="Y16" s="219"/>
      <c r="Z16" s="219"/>
      <c r="AA16" s="219"/>
      <c r="AB16" s="219"/>
      <c r="AC16" s="219"/>
      <c r="AD16" s="219"/>
      <c r="AE16" s="219"/>
      <c r="AF16" s="219"/>
      <c r="AG16" s="219"/>
      <c r="AH16" s="219"/>
      <c r="AI16" s="220"/>
    </row>
    <row r="17" ht="22.5" customHeight="1">
      <c r="A17" s="221" t="s">
        <v>477</v>
      </c>
      <c r="B17" s="202" t="s">
        <v>443</v>
      </c>
      <c r="C17" s="222">
        <v>15.0</v>
      </c>
      <c r="D17" s="223">
        <f>E16-5</f>
        <v>46030</v>
      </c>
      <c r="E17" s="223">
        <f t="shared" si="5"/>
        <v>46045</v>
      </c>
      <c r="F17" s="224" t="s">
        <v>465</v>
      </c>
      <c r="G17" s="208"/>
      <c r="H17" s="208"/>
      <c r="I17" s="208"/>
      <c r="J17" s="238"/>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1"/>
    </row>
    <row r="18" ht="22.5" customHeight="1">
      <c r="A18" s="239" t="s">
        <v>478</v>
      </c>
      <c r="B18" s="213" t="s">
        <v>443</v>
      </c>
      <c r="C18" s="240">
        <f>E21-D19</f>
        <v>25</v>
      </c>
      <c r="D18" s="241">
        <f>D19</f>
        <v>45998</v>
      </c>
      <c r="E18" s="241">
        <f t="shared" si="5"/>
        <v>46023</v>
      </c>
      <c r="F18" s="242" t="s">
        <v>479</v>
      </c>
      <c r="G18" s="243" t="s">
        <v>445</v>
      </c>
      <c r="H18" s="217"/>
      <c r="I18" s="217"/>
      <c r="J18" s="218"/>
      <c r="K18" s="219"/>
      <c r="L18" s="219"/>
      <c r="M18" s="219"/>
      <c r="N18" s="219"/>
      <c r="O18" s="219"/>
      <c r="P18" s="219"/>
      <c r="Q18" s="219"/>
      <c r="R18" s="219"/>
      <c r="S18" s="219"/>
      <c r="T18" s="219"/>
      <c r="U18" s="219"/>
      <c r="V18" s="219"/>
      <c r="W18" s="219"/>
      <c r="X18" s="219"/>
      <c r="Y18" s="219"/>
      <c r="Z18" s="219"/>
      <c r="AA18" s="219"/>
      <c r="AB18" s="219"/>
      <c r="AC18" s="219"/>
      <c r="AD18" s="219"/>
      <c r="AE18" s="219"/>
      <c r="AF18" s="219"/>
      <c r="AG18" s="219"/>
      <c r="AH18" s="219"/>
      <c r="AI18" s="220"/>
    </row>
    <row r="19" ht="22.5" customHeight="1">
      <c r="A19" s="221" t="s">
        <v>480</v>
      </c>
      <c r="B19" s="202" t="s">
        <v>447</v>
      </c>
      <c r="C19" s="222">
        <v>10.0</v>
      </c>
      <c r="D19" s="223">
        <f>D2+6</f>
        <v>45998</v>
      </c>
      <c r="E19" s="223">
        <f t="shared" si="5"/>
        <v>46008</v>
      </c>
      <c r="F19" s="224" t="s">
        <v>481</v>
      </c>
      <c r="G19" s="208"/>
      <c r="H19" s="208"/>
      <c r="I19" s="244" t="s">
        <v>482</v>
      </c>
      <c r="J19" s="238"/>
      <c r="K19" s="210"/>
      <c r="L19" s="210"/>
      <c r="M19" s="210"/>
      <c r="N19" s="210"/>
      <c r="O19" s="210"/>
      <c r="P19" s="210"/>
      <c r="Q19" s="210"/>
      <c r="R19" s="210"/>
      <c r="S19" s="210"/>
      <c r="T19" s="210"/>
      <c r="U19" s="210"/>
      <c r="V19" s="210"/>
      <c r="W19" s="210"/>
      <c r="X19" s="210"/>
      <c r="Y19" s="210"/>
      <c r="Z19" s="210"/>
      <c r="AA19" s="210"/>
      <c r="AB19" s="210"/>
      <c r="AC19" s="210"/>
      <c r="AD19" s="210"/>
      <c r="AE19" s="210"/>
      <c r="AF19" s="210"/>
      <c r="AG19" s="210"/>
      <c r="AH19" s="210"/>
      <c r="AI19" s="211"/>
    </row>
    <row r="20" ht="22.5" customHeight="1">
      <c r="A20" s="212" t="s">
        <v>483</v>
      </c>
      <c r="B20" s="213" t="s">
        <v>447</v>
      </c>
      <c r="C20" s="214">
        <v>10.0</v>
      </c>
      <c r="D20" s="215">
        <f>E19</f>
        <v>46008</v>
      </c>
      <c r="E20" s="215">
        <f t="shared" si="5"/>
        <v>46018</v>
      </c>
      <c r="F20" s="216" t="s">
        <v>484</v>
      </c>
      <c r="G20" s="217"/>
      <c r="H20" s="217"/>
      <c r="I20" s="245" t="s">
        <v>482</v>
      </c>
      <c r="J20" s="218"/>
      <c r="K20" s="219"/>
      <c r="L20" s="219"/>
      <c r="M20" s="219"/>
      <c r="N20" s="219"/>
      <c r="O20" s="219"/>
      <c r="P20" s="219"/>
      <c r="Q20" s="219"/>
      <c r="R20" s="219"/>
      <c r="S20" s="219"/>
      <c r="T20" s="219"/>
      <c r="U20" s="219"/>
      <c r="V20" s="219"/>
      <c r="W20" s="219"/>
      <c r="X20" s="219"/>
      <c r="Y20" s="219"/>
      <c r="Z20" s="219"/>
      <c r="AA20" s="219"/>
      <c r="AB20" s="219"/>
      <c r="AC20" s="219"/>
      <c r="AD20" s="219"/>
      <c r="AE20" s="219"/>
      <c r="AF20" s="219"/>
      <c r="AG20" s="219"/>
      <c r="AH20" s="219"/>
      <c r="AI20" s="220"/>
    </row>
    <row r="21" ht="22.5" customHeight="1">
      <c r="A21" s="221" t="s">
        <v>485</v>
      </c>
      <c r="B21" s="202" t="s">
        <v>447</v>
      </c>
      <c r="C21" s="222">
        <v>10.0</v>
      </c>
      <c r="D21" s="223">
        <f>E20-5</f>
        <v>46013</v>
      </c>
      <c r="E21" s="223">
        <f t="shared" si="5"/>
        <v>46023</v>
      </c>
      <c r="F21" s="224" t="s">
        <v>486</v>
      </c>
      <c r="G21" s="208"/>
      <c r="H21" s="244" t="s">
        <v>487</v>
      </c>
      <c r="I21" s="244" t="s">
        <v>482</v>
      </c>
      <c r="J21" s="238"/>
      <c r="K21" s="210"/>
      <c r="L21" s="210"/>
      <c r="M21" s="210"/>
      <c r="N21" s="210"/>
      <c r="O21" s="210"/>
      <c r="P21" s="210"/>
      <c r="Q21" s="210"/>
      <c r="R21" s="210"/>
      <c r="S21" s="210"/>
      <c r="T21" s="210"/>
      <c r="U21" s="210"/>
      <c r="V21" s="210"/>
      <c r="W21" s="210"/>
      <c r="X21" s="210"/>
      <c r="Y21" s="210"/>
      <c r="Z21" s="210"/>
      <c r="AA21" s="210"/>
      <c r="AB21" s="210"/>
      <c r="AC21" s="210"/>
      <c r="AD21" s="210"/>
      <c r="AE21" s="210"/>
      <c r="AF21" s="210"/>
      <c r="AG21" s="210"/>
      <c r="AH21" s="210"/>
      <c r="AI21" s="211"/>
    </row>
    <row r="22" ht="22.5" customHeight="1">
      <c r="A22" s="239" t="s">
        <v>488</v>
      </c>
      <c r="B22" s="213" t="s">
        <v>443</v>
      </c>
      <c r="C22" s="240">
        <f>E22-D22</f>
        <v>64</v>
      </c>
      <c r="D22" s="241">
        <f>D23</f>
        <v>45998</v>
      </c>
      <c r="E22" s="241">
        <f>E27</f>
        <v>46062</v>
      </c>
      <c r="F22" s="242" t="s">
        <v>489</v>
      </c>
      <c r="G22" s="243" t="s">
        <v>490</v>
      </c>
      <c r="H22" s="217"/>
      <c r="I22" s="217"/>
      <c r="J22" s="218"/>
      <c r="K22" s="219"/>
      <c r="L22" s="219"/>
      <c r="M22" s="219"/>
      <c r="N22" s="219"/>
      <c r="O22" s="219"/>
      <c r="P22" s="219"/>
      <c r="Q22" s="219"/>
      <c r="R22" s="219"/>
      <c r="S22" s="219"/>
      <c r="T22" s="219"/>
      <c r="U22" s="219"/>
      <c r="V22" s="219"/>
      <c r="W22" s="219"/>
      <c r="X22" s="219"/>
      <c r="Y22" s="219"/>
      <c r="Z22" s="219"/>
      <c r="AA22" s="219"/>
      <c r="AB22" s="219"/>
      <c r="AC22" s="219"/>
      <c r="AD22" s="219"/>
      <c r="AE22" s="219"/>
      <c r="AF22" s="219"/>
      <c r="AG22" s="219"/>
      <c r="AH22" s="219"/>
      <c r="AI22" s="220"/>
    </row>
    <row r="23" ht="22.5" customHeight="1">
      <c r="A23" s="221" t="s">
        <v>28</v>
      </c>
      <c r="B23" s="202" t="s">
        <v>443</v>
      </c>
      <c r="C23" s="222">
        <v>8.0</v>
      </c>
      <c r="D23" s="223">
        <f>D19</f>
        <v>45998</v>
      </c>
      <c r="E23" s="223">
        <f t="shared" ref="E23:E27" si="7">D23+C23</f>
        <v>46006</v>
      </c>
      <c r="F23" s="224" t="s">
        <v>491</v>
      </c>
      <c r="G23" s="208"/>
      <c r="H23" s="244" t="s">
        <v>492</v>
      </c>
      <c r="I23" s="208"/>
      <c r="J23" s="238"/>
      <c r="K23" s="210"/>
      <c r="L23" s="210"/>
      <c r="M23" s="210"/>
      <c r="N23" s="210"/>
      <c r="O23" s="210"/>
      <c r="P23" s="210"/>
      <c r="Q23" s="210"/>
      <c r="R23" s="210"/>
      <c r="S23" s="210"/>
      <c r="T23" s="210"/>
      <c r="U23" s="210"/>
      <c r="V23" s="210"/>
      <c r="W23" s="210"/>
      <c r="X23" s="210"/>
      <c r="Y23" s="210"/>
      <c r="Z23" s="210"/>
      <c r="AA23" s="210"/>
      <c r="AB23" s="210"/>
      <c r="AC23" s="210"/>
      <c r="AD23" s="210"/>
      <c r="AE23" s="210"/>
      <c r="AF23" s="210"/>
      <c r="AG23" s="210"/>
      <c r="AH23" s="210"/>
      <c r="AI23" s="211"/>
    </row>
    <row r="24" ht="22.5" customHeight="1">
      <c r="A24" s="212" t="s">
        <v>493</v>
      </c>
      <c r="B24" s="213" t="s">
        <v>447</v>
      </c>
      <c r="C24" s="214">
        <v>12.0</v>
      </c>
      <c r="D24" s="215">
        <f>E20-5</f>
        <v>46013</v>
      </c>
      <c r="E24" s="215">
        <f t="shared" si="7"/>
        <v>46025</v>
      </c>
      <c r="F24" s="216" t="s">
        <v>494</v>
      </c>
      <c r="G24" s="217"/>
      <c r="H24" s="245" t="s">
        <v>492</v>
      </c>
      <c r="I24" s="217"/>
      <c r="J24" s="218"/>
      <c r="K24" s="219"/>
      <c r="L24" s="219"/>
      <c r="M24" s="219"/>
      <c r="N24" s="219"/>
      <c r="O24" s="219"/>
      <c r="P24" s="219"/>
      <c r="Q24" s="219"/>
      <c r="R24" s="219"/>
      <c r="S24" s="219"/>
      <c r="T24" s="219"/>
      <c r="U24" s="219"/>
      <c r="V24" s="219"/>
      <c r="W24" s="219"/>
      <c r="X24" s="219"/>
      <c r="Y24" s="219"/>
      <c r="Z24" s="219"/>
      <c r="AA24" s="219"/>
      <c r="AB24" s="219"/>
      <c r="AC24" s="219"/>
      <c r="AD24" s="219"/>
      <c r="AE24" s="219"/>
      <c r="AF24" s="219"/>
      <c r="AG24" s="219"/>
      <c r="AH24" s="219"/>
      <c r="AI24" s="220"/>
    </row>
    <row r="25" ht="22.5" customHeight="1">
      <c r="A25" s="247" t="s">
        <v>495</v>
      </c>
      <c r="B25" s="248" t="s">
        <v>456</v>
      </c>
      <c r="C25" s="249"/>
      <c r="D25" s="250">
        <f t="shared" ref="D25:D26" si="8">E20-10</f>
        <v>46008</v>
      </c>
      <c r="E25" s="250">
        <f t="shared" si="7"/>
        <v>46008</v>
      </c>
      <c r="F25" s="251"/>
      <c r="G25" s="252"/>
      <c r="H25" s="252"/>
      <c r="I25" s="252"/>
      <c r="J25" s="253"/>
      <c r="K25" s="254"/>
      <c r="L25" s="254"/>
      <c r="M25" s="254"/>
      <c r="N25" s="254"/>
      <c r="O25" s="254"/>
      <c r="P25" s="254"/>
      <c r="Q25" s="254"/>
      <c r="R25" s="254"/>
      <c r="S25" s="254"/>
      <c r="T25" s="254"/>
      <c r="U25" s="254"/>
      <c r="V25" s="254"/>
      <c r="W25" s="254"/>
      <c r="X25" s="254"/>
      <c r="Y25" s="254"/>
      <c r="Z25" s="254"/>
      <c r="AA25" s="254"/>
      <c r="AB25" s="254"/>
      <c r="AC25" s="254"/>
      <c r="AD25" s="254"/>
      <c r="AE25" s="254"/>
      <c r="AF25" s="254"/>
      <c r="AG25" s="254"/>
      <c r="AH25" s="254"/>
      <c r="AI25" s="255"/>
    </row>
    <row r="26" ht="22.5" customHeight="1">
      <c r="A26" s="221" t="s">
        <v>496</v>
      </c>
      <c r="B26" s="202" t="s">
        <v>447</v>
      </c>
      <c r="C26" s="222">
        <v>12.0</v>
      </c>
      <c r="D26" s="223">
        <f t="shared" si="8"/>
        <v>46013</v>
      </c>
      <c r="E26" s="223">
        <f t="shared" si="7"/>
        <v>46025</v>
      </c>
      <c r="F26" s="224" t="s">
        <v>497</v>
      </c>
      <c r="G26" s="208"/>
      <c r="H26" s="208"/>
      <c r="I26" s="208"/>
      <c r="J26" s="238"/>
      <c r="K26" s="210"/>
      <c r="L26" s="210"/>
      <c r="M26" s="210"/>
      <c r="N26" s="210"/>
      <c r="O26" s="210"/>
      <c r="P26" s="210"/>
      <c r="Q26" s="210"/>
      <c r="R26" s="210"/>
      <c r="S26" s="210"/>
      <c r="T26" s="210"/>
      <c r="U26" s="210"/>
      <c r="V26" s="210"/>
      <c r="W26" s="210"/>
      <c r="X26" s="210"/>
      <c r="Y26" s="210"/>
      <c r="Z26" s="210"/>
      <c r="AA26" s="210"/>
      <c r="AB26" s="210"/>
      <c r="AC26" s="210"/>
      <c r="AD26" s="210"/>
      <c r="AE26" s="210"/>
      <c r="AF26" s="210"/>
      <c r="AG26" s="210"/>
      <c r="AH26" s="210"/>
      <c r="AI26" s="211"/>
    </row>
    <row r="27" ht="22.5" customHeight="1">
      <c r="A27" s="212" t="s">
        <v>498</v>
      </c>
      <c r="B27" s="213" t="s">
        <v>447</v>
      </c>
      <c r="C27" s="214">
        <v>25.0</v>
      </c>
      <c r="D27" s="215">
        <f>D33</f>
        <v>46037</v>
      </c>
      <c r="E27" s="215">
        <f t="shared" si="7"/>
        <v>46062</v>
      </c>
      <c r="F27" s="216" t="s">
        <v>499</v>
      </c>
      <c r="G27" s="217"/>
      <c r="H27" s="217"/>
      <c r="I27" s="217"/>
      <c r="J27" s="218"/>
      <c r="K27" s="219"/>
      <c r="L27" s="219"/>
      <c r="M27" s="219"/>
      <c r="N27" s="219"/>
      <c r="O27" s="219"/>
      <c r="P27" s="219"/>
      <c r="Q27" s="219"/>
      <c r="R27" s="219"/>
      <c r="S27" s="219"/>
      <c r="T27" s="219"/>
      <c r="U27" s="219"/>
      <c r="V27" s="219"/>
      <c r="W27" s="219"/>
      <c r="X27" s="219"/>
      <c r="Y27" s="219"/>
      <c r="Z27" s="219"/>
      <c r="AA27" s="219"/>
      <c r="AB27" s="219"/>
      <c r="AC27" s="219"/>
      <c r="AD27" s="219"/>
      <c r="AE27" s="219"/>
      <c r="AF27" s="219"/>
      <c r="AG27" s="219"/>
      <c r="AH27" s="219"/>
      <c r="AI27" s="220"/>
    </row>
    <row r="28" ht="22.5" customHeight="1">
      <c r="A28" s="201" t="s">
        <v>500</v>
      </c>
      <c r="B28" s="202" t="s">
        <v>443</v>
      </c>
      <c r="C28" s="203">
        <f>E28-D28</f>
        <v>37</v>
      </c>
      <c r="D28" s="205">
        <f>D29</f>
        <v>46015</v>
      </c>
      <c r="E28" s="205">
        <f>E33</f>
        <v>46052</v>
      </c>
      <c r="F28" s="206" t="s">
        <v>501</v>
      </c>
      <c r="G28" s="207" t="s">
        <v>490</v>
      </c>
      <c r="H28" s="208"/>
      <c r="I28" s="208"/>
      <c r="J28" s="238"/>
      <c r="K28" s="210"/>
      <c r="L28" s="210"/>
      <c r="M28" s="210"/>
      <c r="N28" s="210"/>
      <c r="O28" s="210"/>
      <c r="P28" s="210"/>
      <c r="Q28" s="210"/>
      <c r="R28" s="210"/>
      <c r="S28" s="210"/>
      <c r="T28" s="210"/>
      <c r="U28" s="210"/>
      <c r="V28" s="210"/>
      <c r="W28" s="210"/>
      <c r="X28" s="210"/>
      <c r="Y28" s="210"/>
      <c r="Z28" s="210"/>
      <c r="AA28" s="210"/>
      <c r="AB28" s="210"/>
      <c r="AC28" s="210"/>
      <c r="AD28" s="210"/>
      <c r="AE28" s="210"/>
      <c r="AF28" s="210"/>
      <c r="AG28" s="210"/>
      <c r="AH28" s="210"/>
      <c r="AI28" s="211"/>
    </row>
    <row r="29" ht="22.5" customHeight="1">
      <c r="A29" s="226" t="s">
        <v>502</v>
      </c>
      <c r="B29" s="213" t="s">
        <v>503</v>
      </c>
      <c r="C29" s="214">
        <v>12.0</v>
      </c>
      <c r="D29" s="215">
        <f t="shared" ref="D29:D30" si="9">E26-10</f>
        <v>46015</v>
      </c>
      <c r="E29" s="215">
        <f t="shared" ref="E29:E33" si="10">D29+C29</f>
        <v>46027</v>
      </c>
      <c r="F29" s="216" t="s">
        <v>504</v>
      </c>
      <c r="G29" s="217"/>
      <c r="H29" s="256" t="s">
        <v>505</v>
      </c>
      <c r="I29" s="256" t="s">
        <v>506</v>
      </c>
      <c r="J29" s="218"/>
      <c r="K29" s="219"/>
      <c r="L29" s="219"/>
      <c r="M29" s="219"/>
      <c r="N29" s="219"/>
      <c r="O29" s="219"/>
      <c r="P29" s="219"/>
      <c r="Q29" s="219"/>
      <c r="R29" s="219"/>
      <c r="S29" s="219"/>
      <c r="T29" s="219"/>
      <c r="U29" s="219"/>
      <c r="V29" s="219"/>
      <c r="W29" s="219"/>
      <c r="X29" s="219"/>
      <c r="Y29" s="219"/>
      <c r="Z29" s="219"/>
      <c r="AA29" s="219"/>
      <c r="AB29" s="219"/>
      <c r="AC29" s="219"/>
      <c r="AD29" s="219"/>
      <c r="AE29" s="219"/>
      <c r="AF29" s="219"/>
      <c r="AG29" s="219"/>
      <c r="AH29" s="219"/>
      <c r="AI29" s="220"/>
    </row>
    <row r="30" ht="22.5" customHeight="1">
      <c r="A30" s="228" t="s">
        <v>507</v>
      </c>
      <c r="B30" s="229" t="s">
        <v>503</v>
      </c>
      <c r="C30" s="230"/>
      <c r="D30" s="231">
        <f t="shared" si="9"/>
        <v>46052</v>
      </c>
      <c r="E30" s="231">
        <f t="shared" si="10"/>
        <v>46052</v>
      </c>
      <c r="F30" s="232"/>
      <c r="G30" s="233"/>
      <c r="H30" s="257"/>
      <c r="I30" s="257"/>
      <c r="J30" s="258"/>
      <c r="K30" s="235"/>
      <c r="L30" s="235"/>
      <c r="M30" s="235"/>
      <c r="N30" s="235"/>
      <c r="O30" s="235"/>
      <c r="P30" s="235"/>
      <c r="Q30" s="235"/>
      <c r="R30" s="235"/>
      <c r="S30" s="235"/>
      <c r="T30" s="235"/>
      <c r="U30" s="235"/>
      <c r="V30" s="235"/>
      <c r="W30" s="235"/>
      <c r="X30" s="235"/>
      <c r="Y30" s="235"/>
      <c r="Z30" s="235"/>
      <c r="AA30" s="235"/>
      <c r="AB30" s="235"/>
      <c r="AC30" s="235"/>
      <c r="AD30" s="235"/>
      <c r="AE30" s="235"/>
      <c r="AF30" s="235"/>
      <c r="AG30" s="235"/>
      <c r="AH30" s="235"/>
      <c r="AI30" s="236"/>
    </row>
    <row r="31" ht="22.5" customHeight="1">
      <c r="A31" s="221" t="s">
        <v>508</v>
      </c>
      <c r="B31" s="202" t="s">
        <v>443</v>
      </c>
      <c r="C31" s="222">
        <v>30.0</v>
      </c>
      <c r="D31" s="223">
        <f t="shared" ref="D31:D33" si="11">E29-10</f>
        <v>46017</v>
      </c>
      <c r="E31" s="223">
        <f t="shared" si="10"/>
        <v>46047</v>
      </c>
      <c r="F31" s="224" t="s">
        <v>509</v>
      </c>
      <c r="G31" s="208"/>
      <c r="H31" s="208"/>
      <c r="I31" s="208"/>
      <c r="J31" s="238"/>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c r="AH31" s="210"/>
      <c r="AI31" s="211"/>
    </row>
    <row r="32" ht="22.5" customHeight="1">
      <c r="A32" s="247" t="s">
        <v>510</v>
      </c>
      <c r="B32" s="248" t="s">
        <v>503</v>
      </c>
      <c r="C32" s="249"/>
      <c r="D32" s="250">
        <f t="shared" si="11"/>
        <v>46042</v>
      </c>
      <c r="E32" s="250">
        <f t="shared" si="10"/>
        <v>46042</v>
      </c>
      <c r="F32" s="251"/>
      <c r="G32" s="252"/>
      <c r="H32" s="252"/>
      <c r="I32" s="252"/>
      <c r="J32" s="253"/>
      <c r="K32" s="254"/>
      <c r="L32" s="254"/>
      <c r="M32" s="254"/>
      <c r="N32" s="254"/>
      <c r="O32" s="254"/>
      <c r="P32" s="254"/>
      <c r="Q32" s="254"/>
      <c r="R32" s="254"/>
      <c r="S32" s="254"/>
      <c r="T32" s="254"/>
      <c r="U32" s="254"/>
      <c r="V32" s="254"/>
      <c r="W32" s="254"/>
      <c r="X32" s="254"/>
      <c r="Y32" s="254"/>
      <c r="Z32" s="254"/>
      <c r="AA32" s="254"/>
      <c r="AB32" s="254"/>
      <c r="AC32" s="254"/>
      <c r="AD32" s="254"/>
      <c r="AE32" s="254"/>
      <c r="AF32" s="254"/>
      <c r="AG32" s="254"/>
      <c r="AH32" s="254"/>
      <c r="AI32" s="255"/>
    </row>
    <row r="33" ht="22.5" customHeight="1">
      <c r="A33" s="212" t="s">
        <v>511</v>
      </c>
      <c r="B33" s="213" t="s">
        <v>456</v>
      </c>
      <c r="C33" s="214">
        <v>15.0</v>
      </c>
      <c r="D33" s="215">
        <f t="shared" si="11"/>
        <v>46037</v>
      </c>
      <c r="E33" s="215">
        <f t="shared" si="10"/>
        <v>46052</v>
      </c>
      <c r="F33" s="216" t="s">
        <v>512</v>
      </c>
      <c r="G33" s="217"/>
      <c r="H33" s="217"/>
      <c r="I33" s="217"/>
      <c r="J33" s="218"/>
      <c r="K33" s="219"/>
      <c r="L33" s="219"/>
      <c r="M33" s="219"/>
      <c r="N33" s="219"/>
      <c r="O33" s="219"/>
      <c r="P33" s="219"/>
      <c r="Q33" s="219"/>
      <c r="R33" s="219"/>
      <c r="S33" s="219"/>
      <c r="T33" s="219"/>
      <c r="U33" s="219"/>
      <c r="V33" s="219"/>
      <c r="W33" s="219"/>
      <c r="X33" s="219"/>
      <c r="Y33" s="219"/>
      <c r="Z33" s="219"/>
      <c r="AA33" s="219"/>
      <c r="AB33" s="219"/>
      <c r="AC33" s="219"/>
      <c r="AD33" s="219"/>
      <c r="AE33" s="219"/>
      <c r="AF33" s="219"/>
      <c r="AG33" s="219"/>
      <c r="AH33" s="219"/>
      <c r="AI33" s="220"/>
    </row>
    <row r="34" ht="22.5" customHeight="1">
      <c r="A34" s="201" t="s">
        <v>513</v>
      </c>
      <c r="B34" s="202" t="s">
        <v>443</v>
      </c>
      <c r="C34" s="203">
        <f>E34-D34</f>
        <v>33</v>
      </c>
      <c r="D34" s="205">
        <f>D35</f>
        <v>46037</v>
      </c>
      <c r="E34" s="205">
        <f>E38</f>
        <v>46070</v>
      </c>
      <c r="F34" s="206" t="s">
        <v>514</v>
      </c>
      <c r="G34" s="207" t="s">
        <v>515</v>
      </c>
      <c r="H34" s="208"/>
      <c r="I34" s="208"/>
      <c r="J34" s="238"/>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c r="AH34" s="210"/>
      <c r="AI34" s="211"/>
    </row>
    <row r="35" ht="22.5" customHeight="1">
      <c r="A35" s="226" t="s">
        <v>516</v>
      </c>
      <c r="B35" s="213" t="s">
        <v>443</v>
      </c>
      <c r="C35" s="214">
        <v>15.0</v>
      </c>
      <c r="D35" s="215">
        <f>D33</f>
        <v>46037</v>
      </c>
      <c r="E35" s="215">
        <f t="shared" ref="E35:E38" si="12">D35+C35</f>
        <v>46052</v>
      </c>
      <c r="F35" s="259"/>
      <c r="G35" s="217"/>
      <c r="H35" s="217"/>
      <c r="I35" s="256" t="s">
        <v>517</v>
      </c>
      <c r="J35" s="218"/>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219"/>
      <c r="AH35" s="219"/>
      <c r="AI35" s="220"/>
    </row>
    <row r="36" ht="22.5" customHeight="1">
      <c r="A36" s="221" t="s">
        <v>518</v>
      </c>
      <c r="B36" s="202" t="s">
        <v>456</v>
      </c>
      <c r="C36" s="222">
        <v>15.0</v>
      </c>
      <c r="D36" s="223">
        <f>E44</f>
        <v>46062</v>
      </c>
      <c r="E36" s="223">
        <f t="shared" si="12"/>
        <v>46077</v>
      </c>
      <c r="F36" s="237"/>
      <c r="G36" s="208"/>
      <c r="H36" s="208"/>
      <c r="I36" s="208"/>
      <c r="J36" s="238"/>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c r="AI36" s="211"/>
    </row>
    <row r="37" ht="22.5" customHeight="1">
      <c r="A37" s="228" t="s">
        <v>519</v>
      </c>
      <c r="B37" s="229" t="s">
        <v>443</v>
      </c>
      <c r="C37" s="230"/>
      <c r="D37" s="231">
        <f t="shared" ref="D37:D38" si="13">D35</f>
        <v>46037</v>
      </c>
      <c r="E37" s="231">
        <f t="shared" si="12"/>
        <v>46037</v>
      </c>
      <c r="F37" s="260"/>
      <c r="G37" s="233"/>
      <c r="H37" s="233"/>
      <c r="I37" s="233"/>
      <c r="J37" s="258"/>
      <c r="K37" s="235"/>
      <c r="L37" s="235"/>
      <c r="M37" s="235"/>
      <c r="N37" s="235"/>
      <c r="O37" s="235"/>
      <c r="P37" s="235"/>
      <c r="Q37" s="235"/>
      <c r="R37" s="235"/>
      <c r="S37" s="235"/>
      <c r="T37" s="235"/>
      <c r="U37" s="235"/>
      <c r="V37" s="235"/>
      <c r="W37" s="235"/>
      <c r="X37" s="235"/>
      <c r="Y37" s="235"/>
      <c r="Z37" s="235"/>
      <c r="AA37" s="235"/>
      <c r="AB37" s="235"/>
      <c r="AC37" s="235"/>
      <c r="AD37" s="235"/>
      <c r="AE37" s="235"/>
      <c r="AF37" s="235"/>
      <c r="AG37" s="235"/>
      <c r="AH37" s="235"/>
      <c r="AI37" s="236"/>
    </row>
    <row r="38" ht="22.5" customHeight="1">
      <c r="A38" s="212" t="s">
        <v>520</v>
      </c>
      <c r="B38" s="213" t="s">
        <v>443</v>
      </c>
      <c r="C38" s="214">
        <v>8.0</v>
      </c>
      <c r="D38" s="215">
        <f t="shared" si="13"/>
        <v>46062</v>
      </c>
      <c r="E38" s="215">
        <f t="shared" si="12"/>
        <v>46070</v>
      </c>
      <c r="F38" s="259"/>
      <c r="G38" s="217"/>
      <c r="H38" s="217"/>
      <c r="I38" s="217"/>
      <c r="J38" s="218"/>
      <c r="K38" s="219"/>
      <c r="L38" s="219"/>
      <c r="M38" s="219"/>
      <c r="N38" s="219"/>
      <c r="O38" s="219"/>
      <c r="P38" s="219"/>
      <c r="Q38" s="219"/>
      <c r="R38" s="219"/>
      <c r="S38" s="219"/>
      <c r="T38" s="219"/>
      <c r="U38" s="219"/>
      <c r="V38" s="219"/>
      <c r="W38" s="219"/>
      <c r="X38" s="219"/>
      <c r="Y38" s="219"/>
      <c r="Z38" s="219"/>
      <c r="AA38" s="219"/>
      <c r="AB38" s="219"/>
      <c r="AC38" s="219"/>
      <c r="AD38" s="219"/>
      <c r="AE38" s="219"/>
      <c r="AF38" s="219"/>
      <c r="AG38" s="219"/>
      <c r="AH38" s="219"/>
      <c r="AI38" s="220"/>
    </row>
    <row r="39" ht="22.5" customHeight="1">
      <c r="A39" s="201" t="s">
        <v>521</v>
      </c>
      <c r="B39" s="202" t="s">
        <v>456</v>
      </c>
      <c r="C39" s="203">
        <f>E39-D39</f>
        <v>35</v>
      </c>
      <c r="D39" s="205">
        <f>D40</f>
        <v>46052</v>
      </c>
      <c r="E39" s="205">
        <f>E41</f>
        <v>46087</v>
      </c>
      <c r="F39" s="206" t="s">
        <v>522</v>
      </c>
      <c r="G39" s="207" t="s">
        <v>515</v>
      </c>
      <c r="H39" s="208"/>
      <c r="I39" s="208"/>
      <c r="J39" s="238"/>
      <c r="K39" s="210"/>
      <c r="L39" s="210"/>
      <c r="M39" s="210"/>
      <c r="N39" s="210"/>
      <c r="O39" s="210"/>
      <c r="P39" s="210"/>
      <c r="Q39" s="210"/>
      <c r="R39" s="210"/>
      <c r="S39" s="210"/>
      <c r="T39" s="210"/>
      <c r="U39" s="210"/>
      <c r="V39" s="210"/>
      <c r="W39" s="210"/>
      <c r="X39" s="210"/>
      <c r="Y39" s="210"/>
      <c r="Z39" s="210"/>
      <c r="AA39" s="210"/>
      <c r="AB39" s="210"/>
      <c r="AC39" s="210"/>
      <c r="AD39" s="210"/>
      <c r="AE39" s="210"/>
      <c r="AF39" s="210"/>
      <c r="AG39" s="210"/>
      <c r="AH39" s="210"/>
      <c r="AI39" s="211"/>
    </row>
    <row r="40" ht="22.5" customHeight="1">
      <c r="A40" s="212" t="s">
        <v>523</v>
      </c>
      <c r="B40" s="213" t="s">
        <v>456</v>
      </c>
      <c r="C40" s="214">
        <v>10.0</v>
      </c>
      <c r="D40" s="215">
        <f t="shared" ref="D40:D41" si="14">E35</f>
        <v>46052</v>
      </c>
      <c r="E40" s="215">
        <f t="shared" ref="E40:E41" si="15">D40+C40</f>
        <v>46062</v>
      </c>
      <c r="F40" s="259"/>
      <c r="G40" s="217"/>
      <c r="H40" s="217"/>
      <c r="I40" s="217"/>
      <c r="J40" s="218"/>
      <c r="K40" s="219"/>
      <c r="L40" s="219"/>
      <c r="M40" s="219"/>
      <c r="N40" s="219"/>
      <c r="O40" s="219"/>
      <c r="P40" s="219"/>
      <c r="Q40" s="219"/>
      <c r="R40" s="219"/>
      <c r="S40" s="219"/>
      <c r="T40" s="219"/>
      <c r="U40" s="219"/>
      <c r="V40" s="219"/>
      <c r="W40" s="219"/>
      <c r="X40" s="219"/>
      <c r="Y40" s="219"/>
      <c r="Z40" s="219"/>
      <c r="AA40" s="219"/>
      <c r="AB40" s="219"/>
      <c r="AC40" s="219"/>
      <c r="AD40" s="219"/>
      <c r="AE40" s="219"/>
      <c r="AF40" s="219"/>
      <c r="AG40" s="219"/>
      <c r="AH40" s="219"/>
      <c r="AI40" s="220"/>
    </row>
    <row r="41" ht="22.5" customHeight="1">
      <c r="A41" s="221" t="s">
        <v>524</v>
      </c>
      <c r="B41" s="202" t="s">
        <v>456</v>
      </c>
      <c r="C41" s="222">
        <v>10.0</v>
      </c>
      <c r="D41" s="223">
        <f t="shared" si="14"/>
        <v>46077</v>
      </c>
      <c r="E41" s="223">
        <f t="shared" si="15"/>
        <v>46087</v>
      </c>
      <c r="F41" s="237"/>
      <c r="G41" s="208"/>
      <c r="H41" s="208"/>
      <c r="I41" s="244" t="s">
        <v>525</v>
      </c>
      <c r="J41" s="238"/>
      <c r="K41" s="210"/>
      <c r="L41" s="210"/>
      <c r="M41" s="210"/>
      <c r="N41" s="210"/>
      <c r="O41" s="210"/>
      <c r="P41" s="210"/>
      <c r="Q41" s="210"/>
      <c r="R41" s="210"/>
      <c r="S41" s="210"/>
      <c r="T41" s="210"/>
      <c r="U41" s="210"/>
      <c r="V41" s="210"/>
      <c r="W41" s="210"/>
      <c r="X41" s="210"/>
      <c r="Y41" s="210"/>
      <c r="Z41" s="210"/>
      <c r="AA41" s="210"/>
      <c r="AB41" s="210"/>
      <c r="AC41" s="210"/>
      <c r="AD41" s="210"/>
      <c r="AE41" s="210"/>
      <c r="AF41" s="210"/>
      <c r="AG41" s="210"/>
      <c r="AH41" s="210"/>
      <c r="AI41" s="211"/>
    </row>
    <row r="42" ht="22.5" customHeight="1">
      <c r="A42" s="239" t="s">
        <v>526</v>
      </c>
      <c r="B42" s="213" t="s">
        <v>456</v>
      </c>
      <c r="C42" s="240">
        <f>E42-D42</f>
        <v>25</v>
      </c>
      <c r="D42" s="241">
        <f>D43</f>
        <v>46037</v>
      </c>
      <c r="E42" s="241">
        <f>E45</f>
        <v>46062</v>
      </c>
      <c r="F42" s="242" t="s">
        <v>527</v>
      </c>
      <c r="G42" s="243" t="s">
        <v>528</v>
      </c>
      <c r="H42" s="245" t="s">
        <v>529</v>
      </c>
      <c r="I42" s="217"/>
      <c r="J42" s="218"/>
      <c r="K42" s="219"/>
      <c r="L42" s="219"/>
      <c r="M42" s="219"/>
      <c r="N42" s="219"/>
      <c r="O42" s="219"/>
      <c r="P42" s="219"/>
      <c r="Q42" s="219"/>
      <c r="R42" s="219"/>
      <c r="S42" s="219"/>
      <c r="T42" s="219"/>
      <c r="U42" s="219"/>
      <c r="V42" s="219"/>
      <c r="W42" s="219"/>
      <c r="X42" s="219"/>
      <c r="Y42" s="219"/>
      <c r="Z42" s="219"/>
      <c r="AA42" s="219"/>
      <c r="AB42" s="219"/>
      <c r="AC42" s="219"/>
      <c r="AD42" s="219"/>
      <c r="AE42" s="219"/>
      <c r="AF42" s="219"/>
      <c r="AG42" s="219"/>
      <c r="AH42" s="219"/>
      <c r="AI42" s="220"/>
    </row>
    <row r="43" ht="22.5" customHeight="1">
      <c r="A43" s="221" t="s">
        <v>293</v>
      </c>
      <c r="B43" s="202" t="s">
        <v>456</v>
      </c>
      <c r="C43" s="222">
        <v>15.0</v>
      </c>
      <c r="D43" s="223">
        <f>D33</f>
        <v>46037</v>
      </c>
      <c r="E43" s="223">
        <f t="shared" ref="E43:E47" si="16">D43+C43</f>
        <v>46052</v>
      </c>
      <c r="F43" s="237"/>
      <c r="G43" s="208"/>
      <c r="H43" s="244" t="s">
        <v>530</v>
      </c>
      <c r="I43" s="208"/>
      <c r="J43" s="238"/>
      <c r="K43" s="210"/>
      <c r="L43" s="210"/>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1"/>
    </row>
    <row r="44" ht="22.5" customHeight="1">
      <c r="A44" s="212" t="s">
        <v>531</v>
      </c>
      <c r="B44" s="202" t="s">
        <v>456</v>
      </c>
      <c r="C44" s="214">
        <v>15.0</v>
      </c>
      <c r="D44" s="215">
        <f>E43-5</f>
        <v>46047</v>
      </c>
      <c r="E44" s="215">
        <f t="shared" si="16"/>
        <v>46062</v>
      </c>
      <c r="F44" s="259"/>
      <c r="G44" s="217"/>
      <c r="H44" s="217"/>
      <c r="I44" s="217"/>
      <c r="J44" s="218"/>
      <c r="K44" s="219"/>
      <c r="L44" s="219"/>
      <c r="M44" s="219"/>
      <c r="N44" s="219"/>
      <c r="O44" s="219"/>
      <c r="P44" s="219"/>
      <c r="Q44" s="219"/>
      <c r="R44" s="219"/>
      <c r="S44" s="219"/>
      <c r="T44" s="219"/>
      <c r="U44" s="219"/>
      <c r="V44" s="219"/>
      <c r="W44" s="219"/>
      <c r="X44" s="219"/>
      <c r="Y44" s="219"/>
      <c r="Z44" s="219"/>
      <c r="AA44" s="219"/>
      <c r="AB44" s="219"/>
      <c r="AC44" s="219"/>
      <c r="AD44" s="219"/>
      <c r="AE44" s="219"/>
      <c r="AF44" s="219"/>
      <c r="AG44" s="219"/>
      <c r="AH44" s="219"/>
      <c r="AI44" s="220"/>
    </row>
    <row r="45" ht="22.5" customHeight="1">
      <c r="A45" s="221" t="s">
        <v>532</v>
      </c>
      <c r="B45" s="202" t="s">
        <v>456</v>
      </c>
      <c r="C45" s="222">
        <v>10.0</v>
      </c>
      <c r="D45" s="223">
        <f t="shared" ref="D45:D47" si="17">E44-10</f>
        <v>46052</v>
      </c>
      <c r="E45" s="223">
        <f t="shared" si="16"/>
        <v>46062</v>
      </c>
      <c r="F45" s="237"/>
      <c r="G45" s="208"/>
      <c r="H45" s="208"/>
      <c r="I45" s="208"/>
      <c r="J45" s="238"/>
      <c r="K45" s="210"/>
      <c r="L45" s="210"/>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1"/>
    </row>
    <row r="46" ht="22.5" customHeight="1">
      <c r="A46" s="247" t="s">
        <v>533</v>
      </c>
      <c r="B46" s="202" t="s">
        <v>456</v>
      </c>
      <c r="C46" s="249"/>
      <c r="D46" s="250">
        <f t="shared" si="17"/>
        <v>46052</v>
      </c>
      <c r="E46" s="250">
        <f t="shared" si="16"/>
        <v>46052</v>
      </c>
      <c r="F46" s="261"/>
      <c r="G46" s="252"/>
      <c r="H46" s="252"/>
      <c r="I46" s="252"/>
      <c r="J46" s="253"/>
      <c r="K46" s="254"/>
      <c r="L46" s="254"/>
      <c r="M46" s="254"/>
      <c r="N46" s="254"/>
      <c r="O46" s="254"/>
      <c r="P46" s="254"/>
      <c r="Q46" s="254"/>
      <c r="R46" s="254"/>
      <c r="S46" s="254"/>
      <c r="T46" s="254"/>
      <c r="U46" s="254"/>
      <c r="V46" s="254"/>
      <c r="W46" s="254"/>
      <c r="X46" s="254"/>
      <c r="Y46" s="254"/>
      <c r="Z46" s="254"/>
      <c r="AA46" s="254"/>
      <c r="AB46" s="254"/>
      <c r="AC46" s="254"/>
      <c r="AD46" s="254"/>
      <c r="AE46" s="254"/>
      <c r="AF46" s="254"/>
      <c r="AG46" s="254"/>
      <c r="AH46" s="254"/>
      <c r="AI46" s="255"/>
    </row>
    <row r="47" ht="22.5" customHeight="1">
      <c r="A47" s="247" t="s">
        <v>534</v>
      </c>
      <c r="B47" s="202" t="s">
        <v>456</v>
      </c>
      <c r="C47" s="249"/>
      <c r="D47" s="250">
        <f t="shared" si="17"/>
        <v>46042</v>
      </c>
      <c r="E47" s="250">
        <f t="shared" si="16"/>
        <v>46042</v>
      </c>
      <c r="F47" s="261"/>
      <c r="G47" s="252"/>
      <c r="H47" s="252"/>
      <c r="I47" s="252"/>
      <c r="J47" s="253"/>
      <c r="K47" s="254"/>
      <c r="L47" s="254"/>
      <c r="M47" s="254"/>
      <c r="N47" s="254"/>
      <c r="O47" s="254"/>
      <c r="P47" s="254"/>
      <c r="Q47" s="254"/>
      <c r="R47" s="254"/>
      <c r="S47" s="254"/>
      <c r="T47" s="254"/>
      <c r="U47" s="254"/>
      <c r="V47" s="254"/>
      <c r="W47" s="254"/>
      <c r="X47" s="254"/>
      <c r="Y47" s="254"/>
      <c r="Z47" s="254"/>
      <c r="AA47" s="254"/>
      <c r="AB47" s="254"/>
      <c r="AC47" s="254"/>
      <c r="AD47" s="254"/>
      <c r="AE47" s="254"/>
      <c r="AF47" s="254"/>
      <c r="AG47" s="254"/>
      <c r="AH47" s="254"/>
      <c r="AI47" s="255"/>
    </row>
    <row r="48" ht="22.5" customHeight="1">
      <c r="A48" s="239" t="s">
        <v>535</v>
      </c>
      <c r="B48" s="213" t="s">
        <v>456</v>
      </c>
      <c r="C48" s="240">
        <f>E48-D48</f>
        <v>30</v>
      </c>
      <c r="D48" s="241">
        <f>D49</f>
        <v>46062</v>
      </c>
      <c r="E48" s="241">
        <f>E51</f>
        <v>46092</v>
      </c>
      <c r="F48" s="242" t="s">
        <v>536</v>
      </c>
      <c r="G48" s="243" t="s">
        <v>537</v>
      </c>
      <c r="H48" s="217"/>
      <c r="I48" s="217"/>
      <c r="J48" s="218"/>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219"/>
      <c r="AH48" s="219"/>
      <c r="AI48" s="220"/>
    </row>
    <row r="49" ht="22.5" customHeight="1">
      <c r="A49" s="221" t="s">
        <v>538</v>
      </c>
      <c r="B49" s="202" t="s">
        <v>456</v>
      </c>
      <c r="C49" s="222">
        <v>10.0</v>
      </c>
      <c r="D49" s="223">
        <f>E44</f>
        <v>46062</v>
      </c>
      <c r="E49" s="223">
        <f t="shared" ref="E49:E51" si="18">D49+C49</f>
        <v>46072</v>
      </c>
      <c r="F49" s="237"/>
      <c r="G49" s="208"/>
      <c r="H49" s="208"/>
      <c r="I49" s="208"/>
      <c r="J49" s="238"/>
      <c r="K49" s="210"/>
      <c r="L49" s="210"/>
      <c r="M49" s="210"/>
      <c r="N49" s="210"/>
      <c r="O49" s="210"/>
      <c r="P49" s="210"/>
      <c r="Q49" s="210"/>
      <c r="R49" s="210"/>
      <c r="S49" s="210"/>
      <c r="T49" s="210"/>
      <c r="U49" s="210"/>
      <c r="V49" s="210"/>
      <c r="W49" s="210"/>
      <c r="X49" s="210"/>
      <c r="Y49" s="210"/>
      <c r="Z49" s="210"/>
      <c r="AA49" s="210"/>
      <c r="AB49" s="210"/>
      <c r="AC49" s="210"/>
      <c r="AD49" s="210"/>
      <c r="AE49" s="210"/>
      <c r="AF49" s="210"/>
      <c r="AG49" s="210"/>
      <c r="AH49" s="210"/>
      <c r="AI49" s="211"/>
    </row>
    <row r="50" ht="22.5" customHeight="1">
      <c r="A50" s="212" t="s">
        <v>539</v>
      </c>
      <c r="B50" s="202" t="s">
        <v>456</v>
      </c>
      <c r="C50" s="214">
        <v>10.0</v>
      </c>
      <c r="D50" s="215">
        <f t="shared" ref="D50:D51" si="19">E49</f>
        <v>46072</v>
      </c>
      <c r="E50" s="215">
        <f t="shared" si="18"/>
        <v>46082</v>
      </c>
      <c r="F50" s="259"/>
      <c r="G50" s="217"/>
      <c r="H50" s="217"/>
      <c r="I50" s="217"/>
      <c r="J50" s="218"/>
      <c r="K50" s="219"/>
      <c r="L50" s="219"/>
      <c r="M50" s="219"/>
      <c r="N50" s="219"/>
      <c r="O50" s="219"/>
      <c r="P50" s="219"/>
      <c r="Q50" s="219"/>
      <c r="R50" s="219"/>
      <c r="S50" s="219"/>
      <c r="T50" s="219"/>
      <c r="U50" s="219"/>
      <c r="V50" s="219"/>
      <c r="W50" s="219"/>
      <c r="X50" s="219"/>
      <c r="Y50" s="219"/>
      <c r="Z50" s="219"/>
      <c r="AA50" s="219"/>
      <c r="AB50" s="219"/>
      <c r="AC50" s="219"/>
      <c r="AD50" s="219"/>
      <c r="AE50" s="219"/>
      <c r="AF50" s="219"/>
      <c r="AG50" s="219"/>
      <c r="AH50" s="219"/>
      <c r="AI50" s="220"/>
    </row>
    <row r="51" ht="22.5" customHeight="1">
      <c r="A51" s="262" t="s">
        <v>540</v>
      </c>
      <c r="B51" s="202" t="s">
        <v>456</v>
      </c>
      <c r="C51" s="263">
        <v>10.0</v>
      </c>
      <c r="D51" s="264">
        <f t="shared" si="19"/>
        <v>46082</v>
      </c>
      <c r="E51" s="264">
        <f t="shared" si="18"/>
        <v>46092</v>
      </c>
      <c r="F51" s="265"/>
      <c r="G51" s="266"/>
      <c r="H51" s="266"/>
      <c r="I51" s="266"/>
      <c r="J51" s="267"/>
      <c r="K51" s="268"/>
      <c r="L51" s="268"/>
      <c r="M51" s="268"/>
      <c r="N51" s="268"/>
      <c r="O51" s="268"/>
      <c r="P51" s="268"/>
      <c r="Q51" s="268"/>
      <c r="R51" s="268"/>
      <c r="S51" s="268"/>
      <c r="T51" s="268"/>
      <c r="U51" s="268"/>
      <c r="V51" s="268"/>
      <c r="W51" s="268"/>
      <c r="X51" s="268"/>
      <c r="Y51" s="268"/>
      <c r="Z51" s="268"/>
      <c r="AA51" s="268"/>
      <c r="AB51" s="268"/>
      <c r="AC51" s="268"/>
      <c r="AD51" s="268"/>
      <c r="AE51" s="268"/>
      <c r="AF51" s="268"/>
      <c r="AG51" s="268"/>
      <c r="AH51" s="268"/>
      <c r="AI51" s="269"/>
    </row>
    <row r="67">
      <c r="A67" s="188" t="s">
        <v>541</v>
      </c>
      <c r="B67" s="189"/>
      <c r="C67" s="189"/>
      <c r="D67" s="189"/>
      <c r="E67" s="189"/>
    </row>
    <row r="68">
      <c r="A68" s="189"/>
      <c r="B68" s="189"/>
      <c r="C68" s="189"/>
      <c r="D68" s="189"/>
      <c r="E68" s="189"/>
    </row>
    <row r="69">
      <c r="A69" s="188" t="s">
        <v>542</v>
      </c>
      <c r="B69" s="188" t="s">
        <v>543</v>
      </c>
      <c r="C69" s="188" t="s">
        <v>544</v>
      </c>
      <c r="D69" s="188" t="s">
        <v>545</v>
      </c>
      <c r="E69" s="188" t="s">
        <v>546</v>
      </c>
    </row>
    <row r="70">
      <c r="A70" s="188">
        <v>1.0</v>
      </c>
      <c r="B70" s="188" t="s">
        <v>547</v>
      </c>
      <c r="C70" s="188" t="s">
        <v>548</v>
      </c>
      <c r="D70" s="270">
        <v>46025.0</v>
      </c>
      <c r="E70" s="270">
        <v>46076.0</v>
      </c>
    </row>
    <row r="71">
      <c r="A71" s="188">
        <v>2.0</v>
      </c>
      <c r="B71" s="188" t="s">
        <v>68</v>
      </c>
      <c r="C71" s="188" t="s">
        <v>549</v>
      </c>
      <c r="D71" s="270">
        <v>46025.0</v>
      </c>
      <c r="E71" s="270">
        <v>46045.0</v>
      </c>
    </row>
    <row r="72">
      <c r="A72" s="188">
        <v>3.0</v>
      </c>
      <c r="B72" s="188" t="s">
        <v>550</v>
      </c>
      <c r="C72" s="188" t="s">
        <v>551</v>
      </c>
      <c r="D72" s="270">
        <v>46098.0</v>
      </c>
      <c r="E72" s="270">
        <v>46108.0</v>
      </c>
    </row>
    <row r="73">
      <c r="A73" s="188">
        <v>4.0</v>
      </c>
      <c r="B73" s="188" t="s">
        <v>552</v>
      </c>
      <c r="C73" s="188" t="s">
        <v>551</v>
      </c>
      <c r="D73" s="270">
        <v>46098.0</v>
      </c>
      <c r="E73" s="270">
        <v>46108.0</v>
      </c>
    </row>
    <row r="74">
      <c r="A74" s="188">
        <v>5.0</v>
      </c>
      <c r="B74" s="188" t="s">
        <v>553</v>
      </c>
      <c r="C74" s="188" t="s">
        <v>551</v>
      </c>
      <c r="D74" s="270">
        <v>46025.0</v>
      </c>
      <c r="E74" s="270">
        <v>46035.0</v>
      </c>
    </row>
    <row r="75">
      <c r="A75" s="188">
        <v>6.0</v>
      </c>
      <c r="B75" s="188" t="s">
        <v>554</v>
      </c>
      <c r="C75" s="188" t="s">
        <v>555</v>
      </c>
      <c r="D75" s="270">
        <v>46049.0</v>
      </c>
      <c r="E75" s="270">
        <v>46108.0</v>
      </c>
    </row>
    <row r="76">
      <c r="A76" s="188">
        <v>7.0</v>
      </c>
      <c r="B76" s="188" t="s">
        <v>556</v>
      </c>
      <c r="C76" s="188" t="s">
        <v>551</v>
      </c>
      <c r="D76" s="270">
        <v>46108.0</v>
      </c>
      <c r="E76" s="270">
        <v>46118.0</v>
      </c>
    </row>
    <row r="77">
      <c r="A77" s="189"/>
      <c r="B77" s="189"/>
      <c r="C77" s="189"/>
      <c r="D77" s="189"/>
      <c r="E77" s="189"/>
    </row>
  </sheetData>
  <dataValidations>
    <dataValidation type="custom" allowBlank="1" showDropDown="1" sqref="D2:E51">
      <formula1>OR(NOT(ISERROR(DATEVALUE(D2))), AND(ISNUMBER(D2), LEFT(CELL("format", D2))="D"))</formula1>
    </dataValidation>
    <dataValidation allowBlank="1" showDropDown="1" sqref="A2:A51 F2:F51"/>
    <dataValidation type="list" allowBlank="1" sqref="B2:B51">
      <formula1>"Not started,In progress,Blocked,Completed,Order Placed "</formula1>
    </dataValidation>
  </dataValidations>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6" max="6" width="27.0"/>
  </cols>
  <sheetData>
    <row r="1">
      <c r="P1" s="38"/>
    </row>
    <row r="2">
      <c r="P2" s="38"/>
    </row>
    <row r="3">
      <c r="P3" s="38"/>
    </row>
    <row r="4">
      <c r="A4" s="160" t="s">
        <v>40</v>
      </c>
      <c r="B4" s="161" t="s">
        <v>41</v>
      </c>
      <c r="C4" s="161" t="s">
        <v>42</v>
      </c>
      <c r="D4" s="161" t="s">
        <v>43</v>
      </c>
      <c r="E4" s="161" t="s">
        <v>44</v>
      </c>
      <c r="F4" s="161" t="s">
        <v>45</v>
      </c>
      <c r="G4" s="161" t="s">
        <v>46</v>
      </c>
      <c r="H4" s="162" t="s">
        <v>47</v>
      </c>
      <c r="I4" s="271"/>
      <c r="J4" s="272" t="s">
        <v>48</v>
      </c>
      <c r="K4" s="162" t="s">
        <v>14</v>
      </c>
      <c r="L4" s="164" t="s">
        <v>557</v>
      </c>
      <c r="M4" s="162" t="s">
        <v>49</v>
      </c>
      <c r="N4" s="272" t="s">
        <v>50</v>
      </c>
      <c r="O4" s="161" t="s">
        <v>14</v>
      </c>
      <c r="P4" s="165" t="s">
        <v>558</v>
      </c>
      <c r="Q4" s="161" t="s">
        <v>53</v>
      </c>
      <c r="R4" s="161" t="s">
        <v>54</v>
      </c>
      <c r="S4" s="148"/>
      <c r="T4" s="148"/>
      <c r="U4" s="148"/>
      <c r="V4" s="148"/>
      <c r="W4" s="148"/>
      <c r="X4" s="148"/>
      <c r="Y4" s="148"/>
      <c r="Z4" s="148"/>
      <c r="AA4" s="148"/>
      <c r="AB4" s="148"/>
      <c r="AC4" s="148"/>
      <c r="AD4" s="148"/>
      <c r="AE4" s="148"/>
    </row>
    <row r="5">
      <c r="A5" s="273" t="s">
        <v>31</v>
      </c>
      <c r="B5" s="144"/>
      <c r="C5" s="144"/>
      <c r="D5" s="144"/>
      <c r="E5" s="144"/>
      <c r="F5" s="144"/>
      <c r="G5" s="141"/>
      <c r="H5" s="143"/>
      <c r="I5" s="143"/>
      <c r="J5" s="143"/>
      <c r="K5" s="143"/>
      <c r="L5" s="143"/>
      <c r="M5" s="143"/>
      <c r="N5" s="143"/>
      <c r="O5" s="141"/>
      <c r="P5" s="166"/>
      <c r="Q5" s="141"/>
      <c r="R5" s="141"/>
      <c r="S5" s="148"/>
      <c r="T5" s="148"/>
      <c r="U5" s="148"/>
      <c r="V5" s="148"/>
      <c r="W5" s="148"/>
      <c r="X5" s="148"/>
      <c r="Y5" s="148"/>
      <c r="Z5" s="148"/>
      <c r="AA5" s="148"/>
      <c r="AB5" s="148"/>
      <c r="AC5" s="148"/>
      <c r="AD5" s="148"/>
      <c r="AE5" s="148"/>
    </row>
    <row r="6">
      <c r="A6" s="273" t="s">
        <v>161</v>
      </c>
      <c r="B6" s="144"/>
      <c r="C6" s="144"/>
      <c r="D6" s="144"/>
      <c r="E6" s="144"/>
      <c r="F6" s="144"/>
      <c r="G6" s="141"/>
      <c r="H6" s="143"/>
      <c r="I6" s="144"/>
      <c r="J6" s="144"/>
      <c r="K6" s="143"/>
      <c r="L6" s="143"/>
      <c r="M6" s="143"/>
      <c r="N6" s="144"/>
      <c r="O6" s="141"/>
      <c r="P6" s="166"/>
      <c r="Q6" s="141"/>
      <c r="R6" s="141"/>
      <c r="S6" s="148"/>
      <c r="T6" s="148"/>
      <c r="U6" s="148"/>
      <c r="V6" s="148"/>
      <c r="W6" s="148"/>
      <c r="X6" s="148"/>
      <c r="Y6" s="148"/>
      <c r="Z6" s="148"/>
      <c r="AA6" s="148"/>
      <c r="AB6" s="148"/>
      <c r="AC6" s="148"/>
      <c r="AD6" s="148"/>
      <c r="AE6" s="148"/>
    </row>
    <row r="7">
      <c r="A7" s="149" t="s">
        <v>16</v>
      </c>
      <c r="B7" s="173"/>
      <c r="C7" s="150" t="s">
        <v>31</v>
      </c>
      <c r="D7" s="150" t="s">
        <v>177</v>
      </c>
      <c r="E7" s="150" t="s">
        <v>178</v>
      </c>
      <c r="F7" s="147"/>
      <c r="G7" s="150" t="s">
        <v>175</v>
      </c>
      <c r="H7" s="147"/>
      <c r="I7" s="147"/>
      <c r="J7" s="147"/>
      <c r="K7" s="150">
        <v>3000.0</v>
      </c>
      <c r="L7" s="185">
        <v>1950.0</v>
      </c>
      <c r="M7" s="150">
        <v>15.0</v>
      </c>
      <c r="N7" s="150">
        <f t="shared" ref="N7:N16" si="1">M7*L7</f>
        <v>29250</v>
      </c>
      <c r="O7" s="170">
        <f>M7*K7</f>
        <v>45000</v>
      </c>
      <c r="P7" s="274">
        <f>L7*M7</f>
        <v>29250</v>
      </c>
      <c r="Q7" s="175"/>
      <c r="R7" s="173"/>
      <c r="S7" s="275">
        <v>15000.0</v>
      </c>
      <c r="T7" s="148"/>
      <c r="U7" s="148"/>
      <c r="V7" s="148"/>
      <c r="W7" s="148"/>
      <c r="X7" s="148"/>
      <c r="Y7" s="148"/>
      <c r="Z7" s="148"/>
      <c r="AA7" s="148"/>
      <c r="AB7" s="148"/>
      <c r="AC7" s="148"/>
      <c r="AD7" s="148"/>
      <c r="AE7" s="148"/>
    </row>
    <row r="8">
      <c r="A8" s="140" t="s">
        <v>226</v>
      </c>
      <c r="B8" s="141"/>
      <c r="C8" s="141"/>
      <c r="D8" s="141"/>
      <c r="E8" s="141"/>
      <c r="F8" s="141"/>
      <c r="G8" s="141"/>
      <c r="H8" s="143"/>
      <c r="I8" s="144"/>
      <c r="J8" s="144"/>
      <c r="K8" s="143"/>
      <c r="L8" s="143"/>
      <c r="M8" s="143"/>
      <c r="N8" s="150">
        <f t="shared" si="1"/>
        <v>0</v>
      </c>
      <c r="O8" s="141"/>
      <c r="P8" s="166"/>
      <c r="Q8" s="141"/>
      <c r="R8" s="141"/>
      <c r="S8" s="148"/>
      <c r="T8" s="148"/>
      <c r="U8" s="148"/>
      <c r="V8" s="148"/>
      <c r="W8" s="148"/>
      <c r="X8" s="148"/>
      <c r="Y8" s="148"/>
      <c r="Z8" s="148"/>
      <c r="AA8" s="148"/>
      <c r="AB8" s="148"/>
      <c r="AC8" s="148"/>
      <c r="AD8" s="148"/>
      <c r="AE8" s="148"/>
    </row>
    <row r="9">
      <c r="A9" s="149" t="s">
        <v>16</v>
      </c>
      <c r="B9" s="150" t="s">
        <v>232</v>
      </c>
      <c r="C9" s="150" t="str">
        <f>VLOOKUP($B9,'Rate card'!$A$4:$G1003,2,FALSE)</f>
        <v>Carpentry</v>
      </c>
      <c r="D9" s="150" t="s">
        <v>233</v>
      </c>
      <c r="E9" s="150" t="str">
        <f>VLOOKUP($B9,'Rate card'!$A$4:$G1003,4,FALSE)</f>
        <v>Laminate Finish</v>
      </c>
      <c r="F9" s="150" t="str">
        <f>VLOOKUP($B9,'Rate card'!$A$4:$G1003,5,FALSE)</f>
        <v>MR ply + Inside laminate + finish laminate (1 Drawer)</v>
      </c>
      <c r="G9" s="150" t="str">
        <f>VLOOKUP($B9,'Rate card'!$A$4:$G1003,6,FALSE)</f>
        <v>Nos</v>
      </c>
      <c r="H9" s="150">
        <v>20000.0</v>
      </c>
      <c r="I9" s="153"/>
      <c r="J9" s="154" t="s">
        <v>18</v>
      </c>
      <c r="K9" s="155">
        <f>H9*J9</f>
        <v>40000</v>
      </c>
      <c r="L9" s="152">
        <v>13000.0</v>
      </c>
      <c r="M9" s="150">
        <v>2.0</v>
      </c>
      <c r="N9" s="155">
        <f t="shared" si="1"/>
        <v>26000</v>
      </c>
      <c r="O9" s="170">
        <f>M9*H9</f>
        <v>40000</v>
      </c>
      <c r="P9" s="274">
        <f>M9*L9</f>
        <v>26000</v>
      </c>
      <c r="Q9" s="71" t="s">
        <v>233</v>
      </c>
      <c r="R9" s="147"/>
      <c r="S9" s="275">
        <v>16000.0</v>
      </c>
      <c r="T9" s="148"/>
      <c r="U9" s="148"/>
      <c r="V9" s="148"/>
      <c r="W9" s="148"/>
      <c r="X9" s="148"/>
      <c r="Y9" s="148"/>
      <c r="Z9" s="148"/>
      <c r="AA9" s="148"/>
      <c r="AB9" s="148"/>
      <c r="AC9" s="148"/>
      <c r="AD9" s="148"/>
      <c r="AE9" s="148"/>
    </row>
    <row r="10">
      <c r="A10" s="140" t="s">
        <v>246</v>
      </c>
      <c r="B10" s="141"/>
      <c r="C10" s="141"/>
      <c r="D10" s="141"/>
      <c r="E10" s="141"/>
      <c r="F10" s="141"/>
      <c r="G10" s="141"/>
      <c r="H10" s="143"/>
      <c r="I10" s="144"/>
      <c r="J10" s="144"/>
      <c r="K10" s="143"/>
      <c r="L10" s="143"/>
      <c r="M10" s="143"/>
      <c r="N10" s="150">
        <f t="shared" si="1"/>
        <v>0</v>
      </c>
      <c r="O10" s="141"/>
      <c r="P10" s="276"/>
      <c r="Q10" s="141"/>
      <c r="R10" s="141"/>
      <c r="S10" s="148"/>
      <c r="T10" s="148"/>
      <c r="U10" s="148"/>
      <c r="V10" s="148"/>
      <c r="W10" s="148"/>
      <c r="X10" s="148"/>
      <c r="Y10" s="148"/>
      <c r="Z10" s="148"/>
      <c r="AA10" s="148"/>
      <c r="AB10" s="148"/>
      <c r="AC10" s="148"/>
      <c r="AD10" s="148"/>
      <c r="AE10" s="148"/>
    </row>
    <row r="11">
      <c r="A11" s="149" t="s">
        <v>16</v>
      </c>
      <c r="B11" s="150" t="s">
        <v>232</v>
      </c>
      <c r="C11" s="150" t="str">
        <f>VLOOKUP($B11,'Rate card'!$A$4:$G1003,2,FALSE)</f>
        <v>Carpentry</v>
      </c>
      <c r="D11" s="150" t="s">
        <v>233</v>
      </c>
      <c r="E11" s="150" t="str">
        <f>VLOOKUP($B11,'Rate card'!$A$4:$G1003,4,FALSE)</f>
        <v>Laminate Finish</v>
      </c>
      <c r="F11" s="150" t="str">
        <f>VLOOKUP($B11,'Rate card'!$A$4:$G1003,5,FALSE)</f>
        <v>MR ply + Inside laminate + finish laminate (1 Drawer)</v>
      </c>
      <c r="G11" s="150" t="str">
        <f>VLOOKUP($B11,'Rate card'!$A$4:$G1003,6,FALSE)</f>
        <v>Nos</v>
      </c>
      <c r="H11" s="150">
        <v>20000.0</v>
      </c>
      <c r="I11" s="153"/>
      <c r="J11" s="154" t="s">
        <v>16</v>
      </c>
      <c r="K11" s="155">
        <f t="shared" ref="K11:K12" si="2">H11*J11</f>
        <v>20000</v>
      </c>
      <c r="L11" s="152">
        <v>13000.0</v>
      </c>
      <c r="M11" s="150">
        <v>2.0</v>
      </c>
      <c r="N11" s="155">
        <f t="shared" si="1"/>
        <v>26000</v>
      </c>
      <c r="O11" s="155">
        <f>M11*H11</f>
        <v>40000</v>
      </c>
      <c r="P11" s="274">
        <f t="shared" ref="P11:P12" si="3">M11*L11</f>
        <v>26000</v>
      </c>
      <c r="Q11" s="71" t="s">
        <v>233</v>
      </c>
      <c r="R11" s="147"/>
      <c r="S11" s="275">
        <v>22000.0</v>
      </c>
      <c r="T11" s="148"/>
      <c r="U11" s="148"/>
      <c r="V11" s="148"/>
      <c r="W11" s="148"/>
      <c r="X11" s="148"/>
      <c r="Y11" s="148"/>
      <c r="Z11" s="148"/>
      <c r="AA11" s="148"/>
      <c r="AB11" s="148"/>
      <c r="AC11" s="148"/>
      <c r="AD11" s="148"/>
      <c r="AE11" s="148"/>
    </row>
    <row r="12">
      <c r="A12" s="149" t="s">
        <v>18</v>
      </c>
      <c r="B12" s="150" t="s">
        <v>248</v>
      </c>
      <c r="C12" s="150" t="str">
        <f>VLOOKUP($B12,'Rate card'!$A$4:$G1003,2,FALSE)</f>
        <v>Carpentry</v>
      </c>
      <c r="D12" s="150" t="str">
        <f>VLOOKUP($B12,'Rate card'!$A$4:$G1003,3,FALSE)</f>
        <v>Study Table</v>
      </c>
      <c r="E12" s="150" t="str">
        <f>VLOOKUP($B12,'Rate card'!$A$4:$G1003,4,FALSE)</f>
        <v>Laminate Finish</v>
      </c>
      <c r="F12" s="150" t="str">
        <f>VLOOKUP($B12,'Rate card'!$A$4:$G1003,5,FALSE)</f>
        <v>MR ply + Inside laminate + finish laminate (2 pencil drawers)</v>
      </c>
      <c r="G12" s="150" t="str">
        <f>VLOOKUP($B12,'Rate card'!$A$4:$G1003,6,FALSE)</f>
        <v>Rft</v>
      </c>
      <c r="H12" s="150">
        <v>4500.0</v>
      </c>
      <c r="I12" s="153"/>
      <c r="J12" s="154" t="s">
        <v>27</v>
      </c>
      <c r="K12" s="155">
        <f t="shared" si="2"/>
        <v>18000</v>
      </c>
      <c r="L12" s="152">
        <v>2925.0</v>
      </c>
      <c r="M12" s="150">
        <v>4.5</v>
      </c>
      <c r="N12" s="155">
        <f t="shared" si="1"/>
        <v>13162.5</v>
      </c>
      <c r="O12" s="155"/>
      <c r="P12" s="274">
        <f t="shared" si="3"/>
        <v>13162.5</v>
      </c>
      <c r="Q12" s="71" t="s">
        <v>249</v>
      </c>
      <c r="R12" s="147"/>
      <c r="S12" s="148"/>
      <c r="T12" s="148"/>
      <c r="U12" s="148"/>
      <c r="V12" s="148"/>
      <c r="W12" s="148"/>
      <c r="X12" s="148"/>
      <c r="Y12" s="148"/>
      <c r="Z12" s="148"/>
      <c r="AA12" s="148"/>
      <c r="AB12" s="148"/>
      <c r="AC12" s="148"/>
      <c r="AD12" s="148"/>
      <c r="AE12" s="148"/>
    </row>
    <row r="13">
      <c r="A13" s="140" t="s">
        <v>256</v>
      </c>
      <c r="B13" s="141"/>
      <c r="C13" s="141"/>
      <c r="D13" s="141"/>
      <c r="E13" s="141"/>
      <c r="F13" s="141"/>
      <c r="G13" s="141"/>
      <c r="H13" s="143"/>
      <c r="I13" s="144"/>
      <c r="J13" s="144"/>
      <c r="K13" s="143"/>
      <c r="L13" s="143"/>
      <c r="M13" s="143"/>
      <c r="N13" s="150">
        <f t="shared" si="1"/>
        <v>0</v>
      </c>
      <c r="O13" s="141"/>
      <c r="P13" s="166"/>
      <c r="Q13" s="141"/>
      <c r="R13" s="141"/>
      <c r="S13" s="148"/>
      <c r="T13" s="148"/>
      <c r="U13" s="148"/>
      <c r="V13" s="148"/>
      <c r="W13" s="148"/>
      <c r="X13" s="148"/>
      <c r="Y13" s="148"/>
      <c r="Z13" s="148"/>
      <c r="AA13" s="148"/>
      <c r="AB13" s="148"/>
      <c r="AC13" s="148"/>
      <c r="AD13" s="148"/>
      <c r="AE13" s="148"/>
    </row>
    <row r="14">
      <c r="A14" s="149" t="s">
        <v>16</v>
      </c>
      <c r="B14" s="150" t="s">
        <v>232</v>
      </c>
      <c r="C14" s="150" t="str">
        <f>VLOOKUP($B14,'Rate card'!$A$4:$G1003,2,FALSE)</f>
        <v>Carpentry</v>
      </c>
      <c r="D14" s="150" t="s">
        <v>233</v>
      </c>
      <c r="E14" s="150" t="str">
        <f>VLOOKUP($B14,'Rate card'!$A$4:$G1003,4,FALSE)</f>
        <v>Laminate Finish</v>
      </c>
      <c r="F14" s="150" t="str">
        <f>VLOOKUP($B14,'Rate card'!$A$4:$G1003,5,FALSE)</f>
        <v>MR ply + Inside laminate + finish laminate (1 Drawer)</v>
      </c>
      <c r="G14" s="150" t="str">
        <f>VLOOKUP($B14,'Rate card'!$A$4:$G1003,6,FALSE)</f>
        <v>Nos</v>
      </c>
      <c r="H14" s="150">
        <v>20000.0</v>
      </c>
      <c r="I14" s="153"/>
      <c r="J14" s="154" t="s">
        <v>18</v>
      </c>
      <c r="K14" s="155">
        <f t="shared" ref="K14:K15" si="4">H14*J14</f>
        <v>40000</v>
      </c>
      <c r="L14" s="152">
        <v>13000.0</v>
      </c>
      <c r="M14" s="150">
        <v>2.0</v>
      </c>
      <c r="N14" s="155">
        <f t="shared" si="1"/>
        <v>26000</v>
      </c>
      <c r="O14" s="154">
        <f t="shared" ref="O14:O19" si="5">M14*H14</f>
        <v>40000</v>
      </c>
      <c r="P14" s="274">
        <f t="shared" ref="P14:P15" si="6">M14*L14</f>
        <v>26000</v>
      </c>
      <c r="Q14" s="71" t="s">
        <v>233</v>
      </c>
      <c r="R14" s="147"/>
      <c r="S14" s="275">
        <v>22000.0</v>
      </c>
      <c r="T14" s="148"/>
      <c r="U14" s="148"/>
      <c r="V14" s="148"/>
      <c r="W14" s="148"/>
      <c r="X14" s="148"/>
      <c r="Y14" s="148"/>
      <c r="Z14" s="148"/>
      <c r="AA14" s="148"/>
      <c r="AB14" s="148"/>
      <c r="AC14" s="148"/>
      <c r="AD14" s="148"/>
      <c r="AE14" s="148"/>
    </row>
    <row r="15">
      <c r="A15" s="149" t="s">
        <v>18</v>
      </c>
      <c r="B15" s="150" t="s">
        <v>248</v>
      </c>
      <c r="C15" s="150" t="str">
        <f>VLOOKUP($B15,'Rate card'!$A$4:$G1003,2,FALSE)</f>
        <v>Carpentry</v>
      </c>
      <c r="D15" s="150" t="str">
        <f>VLOOKUP($B15,'Rate card'!$A$4:$G1003,3,FALSE)</f>
        <v>Study Table</v>
      </c>
      <c r="E15" s="150" t="str">
        <f>VLOOKUP($B15,'Rate card'!$A$4:$G1003,4,FALSE)</f>
        <v>Laminate Finish</v>
      </c>
      <c r="F15" s="150" t="str">
        <f>VLOOKUP($B15,'Rate card'!$A$4:$G1003,5,FALSE)</f>
        <v>MR ply + Inside laminate + finish laminate (2 pencil drawers)</v>
      </c>
      <c r="G15" s="150" t="str">
        <f>VLOOKUP($B15,'Rate card'!$A$4:$G1003,6,FALSE)</f>
        <v>Rft</v>
      </c>
      <c r="H15" s="150">
        <v>4500.0</v>
      </c>
      <c r="I15" s="153"/>
      <c r="J15" s="154" t="s">
        <v>27</v>
      </c>
      <c r="K15" s="155">
        <f t="shared" si="4"/>
        <v>18000</v>
      </c>
      <c r="L15" s="152">
        <v>2925.0</v>
      </c>
      <c r="M15" s="150">
        <v>5.0</v>
      </c>
      <c r="N15" s="155">
        <f t="shared" si="1"/>
        <v>14625</v>
      </c>
      <c r="O15" s="154">
        <f t="shared" si="5"/>
        <v>22500</v>
      </c>
      <c r="P15" s="274">
        <f t="shared" si="6"/>
        <v>14625</v>
      </c>
      <c r="Q15" s="71" t="s">
        <v>249</v>
      </c>
      <c r="R15" s="147"/>
      <c r="S15" s="275">
        <v>30000.0</v>
      </c>
      <c r="T15" s="148"/>
      <c r="U15" s="148"/>
      <c r="V15" s="148"/>
      <c r="W15" s="148"/>
      <c r="X15" s="148"/>
      <c r="Y15" s="148"/>
      <c r="Z15" s="148"/>
      <c r="AA15" s="148"/>
      <c r="AB15" s="148"/>
      <c r="AC15" s="148"/>
      <c r="AD15" s="148"/>
      <c r="AE15" s="148"/>
    </row>
    <row r="16">
      <c r="A16" s="140" t="s">
        <v>265</v>
      </c>
      <c r="B16" s="141"/>
      <c r="C16" s="141"/>
      <c r="D16" s="141"/>
      <c r="E16" s="141"/>
      <c r="F16" s="141"/>
      <c r="G16" s="141"/>
      <c r="H16" s="143"/>
      <c r="I16" s="144"/>
      <c r="J16" s="144"/>
      <c r="K16" s="143"/>
      <c r="L16" s="143"/>
      <c r="M16" s="143"/>
      <c r="N16" s="150">
        <f t="shared" si="1"/>
        <v>0</v>
      </c>
      <c r="O16" s="154">
        <f t="shared" si="5"/>
        <v>0</v>
      </c>
      <c r="P16" s="166"/>
      <c r="Q16" s="141"/>
      <c r="R16" s="141"/>
      <c r="S16" s="148"/>
      <c r="T16" s="148"/>
      <c r="U16" s="148"/>
      <c r="V16" s="148"/>
      <c r="W16" s="148"/>
      <c r="X16" s="148"/>
      <c r="Y16" s="148"/>
      <c r="Z16" s="148"/>
      <c r="AA16" s="148"/>
      <c r="AB16" s="148"/>
      <c r="AC16" s="148"/>
      <c r="AD16" s="148"/>
      <c r="AE16" s="148"/>
    </row>
    <row r="17">
      <c r="A17" s="170" t="s">
        <v>24</v>
      </c>
      <c r="B17" s="150" t="s">
        <v>232</v>
      </c>
      <c r="C17" s="150" t="s">
        <v>31</v>
      </c>
      <c r="D17" s="150" t="s">
        <v>233</v>
      </c>
      <c r="E17" s="150" t="s">
        <v>259</v>
      </c>
      <c r="F17" s="150" t="s">
        <v>559</v>
      </c>
      <c r="G17" s="150" t="s">
        <v>560</v>
      </c>
      <c r="H17" s="150">
        <v>20000.0</v>
      </c>
      <c r="J17" s="154" t="s">
        <v>18</v>
      </c>
      <c r="K17" s="155">
        <f t="shared" ref="K17:K18" si="7">H17*J17</f>
        <v>40000</v>
      </c>
      <c r="L17" s="155"/>
      <c r="M17" s="186">
        <v>2.0</v>
      </c>
      <c r="N17" s="277">
        <f>L17*H17</f>
        <v>0</v>
      </c>
      <c r="O17" s="154">
        <f t="shared" si="5"/>
        <v>40000</v>
      </c>
      <c r="P17" s="146">
        <f>O17*N17</f>
        <v>0</v>
      </c>
      <c r="Q17" s="170" t="s">
        <v>233</v>
      </c>
      <c r="R17" s="148"/>
      <c r="S17" s="275">
        <v>22000.0</v>
      </c>
      <c r="T17" s="148"/>
      <c r="U17" s="148"/>
      <c r="V17" s="148"/>
      <c r="W17" s="148"/>
      <c r="X17" s="148"/>
      <c r="Y17" s="148"/>
      <c r="Z17" s="148"/>
      <c r="AA17" s="148"/>
      <c r="AB17" s="148"/>
      <c r="AC17" s="148"/>
      <c r="AD17" s="148"/>
      <c r="AE17" s="148"/>
    </row>
    <row r="18">
      <c r="A18" s="149" t="s">
        <v>16</v>
      </c>
      <c r="B18" s="150" t="s">
        <v>170</v>
      </c>
      <c r="C18" s="150" t="str">
        <f>VLOOKUP($B18,'Rate card'!$A$4:$G1003,2,FALSE)</f>
        <v>Carpentry</v>
      </c>
      <c r="D18" s="150" t="s">
        <v>273</v>
      </c>
      <c r="E18" s="150" t="s">
        <v>178</v>
      </c>
      <c r="F18" s="150" t="str">
        <f>VLOOKUP($B18,'Rate card'!$A$4:$G1003,5,FALSE)</f>
        <v>MR ply + Inside laminate + finish laminate</v>
      </c>
      <c r="G18" s="150" t="s">
        <v>188</v>
      </c>
      <c r="H18" s="150">
        <v>4500.0</v>
      </c>
      <c r="I18" s="153"/>
      <c r="J18" s="154" t="s">
        <v>274</v>
      </c>
      <c r="K18" s="155">
        <f t="shared" si="7"/>
        <v>32625</v>
      </c>
      <c r="L18" s="152">
        <v>2925.0</v>
      </c>
      <c r="M18" s="150">
        <v>9.0</v>
      </c>
      <c r="N18" s="155">
        <f t="shared" ref="N18:N28" si="8">M18*L18</f>
        <v>26325</v>
      </c>
      <c r="O18" s="154">
        <f t="shared" si="5"/>
        <v>40500</v>
      </c>
      <c r="P18" s="274">
        <f>M18*L18</f>
        <v>26325</v>
      </c>
      <c r="Q18" s="170" t="s">
        <v>190</v>
      </c>
      <c r="R18" s="147"/>
      <c r="S18" s="275">
        <v>25000.0</v>
      </c>
      <c r="T18" s="148"/>
      <c r="U18" s="148"/>
      <c r="V18" s="148"/>
      <c r="W18" s="148"/>
      <c r="X18" s="148"/>
      <c r="Y18" s="148"/>
      <c r="Z18" s="148"/>
      <c r="AA18" s="148"/>
      <c r="AB18" s="148"/>
      <c r="AC18" s="148"/>
      <c r="AD18" s="148"/>
      <c r="AE18" s="148"/>
    </row>
    <row r="19">
      <c r="A19" s="140" t="s">
        <v>278</v>
      </c>
      <c r="B19" s="141"/>
      <c r="C19" s="141"/>
      <c r="D19" s="141"/>
      <c r="E19" s="141"/>
      <c r="F19" s="141"/>
      <c r="G19" s="141"/>
      <c r="H19" s="143"/>
      <c r="I19" s="144"/>
      <c r="J19" s="144"/>
      <c r="K19" s="143"/>
      <c r="L19" s="143"/>
      <c r="M19" s="143"/>
      <c r="N19" s="150">
        <f t="shared" si="8"/>
        <v>0</v>
      </c>
      <c r="O19" s="278">
        <f t="shared" si="5"/>
        <v>0</v>
      </c>
      <c r="P19" s="166"/>
      <c r="Q19" s="141"/>
      <c r="R19" s="141"/>
      <c r="S19" s="148"/>
      <c r="T19" s="148"/>
      <c r="U19" s="148"/>
      <c r="V19" s="148"/>
      <c r="W19" s="148"/>
      <c r="X19" s="148"/>
      <c r="Y19" s="148"/>
      <c r="Z19" s="148"/>
      <c r="AA19" s="148"/>
      <c r="AB19" s="148"/>
      <c r="AC19" s="148"/>
      <c r="AD19" s="148"/>
      <c r="AE19" s="148"/>
    </row>
    <row r="20">
      <c r="A20" s="170" t="s">
        <v>16</v>
      </c>
      <c r="B20" s="150" t="s">
        <v>170</v>
      </c>
      <c r="C20" s="150" t="str">
        <f>VLOOKUP($B20,'Rate card'!$A$4:$G1003,2,FALSE)</f>
        <v>Carpentry</v>
      </c>
      <c r="D20" s="150" t="str">
        <f>VLOOKUP($B20,'Rate card'!$A$4:$G1003,3,FALSE)</f>
        <v>Carcass Storage</v>
      </c>
      <c r="E20" s="150" t="str">
        <f>VLOOKUP($B20,'Rate card'!$A$4:$G1003,4,FALSE)</f>
        <v>Laminate Finish</v>
      </c>
      <c r="F20" s="150" t="str">
        <f>VLOOKUP($B20,'Rate card'!$A$4:$G1003,5,FALSE)</f>
        <v>MR ply + Inside laminate + finish laminate</v>
      </c>
      <c r="G20" s="150" t="str">
        <f>VLOOKUP($B20,'Rate card'!$A$4:$G1003,6,FALSE)</f>
        <v>Sqft</v>
      </c>
      <c r="H20" s="150">
        <f>VLOOKUP($B20,'Rate card'!$A$4:$J1003,8,FALSE)</f>
        <v>1800</v>
      </c>
      <c r="I20" s="153"/>
      <c r="J20" s="154" t="s">
        <v>95</v>
      </c>
      <c r="K20" s="155">
        <f>H20*J20</f>
        <v>18000</v>
      </c>
      <c r="L20" s="152">
        <v>1170.0</v>
      </c>
      <c r="M20" s="154" t="s">
        <v>95</v>
      </c>
      <c r="N20" s="155">
        <f t="shared" si="8"/>
        <v>11700</v>
      </c>
      <c r="O20" s="150"/>
      <c r="P20" s="274">
        <f>M20*L20</f>
        <v>11700</v>
      </c>
      <c r="Q20" s="150" t="s">
        <v>279</v>
      </c>
      <c r="R20" s="147"/>
      <c r="S20" s="148"/>
      <c r="T20" s="148"/>
      <c r="U20" s="148"/>
      <c r="V20" s="148"/>
      <c r="W20" s="148"/>
      <c r="X20" s="148"/>
      <c r="Y20" s="148"/>
      <c r="Z20" s="148"/>
      <c r="AA20" s="148"/>
      <c r="AB20" s="148"/>
      <c r="AC20" s="148"/>
      <c r="AD20" s="148"/>
      <c r="AE20" s="148"/>
    </row>
    <row r="21">
      <c r="A21" s="140" t="s">
        <v>284</v>
      </c>
      <c r="B21" s="141"/>
      <c r="C21" s="141"/>
      <c r="D21" s="141"/>
      <c r="E21" s="141"/>
      <c r="F21" s="141"/>
      <c r="G21" s="141"/>
      <c r="H21" s="143"/>
      <c r="I21" s="144"/>
      <c r="J21" s="144"/>
      <c r="K21" s="143"/>
      <c r="L21" s="143"/>
      <c r="M21" s="144"/>
      <c r="N21" s="155">
        <f t="shared" si="8"/>
        <v>0</v>
      </c>
      <c r="O21" s="141"/>
      <c r="P21" s="166"/>
      <c r="Q21" s="141"/>
      <c r="R21" s="141"/>
      <c r="S21" s="148"/>
      <c r="T21" s="148"/>
      <c r="U21" s="148"/>
      <c r="V21" s="148"/>
      <c r="W21" s="148"/>
      <c r="X21" s="148"/>
      <c r="Y21" s="148"/>
      <c r="Z21" s="148"/>
      <c r="AA21" s="148"/>
      <c r="AB21" s="148"/>
      <c r="AC21" s="148"/>
      <c r="AD21" s="148"/>
      <c r="AE21" s="148"/>
    </row>
    <row r="22">
      <c r="A22" s="170" t="s">
        <v>16</v>
      </c>
      <c r="B22" s="150" t="s">
        <v>170</v>
      </c>
      <c r="C22" s="150" t="str">
        <f>VLOOKUP($B22,'Rate card'!$A$4:$G1003,2,FALSE)</f>
        <v>Carpentry</v>
      </c>
      <c r="D22" s="150" t="str">
        <f>VLOOKUP($B22,'Rate card'!$A$4:$G1003,3,FALSE)</f>
        <v>Carcass Storage</v>
      </c>
      <c r="E22" s="150" t="str">
        <f>VLOOKUP($B22,'Rate card'!$A$4:$G1003,4,FALSE)</f>
        <v>Laminate Finish</v>
      </c>
      <c r="F22" s="150" t="str">
        <f>VLOOKUP($B22,'Rate card'!$A$4:$G1003,5,FALSE)</f>
        <v>MR ply + Inside laminate + finish laminate</v>
      </c>
      <c r="G22" s="150" t="str">
        <f>VLOOKUP($B22,'Rate card'!$A$4:$G1003,6,FALSE)</f>
        <v>Sqft</v>
      </c>
      <c r="H22" s="150">
        <f>VLOOKUP($B22,'Rate card'!$A$4:$J1003,8,FALSE)</f>
        <v>1800</v>
      </c>
      <c r="I22" s="153"/>
      <c r="J22" s="154" t="s">
        <v>32</v>
      </c>
      <c r="K22" s="155">
        <f>H22*J22</f>
        <v>10800</v>
      </c>
      <c r="L22" s="152">
        <v>1170.0</v>
      </c>
      <c r="M22" s="154" t="s">
        <v>32</v>
      </c>
      <c r="N22" s="155">
        <f t="shared" si="8"/>
        <v>7020</v>
      </c>
      <c r="O22" s="150"/>
      <c r="P22" s="274">
        <f t="shared" ref="P22:P23" si="9">M22*L22</f>
        <v>7020</v>
      </c>
      <c r="Q22" s="150" t="s">
        <v>279</v>
      </c>
      <c r="R22" s="147"/>
      <c r="S22" s="148"/>
      <c r="T22" s="148"/>
      <c r="U22" s="148"/>
      <c r="V22" s="148"/>
      <c r="W22" s="148"/>
      <c r="X22" s="148"/>
      <c r="Y22" s="148"/>
      <c r="Z22" s="148"/>
      <c r="AA22" s="148"/>
      <c r="AB22" s="148"/>
      <c r="AC22" s="148"/>
      <c r="AD22" s="148"/>
      <c r="AE22" s="148"/>
    </row>
    <row r="23">
      <c r="A23" s="149" t="s">
        <v>18</v>
      </c>
      <c r="B23" s="150" t="s">
        <v>170</v>
      </c>
      <c r="C23" s="150" t="str">
        <f>VLOOKUP($B23,'Rate card'!$A$4:$G1003,2,FALSE)</f>
        <v>Carpentry</v>
      </c>
      <c r="D23" s="150" t="str">
        <f>VLOOKUP($B23,'Rate card'!$A$4:$G1003,3,FALSE)</f>
        <v>Carcass Storage</v>
      </c>
      <c r="E23" s="150" t="str">
        <f>VLOOKUP($B23,'Rate card'!$A$4:$G1003,4,FALSE)</f>
        <v>Laminate Finish</v>
      </c>
      <c r="F23" s="150" t="str">
        <f>VLOOKUP($B23,'Rate card'!$A$4:$G1003,5,FALSE)</f>
        <v>MR ply + Inside laminate + finish laminate</v>
      </c>
      <c r="G23" s="150" t="str">
        <f>VLOOKUP($B23,'Rate card'!$A$4:$G1003,6,FALSE)</f>
        <v>Sqft</v>
      </c>
      <c r="H23" s="185">
        <v>1800.0</v>
      </c>
      <c r="I23" s="153"/>
      <c r="J23" s="156" t="s">
        <v>107</v>
      </c>
      <c r="K23" s="155">
        <f>J23*H23</f>
        <v>27000</v>
      </c>
      <c r="L23" s="152">
        <v>1170.0</v>
      </c>
      <c r="M23" s="156" t="s">
        <v>107</v>
      </c>
      <c r="N23" s="155">
        <f t="shared" si="8"/>
        <v>17550</v>
      </c>
      <c r="O23" s="150">
        <f t="shared" ref="O23:O24" si="10">M23*H23</f>
        <v>27000</v>
      </c>
      <c r="P23" s="274">
        <f t="shared" si="9"/>
        <v>17550</v>
      </c>
      <c r="Q23" s="185" t="s">
        <v>561</v>
      </c>
      <c r="R23" s="147"/>
      <c r="S23" s="275">
        <v>10000.0</v>
      </c>
      <c r="T23" s="148"/>
      <c r="U23" s="148"/>
      <c r="V23" s="148"/>
      <c r="W23" s="148"/>
      <c r="X23" s="148"/>
      <c r="Y23" s="148"/>
      <c r="Z23" s="148"/>
      <c r="AA23" s="148"/>
      <c r="AB23" s="148"/>
      <c r="AC23" s="148"/>
      <c r="AD23" s="148"/>
      <c r="AE23" s="148"/>
    </row>
    <row r="24">
      <c r="A24" s="140" t="s">
        <v>285</v>
      </c>
      <c r="B24" s="141"/>
      <c r="C24" s="141"/>
      <c r="D24" s="141"/>
      <c r="E24" s="141"/>
      <c r="F24" s="141"/>
      <c r="G24" s="141"/>
      <c r="H24" s="143"/>
      <c r="I24" s="144"/>
      <c r="J24" s="144"/>
      <c r="K24" s="143"/>
      <c r="L24" s="143"/>
      <c r="M24" s="144"/>
      <c r="N24" s="155">
        <f t="shared" si="8"/>
        <v>0</v>
      </c>
      <c r="O24" s="168">
        <f t="shared" si="10"/>
        <v>0</v>
      </c>
      <c r="P24" s="166"/>
      <c r="Q24" s="141"/>
      <c r="R24" s="141"/>
      <c r="S24" s="148"/>
      <c r="T24" s="148"/>
      <c r="U24" s="148"/>
      <c r="V24" s="148"/>
      <c r="W24" s="148"/>
      <c r="X24" s="148"/>
      <c r="Y24" s="148"/>
      <c r="Z24" s="148"/>
      <c r="AA24" s="148"/>
      <c r="AB24" s="148"/>
      <c r="AC24" s="148"/>
      <c r="AD24" s="148"/>
      <c r="AE24" s="148"/>
    </row>
    <row r="25">
      <c r="A25" s="170" t="s">
        <v>16</v>
      </c>
      <c r="B25" s="150" t="s">
        <v>170</v>
      </c>
      <c r="C25" s="150" t="str">
        <f>VLOOKUP($B25,'Rate card'!$A$4:$G1003,2,FALSE)</f>
        <v>Carpentry</v>
      </c>
      <c r="D25" s="150" t="str">
        <f>VLOOKUP($B25,'Rate card'!$A$4:$G1003,3,FALSE)</f>
        <v>Carcass Storage</v>
      </c>
      <c r="E25" s="150" t="str">
        <f>VLOOKUP($B25,'Rate card'!$A$4:$G1003,4,FALSE)</f>
        <v>Laminate Finish</v>
      </c>
      <c r="F25" s="150" t="str">
        <f>VLOOKUP($B25,'Rate card'!$A$4:$G1003,5,FALSE)</f>
        <v>MR ply + Inside laminate + finish laminate</v>
      </c>
      <c r="G25" s="150" t="str">
        <f>VLOOKUP($B25,'Rate card'!$A$4:$G1003,6,FALSE)</f>
        <v>Sqft</v>
      </c>
      <c r="H25" s="150">
        <f>VLOOKUP($B25,'Rate card'!$A$4:$J1003,8,FALSE)</f>
        <v>1800</v>
      </c>
      <c r="I25" s="153"/>
      <c r="J25" s="154" t="s">
        <v>32</v>
      </c>
      <c r="K25" s="155">
        <f>H25*J25</f>
        <v>10800</v>
      </c>
      <c r="L25" s="152">
        <v>1170.0</v>
      </c>
      <c r="M25" s="154" t="s">
        <v>32</v>
      </c>
      <c r="N25" s="155">
        <f t="shared" si="8"/>
        <v>7020</v>
      </c>
      <c r="O25" s="150"/>
      <c r="P25" s="274">
        <f t="shared" ref="P25:P26" si="11">M25*L25</f>
        <v>7020</v>
      </c>
      <c r="Q25" s="150" t="s">
        <v>279</v>
      </c>
      <c r="R25" s="147"/>
      <c r="S25" s="148"/>
      <c r="T25" s="148"/>
      <c r="U25" s="148"/>
      <c r="V25" s="148"/>
      <c r="W25" s="148"/>
      <c r="X25" s="148"/>
      <c r="Y25" s="148"/>
      <c r="Z25" s="148"/>
      <c r="AA25" s="148"/>
      <c r="AB25" s="148"/>
      <c r="AC25" s="148"/>
      <c r="AD25" s="148"/>
      <c r="AE25" s="148"/>
    </row>
    <row r="26">
      <c r="A26" s="149" t="s">
        <v>18</v>
      </c>
      <c r="B26" s="150" t="s">
        <v>170</v>
      </c>
      <c r="C26" s="150" t="str">
        <f>VLOOKUP($B26,'Rate card'!$A$4:$G1003,2,FALSE)</f>
        <v>Carpentry</v>
      </c>
      <c r="D26" s="150" t="str">
        <f>VLOOKUP($B26,'Rate card'!$A$4:$G1003,3,FALSE)</f>
        <v>Carcass Storage</v>
      </c>
      <c r="E26" s="150" t="str">
        <f>VLOOKUP($B26,'Rate card'!$A$4:$G1003,4,FALSE)</f>
        <v>Laminate Finish</v>
      </c>
      <c r="F26" s="150" t="str">
        <f>VLOOKUP($B26,'Rate card'!$A$4:$G1003,5,FALSE)</f>
        <v>MR ply + Inside laminate + finish laminate</v>
      </c>
      <c r="G26" s="150" t="str">
        <f>VLOOKUP($B26,'Rate card'!$A$4:$G1003,6,FALSE)</f>
        <v>Sqft</v>
      </c>
      <c r="H26" s="185">
        <v>1800.0</v>
      </c>
      <c r="I26" s="153"/>
      <c r="J26" s="156" t="s">
        <v>107</v>
      </c>
      <c r="K26" s="155">
        <f>J26*H26</f>
        <v>27000</v>
      </c>
      <c r="L26" s="152">
        <v>1170.0</v>
      </c>
      <c r="M26" s="156" t="s">
        <v>107</v>
      </c>
      <c r="N26" s="155">
        <f t="shared" si="8"/>
        <v>17550</v>
      </c>
      <c r="O26" s="150">
        <f>M26*H26</f>
        <v>27000</v>
      </c>
      <c r="P26" s="274">
        <f t="shared" si="11"/>
        <v>17550</v>
      </c>
      <c r="Q26" s="185" t="s">
        <v>561</v>
      </c>
      <c r="R26" s="147"/>
      <c r="S26" s="275">
        <v>10000.0</v>
      </c>
      <c r="T26" s="148"/>
      <c r="U26" s="148"/>
      <c r="V26" s="148"/>
      <c r="W26" s="148"/>
      <c r="X26" s="148"/>
      <c r="Y26" s="148"/>
      <c r="Z26" s="148"/>
      <c r="AA26" s="148"/>
      <c r="AB26" s="148"/>
      <c r="AC26" s="148"/>
      <c r="AD26" s="148"/>
      <c r="AE26" s="148"/>
    </row>
    <row r="27">
      <c r="A27" s="140" t="s">
        <v>286</v>
      </c>
      <c r="B27" s="141"/>
      <c r="C27" s="141"/>
      <c r="D27" s="141"/>
      <c r="E27" s="141"/>
      <c r="F27" s="141"/>
      <c r="G27" s="141"/>
      <c r="H27" s="143"/>
      <c r="I27" s="144"/>
      <c r="J27" s="144"/>
      <c r="K27" s="143"/>
      <c r="L27" s="143"/>
      <c r="M27" s="144"/>
      <c r="N27" s="155">
        <f t="shared" si="8"/>
        <v>0</v>
      </c>
      <c r="O27" s="141"/>
      <c r="P27" s="166"/>
      <c r="Q27" s="141"/>
      <c r="R27" s="141"/>
      <c r="S27" s="148"/>
      <c r="T27" s="148"/>
      <c r="U27" s="148"/>
      <c r="V27" s="148"/>
      <c r="W27" s="148"/>
      <c r="X27" s="148"/>
      <c r="Y27" s="148"/>
      <c r="Z27" s="148"/>
      <c r="AA27" s="148"/>
      <c r="AB27" s="148"/>
      <c r="AC27" s="148"/>
      <c r="AD27" s="148"/>
      <c r="AE27" s="148"/>
    </row>
    <row r="28">
      <c r="A28" s="170" t="s">
        <v>16</v>
      </c>
      <c r="B28" s="150" t="s">
        <v>170</v>
      </c>
      <c r="C28" s="150" t="str">
        <f>VLOOKUP($B28,'Rate card'!$A$4:$G1003,2,FALSE)</f>
        <v>Carpentry</v>
      </c>
      <c r="D28" s="150" t="str">
        <f>VLOOKUP($B28,'Rate card'!$A$4:$G1003,3,FALSE)</f>
        <v>Carcass Storage</v>
      </c>
      <c r="E28" s="150" t="str">
        <f>VLOOKUP($B28,'Rate card'!$A$4:$G1003,4,FALSE)</f>
        <v>Laminate Finish</v>
      </c>
      <c r="F28" s="150" t="str">
        <f>VLOOKUP($B28,'Rate card'!$A$4:$G1003,5,FALSE)</f>
        <v>MR ply + Inside laminate + finish laminate</v>
      </c>
      <c r="G28" s="150" t="str">
        <f>VLOOKUP($B28,'Rate card'!$A$4:$G1003,6,FALSE)</f>
        <v>Sqft</v>
      </c>
      <c r="H28" s="150">
        <f>VLOOKUP($B28,'Rate card'!$A$4:$J1003,8,FALSE)</f>
        <v>1800</v>
      </c>
      <c r="I28" s="153"/>
      <c r="J28" s="154" t="s">
        <v>32</v>
      </c>
      <c r="K28" s="155">
        <f>H28*J28</f>
        <v>10800</v>
      </c>
      <c r="L28" s="152">
        <v>1170.0</v>
      </c>
      <c r="M28" s="154" t="s">
        <v>32</v>
      </c>
      <c r="N28" s="155">
        <f t="shared" si="8"/>
        <v>7020</v>
      </c>
      <c r="O28" s="150"/>
      <c r="P28" s="274">
        <f>M28*L28</f>
        <v>7020</v>
      </c>
      <c r="Q28" s="150" t="s">
        <v>279</v>
      </c>
      <c r="R28" s="147"/>
      <c r="S28" s="148"/>
      <c r="T28" s="148"/>
      <c r="U28" s="148"/>
      <c r="V28" s="148"/>
      <c r="W28" s="148"/>
      <c r="X28" s="148"/>
      <c r="Y28" s="148"/>
      <c r="Z28" s="148"/>
      <c r="AA28" s="148"/>
      <c r="AB28" s="148"/>
      <c r="AC28" s="148"/>
      <c r="AD28" s="148"/>
      <c r="AE28" s="148"/>
    </row>
    <row r="29">
      <c r="A29" s="189"/>
      <c r="B29" s="189"/>
      <c r="C29" s="189"/>
      <c r="D29" s="189"/>
      <c r="E29" s="189"/>
      <c r="F29" s="189"/>
      <c r="G29" s="189"/>
      <c r="H29" s="189"/>
      <c r="I29" s="189"/>
      <c r="J29" s="189"/>
      <c r="K29" s="279">
        <f>SUM(K7:K28)</f>
        <v>316025</v>
      </c>
      <c r="L29" s="189"/>
      <c r="M29" s="189"/>
      <c r="N29" s="189">
        <f>SUM(N7:N28)</f>
        <v>229222.5</v>
      </c>
      <c r="O29" s="189"/>
      <c r="P29" s="192"/>
      <c r="Q29" s="189"/>
      <c r="R29" s="189"/>
    </row>
    <row r="30">
      <c r="A30" s="189"/>
      <c r="B30" s="189"/>
      <c r="C30" s="189"/>
      <c r="D30" s="189"/>
      <c r="E30" s="189"/>
      <c r="F30" s="189"/>
      <c r="G30" s="189"/>
      <c r="H30" s="189"/>
      <c r="I30" s="189"/>
      <c r="J30" s="189"/>
      <c r="K30" s="189"/>
      <c r="L30" s="189"/>
      <c r="M30" s="189"/>
      <c r="N30" s="189"/>
      <c r="O30" s="279">
        <f t="shared" ref="O30:P30" si="12">SUM(O6:O28)</f>
        <v>322000</v>
      </c>
      <c r="P30" s="192">
        <f t="shared" si="12"/>
        <v>229222.5</v>
      </c>
      <c r="Q30" s="189"/>
      <c r="R30" s="189"/>
      <c r="S30" s="280">
        <f>SUM(S7:S29)</f>
        <v>172000</v>
      </c>
      <c r="U30" s="280">
        <f>O30/1.25</f>
        <v>257600</v>
      </c>
    </row>
    <row r="31">
      <c r="P31" s="38"/>
    </row>
    <row r="32">
      <c r="P32" s="38"/>
    </row>
    <row r="33">
      <c r="P33" s="38"/>
    </row>
    <row r="34">
      <c r="P34" s="38"/>
    </row>
    <row r="35">
      <c r="P35" s="38"/>
    </row>
    <row r="36">
      <c r="P36" s="38"/>
    </row>
    <row r="37">
      <c r="P37" s="38"/>
    </row>
    <row r="38">
      <c r="P38" s="38"/>
    </row>
    <row r="39">
      <c r="P39" s="38"/>
    </row>
    <row r="40">
      <c r="P40" s="38"/>
    </row>
    <row r="41">
      <c r="P41" s="38"/>
    </row>
    <row r="42">
      <c r="P42" s="38"/>
    </row>
    <row r="43">
      <c r="P43" s="38"/>
    </row>
    <row r="44">
      <c r="P44" s="38"/>
    </row>
    <row r="45">
      <c r="P45" s="38"/>
    </row>
    <row r="46">
      <c r="P46" s="38"/>
    </row>
    <row r="47">
      <c r="P47" s="38"/>
    </row>
    <row r="48">
      <c r="P48" s="38"/>
    </row>
    <row r="49">
      <c r="P49" s="38"/>
    </row>
    <row r="50">
      <c r="P50" s="38"/>
    </row>
    <row r="51">
      <c r="P51" s="38"/>
    </row>
    <row r="52">
      <c r="P52" s="38"/>
    </row>
    <row r="53">
      <c r="P53" s="38"/>
    </row>
    <row r="54">
      <c r="P54" s="38"/>
    </row>
    <row r="55">
      <c r="P55" s="38"/>
    </row>
    <row r="56">
      <c r="P56" s="38"/>
    </row>
    <row r="57">
      <c r="P57" s="38"/>
    </row>
    <row r="58">
      <c r="P58" s="38"/>
    </row>
    <row r="59">
      <c r="P59" s="38"/>
    </row>
    <row r="60">
      <c r="P60" s="38"/>
    </row>
    <row r="61">
      <c r="P61" s="38"/>
    </row>
    <row r="62">
      <c r="P62" s="38"/>
    </row>
    <row r="63">
      <c r="P63" s="38"/>
    </row>
    <row r="64">
      <c r="P64" s="38"/>
    </row>
    <row r="65">
      <c r="P65" s="38"/>
    </row>
    <row r="66">
      <c r="P66" s="38"/>
    </row>
    <row r="67">
      <c r="P67" s="38"/>
    </row>
    <row r="68">
      <c r="P68" s="38"/>
    </row>
    <row r="69">
      <c r="P69" s="38"/>
    </row>
    <row r="70">
      <c r="P70" s="38"/>
    </row>
    <row r="71">
      <c r="P71" s="38"/>
    </row>
    <row r="72">
      <c r="P72" s="38"/>
    </row>
    <row r="73">
      <c r="P73" s="38"/>
    </row>
    <row r="74">
      <c r="P74" s="38"/>
    </row>
    <row r="75">
      <c r="P75" s="38"/>
    </row>
    <row r="76">
      <c r="P76" s="38"/>
    </row>
    <row r="77">
      <c r="P77" s="38"/>
    </row>
    <row r="78">
      <c r="P78" s="38"/>
    </row>
    <row r="79">
      <c r="P79" s="38"/>
    </row>
    <row r="80">
      <c r="P80" s="38"/>
    </row>
    <row r="81">
      <c r="P81" s="38"/>
    </row>
    <row r="82">
      <c r="P82" s="38"/>
    </row>
    <row r="83">
      <c r="P83" s="38"/>
    </row>
    <row r="84">
      <c r="P84" s="38"/>
    </row>
    <row r="85">
      <c r="P85" s="38"/>
    </row>
    <row r="86">
      <c r="P86" s="38"/>
    </row>
    <row r="87">
      <c r="P87" s="38"/>
    </row>
    <row r="88">
      <c r="P88" s="38"/>
    </row>
    <row r="89">
      <c r="P89" s="38"/>
    </row>
    <row r="90">
      <c r="P90" s="38"/>
    </row>
    <row r="91">
      <c r="P91" s="38"/>
    </row>
    <row r="92">
      <c r="P92" s="38"/>
    </row>
    <row r="93">
      <c r="P93" s="38"/>
    </row>
    <row r="94">
      <c r="P94" s="38"/>
    </row>
    <row r="95">
      <c r="P95" s="38"/>
    </row>
    <row r="96">
      <c r="P96" s="38"/>
    </row>
    <row r="97">
      <c r="P97" s="38"/>
    </row>
    <row r="98">
      <c r="P98" s="38"/>
    </row>
    <row r="99">
      <c r="P99" s="38"/>
    </row>
    <row r="100">
      <c r="P100" s="38"/>
    </row>
    <row r="101">
      <c r="P101" s="38"/>
    </row>
    <row r="102">
      <c r="P102" s="38"/>
    </row>
    <row r="103">
      <c r="P103" s="38"/>
    </row>
    <row r="104">
      <c r="P104" s="38"/>
    </row>
    <row r="105">
      <c r="P105" s="38"/>
    </row>
    <row r="106">
      <c r="P106" s="38"/>
    </row>
    <row r="107">
      <c r="P107" s="38"/>
    </row>
    <row r="108">
      <c r="P108" s="38"/>
    </row>
    <row r="109">
      <c r="P109" s="38"/>
    </row>
    <row r="110">
      <c r="P110" s="38"/>
    </row>
    <row r="111">
      <c r="P111" s="38"/>
    </row>
    <row r="112">
      <c r="P112" s="38"/>
    </row>
    <row r="113">
      <c r="P113" s="38"/>
    </row>
    <row r="114">
      <c r="P114" s="38"/>
    </row>
    <row r="115">
      <c r="P115" s="38"/>
    </row>
    <row r="116">
      <c r="P116" s="38"/>
    </row>
    <row r="117">
      <c r="P117" s="38"/>
    </row>
    <row r="118">
      <c r="P118" s="38"/>
    </row>
    <row r="119">
      <c r="P119" s="38"/>
    </row>
    <row r="120">
      <c r="P120" s="38"/>
    </row>
    <row r="121">
      <c r="P121" s="38"/>
    </row>
    <row r="122">
      <c r="P122" s="38"/>
    </row>
    <row r="123">
      <c r="P123" s="38"/>
    </row>
    <row r="124">
      <c r="P124" s="38"/>
    </row>
    <row r="125">
      <c r="P125" s="38"/>
    </row>
    <row r="126">
      <c r="P126" s="38"/>
    </row>
    <row r="127">
      <c r="P127" s="38"/>
    </row>
    <row r="128">
      <c r="P128" s="38"/>
    </row>
    <row r="129">
      <c r="P129" s="38"/>
    </row>
    <row r="130">
      <c r="P130" s="38"/>
    </row>
    <row r="131">
      <c r="P131" s="38"/>
    </row>
    <row r="132">
      <c r="P132" s="38"/>
    </row>
    <row r="133">
      <c r="P133" s="38"/>
    </row>
    <row r="134">
      <c r="P134" s="38"/>
    </row>
    <row r="135">
      <c r="P135" s="38"/>
    </row>
    <row r="136">
      <c r="P136" s="38"/>
    </row>
    <row r="137">
      <c r="P137" s="38"/>
    </row>
    <row r="138">
      <c r="P138" s="38"/>
    </row>
    <row r="139">
      <c r="P139" s="38"/>
    </row>
    <row r="140">
      <c r="P140" s="38"/>
    </row>
    <row r="141">
      <c r="P141" s="38"/>
    </row>
    <row r="142">
      <c r="P142" s="38"/>
    </row>
    <row r="143">
      <c r="P143" s="38"/>
    </row>
    <row r="144">
      <c r="P144" s="38"/>
    </row>
    <row r="145">
      <c r="P145" s="38"/>
    </row>
    <row r="146">
      <c r="P146" s="38"/>
    </row>
    <row r="147">
      <c r="P147" s="38"/>
    </row>
    <row r="148">
      <c r="P148" s="38"/>
    </row>
    <row r="149">
      <c r="P149" s="38"/>
    </row>
    <row r="150">
      <c r="P150" s="38"/>
    </row>
    <row r="151">
      <c r="P151" s="38"/>
    </row>
    <row r="152">
      <c r="P152" s="38"/>
    </row>
    <row r="153">
      <c r="P153" s="38"/>
    </row>
    <row r="154">
      <c r="P154" s="38"/>
    </row>
    <row r="155">
      <c r="P155" s="38"/>
    </row>
    <row r="156">
      <c r="P156" s="38"/>
    </row>
    <row r="157">
      <c r="P157" s="38"/>
    </row>
    <row r="158">
      <c r="P158" s="38"/>
    </row>
    <row r="159">
      <c r="P159" s="38"/>
    </row>
    <row r="160">
      <c r="P160" s="38"/>
    </row>
    <row r="161">
      <c r="P161" s="38"/>
    </row>
    <row r="162">
      <c r="P162" s="38"/>
    </row>
    <row r="163">
      <c r="P163" s="38"/>
    </row>
    <row r="164">
      <c r="P164" s="38"/>
    </row>
    <row r="165">
      <c r="P165" s="38"/>
    </row>
    <row r="166">
      <c r="P166" s="38"/>
    </row>
    <row r="167">
      <c r="P167" s="38"/>
    </row>
    <row r="168">
      <c r="P168" s="38"/>
    </row>
    <row r="169">
      <c r="P169" s="38"/>
    </row>
    <row r="170">
      <c r="P170" s="38"/>
    </row>
    <row r="171">
      <c r="P171" s="38"/>
    </row>
    <row r="172">
      <c r="P172" s="38"/>
    </row>
    <row r="173">
      <c r="P173" s="38"/>
    </row>
    <row r="174">
      <c r="P174" s="38"/>
    </row>
    <row r="175">
      <c r="P175" s="38"/>
    </row>
    <row r="176">
      <c r="P176" s="38"/>
    </row>
    <row r="177">
      <c r="P177" s="38"/>
    </row>
    <row r="178">
      <c r="P178" s="38"/>
    </row>
    <row r="179">
      <c r="P179" s="38"/>
    </row>
    <row r="180">
      <c r="P180" s="38"/>
    </row>
    <row r="181">
      <c r="P181" s="38"/>
    </row>
    <row r="182">
      <c r="P182" s="38"/>
    </row>
    <row r="183">
      <c r="P183" s="38"/>
    </row>
    <row r="184">
      <c r="P184" s="38"/>
    </row>
    <row r="185">
      <c r="P185" s="38"/>
    </row>
    <row r="186">
      <c r="P186" s="38"/>
    </row>
    <row r="187">
      <c r="P187" s="38"/>
    </row>
    <row r="188">
      <c r="P188" s="38"/>
    </row>
    <row r="189">
      <c r="P189" s="38"/>
    </row>
    <row r="190">
      <c r="P190" s="38"/>
    </row>
    <row r="191">
      <c r="P191" s="38"/>
    </row>
    <row r="192">
      <c r="P192" s="38"/>
    </row>
    <row r="193">
      <c r="P193" s="38"/>
    </row>
    <row r="194">
      <c r="P194" s="38"/>
    </row>
    <row r="195">
      <c r="P195" s="38"/>
    </row>
    <row r="196">
      <c r="P196" s="38"/>
    </row>
    <row r="197">
      <c r="P197" s="38"/>
    </row>
    <row r="198">
      <c r="P198" s="38"/>
    </row>
    <row r="199">
      <c r="P199" s="38"/>
    </row>
    <row r="200">
      <c r="P200" s="38"/>
    </row>
    <row r="201">
      <c r="P201" s="38"/>
    </row>
    <row r="202">
      <c r="P202" s="38"/>
    </row>
    <row r="203">
      <c r="P203" s="38"/>
    </row>
    <row r="204">
      <c r="P204" s="38"/>
    </row>
    <row r="205">
      <c r="P205" s="38"/>
    </row>
    <row r="206">
      <c r="P206" s="38"/>
    </row>
    <row r="207">
      <c r="P207" s="38"/>
    </row>
    <row r="208">
      <c r="P208" s="38"/>
    </row>
    <row r="209">
      <c r="P209" s="38"/>
    </row>
    <row r="210">
      <c r="P210" s="38"/>
    </row>
    <row r="211">
      <c r="P211" s="38"/>
    </row>
    <row r="212">
      <c r="P212" s="38"/>
    </row>
    <row r="213">
      <c r="P213" s="38"/>
    </row>
    <row r="214">
      <c r="P214" s="38"/>
    </row>
    <row r="215">
      <c r="P215" s="38"/>
    </row>
    <row r="216">
      <c r="P216" s="38"/>
    </row>
    <row r="217">
      <c r="P217" s="38"/>
    </row>
    <row r="218">
      <c r="P218" s="38"/>
    </row>
    <row r="219">
      <c r="P219" s="38"/>
    </row>
    <row r="220">
      <c r="P220" s="38"/>
    </row>
    <row r="221">
      <c r="P221" s="38"/>
    </row>
    <row r="222">
      <c r="P222" s="38"/>
    </row>
    <row r="223">
      <c r="P223" s="38"/>
    </row>
    <row r="224">
      <c r="P224" s="38"/>
    </row>
    <row r="225">
      <c r="P225" s="38"/>
    </row>
    <row r="226">
      <c r="P226" s="38"/>
    </row>
    <row r="227">
      <c r="P227" s="38"/>
    </row>
    <row r="228">
      <c r="P228" s="38"/>
    </row>
    <row r="229">
      <c r="P229" s="38"/>
    </row>
    <row r="230">
      <c r="P230" s="38"/>
    </row>
    <row r="231">
      <c r="P231" s="38"/>
    </row>
    <row r="232">
      <c r="P232" s="38"/>
    </row>
    <row r="233">
      <c r="P233" s="38"/>
    </row>
    <row r="234">
      <c r="P234" s="38"/>
    </row>
    <row r="235">
      <c r="P235" s="38"/>
    </row>
    <row r="236">
      <c r="P236" s="38"/>
    </row>
    <row r="237">
      <c r="P237" s="38"/>
    </row>
    <row r="238">
      <c r="P238" s="38"/>
    </row>
    <row r="239">
      <c r="P239" s="38"/>
    </row>
    <row r="240">
      <c r="P240" s="38"/>
    </row>
    <row r="241">
      <c r="P241" s="38"/>
    </row>
    <row r="242">
      <c r="P242" s="38"/>
    </row>
    <row r="243">
      <c r="P243" s="38"/>
    </row>
    <row r="244">
      <c r="P244" s="38"/>
    </row>
    <row r="245">
      <c r="P245" s="38"/>
    </row>
    <row r="246">
      <c r="P246" s="38"/>
    </row>
    <row r="247">
      <c r="P247" s="38"/>
    </row>
    <row r="248">
      <c r="P248" s="38"/>
    </row>
    <row r="249">
      <c r="P249" s="38"/>
    </row>
    <row r="250">
      <c r="P250" s="38"/>
    </row>
    <row r="251">
      <c r="P251" s="38"/>
    </row>
    <row r="252">
      <c r="P252" s="38"/>
    </row>
    <row r="253">
      <c r="P253" s="38"/>
    </row>
    <row r="254">
      <c r="P254" s="38"/>
    </row>
    <row r="255">
      <c r="P255" s="38"/>
    </row>
    <row r="256">
      <c r="P256" s="38"/>
    </row>
    <row r="257">
      <c r="P257" s="38"/>
    </row>
    <row r="258">
      <c r="P258" s="38"/>
    </row>
    <row r="259">
      <c r="P259" s="38"/>
    </row>
    <row r="260">
      <c r="P260" s="38"/>
    </row>
    <row r="261">
      <c r="P261" s="38"/>
    </row>
    <row r="262">
      <c r="P262" s="38"/>
    </row>
    <row r="263">
      <c r="P263" s="38"/>
    </row>
    <row r="264">
      <c r="P264" s="38"/>
    </row>
    <row r="265">
      <c r="P265" s="38"/>
    </row>
    <row r="266">
      <c r="P266" s="38"/>
    </row>
    <row r="267">
      <c r="P267" s="38"/>
    </row>
    <row r="268">
      <c r="P268" s="38"/>
    </row>
    <row r="269">
      <c r="P269" s="38"/>
    </row>
    <row r="270">
      <c r="P270" s="38"/>
    </row>
    <row r="271">
      <c r="P271" s="38"/>
    </row>
    <row r="272">
      <c r="P272" s="38"/>
    </row>
    <row r="273">
      <c r="P273" s="38"/>
    </row>
    <row r="274">
      <c r="P274" s="38"/>
    </row>
    <row r="275">
      <c r="P275" s="38"/>
    </row>
    <row r="276">
      <c r="P276" s="38"/>
    </row>
    <row r="277">
      <c r="P277" s="38"/>
    </row>
    <row r="278">
      <c r="P278" s="38"/>
    </row>
    <row r="279">
      <c r="P279" s="38"/>
    </row>
    <row r="280">
      <c r="P280" s="38"/>
    </row>
    <row r="281">
      <c r="P281" s="38"/>
    </row>
    <row r="282">
      <c r="P282" s="38"/>
    </row>
    <row r="283">
      <c r="P283" s="38"/>
    </row>
    <row r="284">
      <c r="P284" s="38"/>
    </row>
    <row r="285">
      <c r="P285" s="38"/>
    </row>
    <row r="286">
      <c r="P286" s="38"/>
    </row>
    <row r="287">
      <c r="P287" s="38"/>
    </row>
    <row r="288">
      <c r="P288" s="38"/>
    </row>
    <row r="289">
      <c r="P289" s="38"/>
    </row>
    <row r="290">
      <c r="P290" s="38"/>
    </row>
    <row r="291">
      <c r="P291" s="38"/>
    </row>
    <row r="292">
      <c r="P292" s="38"/>
    </row>
    <row r="293">
      <c r="P293" s="38"/>
    </row>
    <row r="294">
      <c r="P294" s="38"/>
    </row>
    <row r="295">
      <c r="P295" s="38"/>
    </row>
    <row r="296">
      <c r="P296" s="38"/>
    </row>
    <row r="297">
      <c r="P297" s="38"/>
    </row>
    <row r="298">
      <c r="P298" s="38"/>
    </row>
    <row r="299">
      <c r="P299" s="38"/>
    </row>
    <row r="300">
      <c r="P300" s="38"/>
    </row>
    <row r="301">
      <c r="P301" s="38"/>
    </row>
    <row r="302">
      <c r="P302" s="38"/>
    </row>
    <row r="303">
      <c r="P303" s="38"/>
    </row>
    <row r="304">
      <c r="P304" s="38"/>
    </row>
    <row r="305">
      <c r="P305" s="38"/>
    </row>
    <row r="306">
      <c r="P306" s="38"/>
    </row>
    <row r="307">
      <c r="P307" s="38"/>
    </row>
    <row r="308">
      <c r="P308" s="38"/>
    </row>
    <row r="309">
      <c r="P309" s="38"/>
    </row>
    <row r="310">
      <c r="P310" s="38"/>
    </row>
    <row r="311">
      <c r="P311" s="38"/>
    </row>
    <row r="312">
      <c r="P312" s="38"/>
    </row>
    <row r="313">
      <c r="P313" s="38"/>
    </row>
    <row r="314">
      <c r="P314" s="38"/>
    </row>
    <row r="315">
      <c r="P315" s="38"/>
    </row>
    <row r="316">
      <c r="P316" s="38"/>
    </row>
    <row r="317">
      <c r="P317" s="38"/>
    </row>
    <row r="318">
      <c r="P318" s="38"/>
    </row>
    <row r="319">
      <c r="P319" s="38"/>
    </row>
    <row r="320">
      <c r="P320" s="38"/>
    </row>
    <row r="321">
      <c r="P321" s="38"/>
    </row>
    <row r="322">
      <c r="P322" s="38"/>
    </row>
    <row r="323">
      <c r="P323" s="38"/>
    </row>
    <row r="324">
      <c r="P324" s="38"/>
    </row>
    <row r="325">
      <c r="P325" s="38"/>
    </row>
    <row r="326">
      <c r="P326" s="38"/>
    </row>
    <row r="327">
      <c r="P327" s="38"/>
    </row>
    <row r="328">
      <c r="P328" s="38"/>
    </row>
    <row r="329">
      <c r="P329" s="38"/>
    </row>
    <row r="330">
      <c r="P330" s="38"/>
    </row>
    <row r="331">
      <c r="P331" s="38"/>
    </row>
    <row r="332">
      <c r="P332" s="38"/>
    </row>
    <row r="333">
      <c r="P333" s="38"/>
    </row>
    <row r="334">
      <c r="P334" s="38"/>
    </row>
    <row r="335">
      <c r="P335" s="38"/>
    </row>
    <row r="336">
      <c r="P336" s="38"/>
    </row>
    <row r="337">
      <c r="P337" s="38"/>
    </row>
    <row r="338">
      <c r="P338" s="38"/>
    </row>
    <row r="339">
      <c r="P339" s="38"/>
    </row>
    <row r="340">
      <c r="P340" s="38"/>
    </row>
    <row r="341">
      <c r="P341" s="38"/>
    </row>
    <row r="342">
      <c r="P342" s="38"/>
    </row>
    <row r="343">
      <c r="P343" s="38"/>
    </row>
    <row r="344">
      <c r="P344" s="38"/>
    </row>
    <row r="345">
      <c r="P345" s="38"/>
    </row>
    <row r="346">
      <c r="P346" s="38"/>
    </row>
    <row r="347">
      <c r="P347" s="38"/>
    </row>
    <row r="348">
      <c r="P348" s="38"/>
    </row>
    <row r="349">
      <c r="P349" s="38"/>
    </row>
    <row r="350">
      <c r="P350" s="38"/>
    </row>
    <row r="351">
      <c r="P351" s="38"/>
    </row>
    <row r="352">
      <c r="P352" s="38"/>
    </row>
    <row r="353">
      <c r="P353" s="38"/>
    </row>
    <row r="354">
      <c r="P354" s="38"/>
    </row>
    <row r="355">
      <c r="P355" s="38"/>
    </row>
    <row r="356">
      <c r="P356" s="38"/>
    </row>
    <row r="357">
      <c r="P357" s="38"/>
    </row>
    <row r="358">
      <c r="P358" s="38"/>
    </row>
    <row r="359">
      <c r="P359" s="38"/>
    </row>
    <row r="360">
      <c r="P360" s="38"/>
    </row>
    <row r="361">
      <c r="P361" s="38"/>
    </row>
    <row r="362">
      <c r="P362" s="38"/>
    </row>
    <row r="363">
      <c r="P363" s="38"/>
    </row>
    <row r="364">
      <c r="P364" s="38"/>
    </row>
    <row r="365">
      <c r="P365" s="38"/>
    </row>
    <row r="366">
      <c r="P366" s="38"/>
    </row>
    <row r="367">
      <c r="P367" s="38"/>
    </row>
    <row r="368">
      <c r="P368" s="38"/>
    </row>
    <row r="369">
      <c r="P369" s="38"/>
    </row>
    <row r="370">
      <c r="P370" s="38"/>
    </row>
    <row r="371">
      <c r="P371" s="38"/>
    </row>
    <row r="372">
      <c r="P372" s="38"/>
    </row>
    <row r="373">
      <c r="P373" s="38"/>
    </row>
    <row r="374">
      <c r="P374" s="38"/>
    </row>
    <row r="375">
      <c r="P375" s="38"/>
    </row>
    <row r="376">
      <c r="P376" s="38"/>
    </row>
    <row r="377">
      <c r="P377" s="38"/>
    </row>
    <row r="378">
      <c r="P378" s="38"/>
    </row>
    <row r="379">
      <c r="P379" s="38"/>
    </row>
    <row r="380">
      <c r="P380" s="38"/>
    </row>
    <row r="381">
      <c r="P381" s="38"/>
    </row>
    <row r="382">
      <c r="P382" s="38"/>
    </row>
    <row r="383">
      <c r="P383" s="38"/>
    </row>
    <row r="384">
      <c r="P384" s="38"/>
    </row>
    <row r="385">
      <c r="P385" s="38"/>
    </row>
    <row r="386">
      <c r="P386" s="38"/>
    </row>
    <row r="387">
      <c r="P387" s="38"/>
    </row>
    <row r="388">
      <c r="P388" s="38"/>
    </row>
    <row r="389">
      <c r="P389" s="38"/>
    </row>
    <row r="390">
      <c r="P390" s="38"/>
    </row>
    <row r="391">
      <c r="P391" s="38"/>
    </row>
    <row r="392">
      <c r="P392" s="38"/>
    </row>
    <row r="393">
      <c r="P393" s="38"/>
    </row>
    <row r="394">
      <c r="P394" s="38"/>
    </row>
    <row r="395">
      <c r="P395" s="38"/>
    </row>
    <row r="396">
      <c r="P396" s="38"/>
    </row>
    <row r="397">
      <c r="P397" s="38"/>
    </row>
    <row r="398">
      <c r="P398" s="38"/>
    </row>
    <row r="399">
      <c r="P399" s="38"/>
    </row>
    <row r="400">
      <c r="P400" s="38"/>
    </row>
    <row r="401">
      <c r="P401" s="38"/>
    </row>
    <row r="402">
      <c r="P402" s="38"/>
    </row>
    <row r="403">
      <c r="P403" s="38"/>
    </row>
    <row r="404">
      <c r="P404" s="38"/>
    </row>
    <row r="405">
      <c r="P405" s="38"/>
    </row>
    <row r="406">
      <c r="P406" s="38"/>
    </row>
    <row r="407">
      <c r="P407" s="38"/>
    </row>
    <row r="408">
      <c r="P408" s="38"/>
    </row>
    <row r="409">
      <c r="P409" s="38"/>
    </row>
    <row r="410">
      <c r="P410" s="38"/>
    </row>
    <row r="411">
      <c r="P411" s="38"/>
    </row>
    <row r="412">
      <c r="P412" s="38"/>
    </row>
    <row r="413">
      <c r="P413" s="38"/>
    </row>
    <row r="414">
      <c r="P414" s="38"/>
    </row>
    <row r="415">
      <c r="P415" s="38"/>
    </row>
    <row r="416">
      <c r="P416" s="38"/>
    </row>
    <row r="417">
      <c r="P417" s="38"/>
    </row>
    <row r="418">
      <c r="P418" s="38"/>
    </row>
    <row r="419">
      <c r="P419" s="38"/>
    </row>
    <row r="420">
      <c r="P420" s="38"/>
    </row>
    <row r="421">
      <c r="P421" s="38"/>
    </row>
    <row r="422">
      <c r="P422" s="38"/>
    </row>
    <row r="423">
      <c r="P423" s="38"/>
    </row>
    <row r="424">
      <c r="P424" s="38"/>
    </row>
    <row r="425">
      <c r="P425" s="38"/>
    </row>
    <row r="426">
      <c r="P426" s="38"/>
    </row>
    <row r="427">
      <c r="P427" s="38"/>
    </row>
    <row r="428">
      <c r="P428" s="38"/>
    </row>
    <row r="429">
      <c r="P429" s="38"/>
    </row>
    <row r="430">
      <c r="P430" s="38"/>
    </row>
    <row r="431">
      <c r="P431" s="38"/>
    </row>
    <row r="432">
      <c r="P432" s="38"/>
    </row>
    <row r="433">
      <c r="P433" s="38"/>
    </row>
    <row r="434">
      <c r="P434" s="38"/>
    </row>
    <row r="435">
      <c r="P435" s="38"/>
    </row>
    <row r="436">
      <c r="P436" s="38"/>
    </row>
    <row r="437">
      <c r="P437" s="38"/>
    </row>
    <row r="438">
      <c r="P438" s="38"/>
    </row>
    <row r="439">
      <c r="P439" s="38"/>
    </row>
    <row r="440">
      <c r="P440" s="38"/>
    </row>
    <row r="441">
      <c r="P441" s="38"/>
    </row>
    <row r="442">
      <c r="P442" s="38"/>
    </row>
    <row r="443">
      <c r="P443" s="38"/>
    </row>
    <row r="444">
      <c r="P444" s="38"/>
    </row>
    <row r="445">
      <c r="P445" s="38"/>
    </row>
    <row r="446">
      <c r="P446" s="38"/>
    </row>
    <row r="447">
      <c r="P447" s="38"/>
    </row>
    <row r="448">
      <c r="P448" s="38"/>
    </row>
    <row r="449">
      <c r="P449" s="38"/>
    </row>
    <row r="450">
      <c r="P450" s="38"/>
    </row>
    <row r="451">
      <c r="P451" s="38"/>
    </row>
    <row r="452">
      <c r="P452" s="38"/>
    </row>
    <row r="453">
      <c r="P453" s="38"/>
    </row>
    <row r="454">
      <c r="P454" s="38"/>
    </row>
    <row r="455">
      <c r="P455" s="38"/>
    </row>
    <row r="456">
      <c r="P456" s="38"/>
    </row>
    <row r="457">
      <c r="P457" s="38"/>
    </row>
    <row r="458">
      <c r="P458" s="38"/>
    </row>
    <row r="459">
      <c r="P459" s="38"/>
    </row>
    <row r="460">
      <c r="P460" s="38"/>
    </row>
    <row r="461">
      <c r="P461" s="38"/>
    </row>
    <row r="462">
      <c r="P462" s="38"/>
    </row>
    <row r="463">
      <c r="P463" s="38"/>
    </row>
    <row r="464">
      <c r="P464" s="38"/>
    </row>
    <row r="465">
      <c r="P465" s="38"/>
    </row>
    <row r="466">
      <c r="P466" s="38"/>
    </row>
    <row r="467">
      <c r="P467" s="38"/>
    </row>
    <row r="468">
      <c r="P468" s="38"/>
    </row>
    <row r="469">
      <c r="P469" s="38"/>
    </row>
    <row r="470">
      <c r="P470" s="38"/>
    </row>
    <row r="471">
      <c r="P471" s="38"/>
    </row>
    <row r="472">
      <c r="P472" s="38"/>
    </row>
    <row r="473">
      <c r="P473" s="38"/>
    </row>
    <row r="474">
      <c r="P474" s="38"/>
    </row>
    <row r="475">
      <c r="P475" s="38"/>
    </row>
    <row r="476">
      <c r="P476" s="38"/>
    </row>
    <row r="477">
      <c r="P477" s="38"/>
    </row>
    <row r="478">
      <c r="P478" s="38"/>
    </row>
    <row r="479">
      <c r="P479" s="38"/>
    </row>
    <row r="480">
      <c r="P480" s="38"/>
    </row>
    <row r="481">
      <c r="P481" s="38"/>
    </row>
    <row r="482">
      <c r="P482" s="38"/>
    </row>
    <row r="483">
      <c r="P483" s="38"/>
    </row>
    <row r="484">
      <c r="P484" s="38"/>
    </row>
    <row r="485">
      <c r="P485" s="38"/>
    </row>
    <row r="486">
      <c r="P486" s="38"/>
    </row>
    <row r="487">
      <c r="P487" s="38"/>
    </row>
    <row r="488">
      <c r="P488" s="38"/>
    </row>
    <row r="489">
      <c r="P489" s="38"/>
    </row>
    <row r="490">
      <c r="P490" s="38"/>
    </row>
    <row r="491">
      <c r="P491" s="38"/>
    </row>
    <row r="492">
      <c r="P492" s="38"/>
    </row>
    <row r="493">
      <c r="P493" s="38"/>
    </row>
    <row r="494">
      <c r="P494" s="38"/>
    </row>
    <row r="495">
      <c r="P495" s="38"/>
    </row>
    <row r="496">
      <c r="P496" s="38"/>
    </row>
    <row r="497">
      <c r="P497" s="38"/>
    </row>
    <row r="498">
      <c r="P498" s="38"/>
    </row>
    <row r="499">
      <c r="P499" s="38"/>
    </row>
    <row r="500">
      <c r="P500" s="38"/>
    </row>
    <row r="501">
      <c r="P501" s="38"/>
    </row>
    <row r="502">
      <c r="P502" s="38"/>
    </row>
    <row r="503">
      <c r="P503" s="38"/>
    </row>
    <row r="504">
      <c r="P504" s="38"/>
    </row>
    <row r="505">
      <c r="P505" s="38"/>
    </row>
    <row r="506">
      <c r="P506" s="38"/>
    </row>
    <row r="507">
      <c r="P507" s="38"/>
    </row>
    <row r="508">
      <c r="P508" s="38"/>
    </row>
    <row r="509">
      <c r="P509" s="38"/>
    </row>
    <row r="510">
      <c r="P510" s="38"/>
    </row>
    <row r="511">
      <c r="P511" s="38"/>
    </row>
    <row r="512">
      <c r="P512" s="38"/>
    </row>
    <row r="513">
      <c r="P513" s="38"/>
    </row>
    <row r="514">
      <c r="P514" s="38"/>
    </row>
    <row r="515">
      <c r="P515" s="38"/>
    </row>
    <row r="516">
      <c r="P516" s="38"/>
    </row>
    <row r="517">
      <c r="P517" s="38"/>
    </row>
    <row r="518">
      <c r="P518" s="38"/>
    </row>
    <row r="519">
      <c r="P519" s="38"/>
    </row>
    <row r="520">
      <c r="P520" s="38"/>
    </row>
    <row r="521">
      <c r="P521" s="38"/>
    </row>
    <row r="522">
      <c r="P522" s="38"/>
    </row>
    <row r="523">
      <c r="P523" s="38"/>
    </row>
    <row r="524">
      <c r="P524" s="38"/>
    </row>
    <row r="525">
      <c r="P525" s="38"/>
    </row>
    <row r="526">
      <c r="P526" s="38"/>
    </row>
    <row r="527">
      <c r="P527" s="38"/>
    </row>
    <row r="528">
      <c r="P528" s="38"/>
    </row>
    <row r="529">
      <c r="P529" s="38"/>
    </row>
    <row r="530">
      <c r="P530" s="38"/>
    </row>
    <row r="531">
      <c r="P531" s="38"/>
    </row>
    <row r="532">
      <c r="P532" s="38"/>
    </row>
    <row r="533">
      <c r="P533" s="38"/>
    </row>
    <row r="534">
      <c r="P534" s="38"/>
    </row>
    <row r="535">
      <c r="P535" s="38"/>
    </row>
    <row r="536">
      <c r="P536" s="38"/>
    </row>
    <row r="537">
      <c r="P537" s="38"/>
    </row>
    <row r="538">
      <c r="P538" s="38"/>
    </row>
    <row r="539">
      <c r="P539" s="38"/>
    </row>
    <row r="540">
      <c r="P540" s="38"/>
    </row>
    <row r="541">
      <c r="P541" s="38"/>
    </row>
    <row r="542">
      <c r="P542" s="38"/>
    </row>
    <row r="543">
      <c r="P543" s="38"/>
    </row>
    <row r="544">
      <c r="P544" s="38"/>
    </row>
    <row r="545">
      <c r="P545" s="38"/>
    </row>
    <row r="546">
      <c r="P546" s="38"/>
    </row>
    <row r="547">
      <c r="P547" s="38"/>
    </row>
    <row r="548">
      <c r="P548" s="38"/>
    </row>
    <row r="549">
      <c r="P549" s="38"/>
    </row>
    <row r="550">
      <c r="P550" s="38"/>
    </row>
    <row r="551">
      <c r="P551" s="38"/>
    </row>
    <row r="552">
      <c r="P552" s="38"/>
    </row>
    <row r="553">
      <c r="P553" s="38"/>
    </row>
    <row r="554">
      <c r="P554" s="38"/>
    </row>
    <row r="555">
      <c r="P555" s="38"/>
    </row>
    <row r="556">
      <c r="P556" s="38"/>
    </row>
    <row r="557">
      <c r="P557" s="38"/>
    </row>
    <row r="558">
      <c r="P558" s="38"/>
    </row>
    <row r="559">
      <c r="P559" s="38"/>
    </row>
    <row r="560">
      <c r="P560" s="38"/>
    </row>
    <row r="561">
      <c r="P561" s="38"/>
    </row>
    <row r="562">
      <c r="P562" s="38"/>
    </row>
    <row r="563">
      <c r="P563" s="38"/>
    </row>
    <row r="564">
      <c r="P564" s="38"/>
    </row>
    <row r="565">
      <c r="P565" s="38"/>
    </row>
    <row r="566">
      <c r="P566" s="38"/>
    </row>
    <row r="567">
      <c r="P567" s="38"/>
    </row>
    <row r="568">
      <c r="P568" s="38"/>
    </row>
    <row r="569">
      <c r="P569" s="38"/>
    </row>
    <row r="570">
      <c r="P570" s="38"/>
    </row>
    <row r="571">
      <c r="P571" s="38"/>
    </row>
    <row r="572">
      <c r="P572" s="38"/>
    </row>
    <row r="573">
      <c r="P573" s="38"/>
    </row>
    <row r="574">
      <c r="P574" s="38"/>
    </row>
    <row r="575">
      <c r="P575" s="38"/>
    </row>
    <row r="576">
      <c r="P576" s="38"/>
    </row>
    <row r="577">
      <c r="P577" s="38"/>
    </row>
    <row r="578">
      <c r="P578" s="38"/>
    </row>
    <row r="579">
      <c r="P579" s="38"/>
    </row>
    <row r="580">
      <c r="P580" s="38"/>
    </row>
    <row r="581">
      <c r="P581" s="38"/>
    </row>
    <row r="582">
      <c r="P582" s="38"/>
    </row>
    <row r="583">
      <c r="P583" s="38"/>
    </row>
    <row r="584">
      <c r="P584" s="38"/>
    </row>
    <row r="585">
      <c r="P585" s="38"/>
    </row>
    <row r="586">
      <c r="P586" s="38"/>
    </row>
    <row r="587">
      <c r="P587" s="38"/>
    </row>
    <row r="588">
      <c r="P588" s="38"/>
    </row>
    <row r="589">
      <c r="P589" s="38"/>
    </row>
    <row r="590">
      <c r="P590" s="38"/>
    </row>
    <row r="591">
      <c r="P591" s="38"/>
    </row>
    <row r="592">
      <c r="P592" s="38"/>
    </row>
    <row r="593">
      <c r="P593" s="38"/>
    </row>
    <row r="594">
      <c r="P594" s="38"/>
    </row>
    <row r="595">
      <c r="P595" s="38"/>
    </row>
    <row r="596">
      <c r="P596" s="38"/>
    </row>
    <row r="597">
      <c r="P597" s="38"/>
    </row>
    <row r="598">
      <c r="P598" s="38"/>
    </row>
    <row r="599">
      <c r="P599" s="38"/>
    </row>
    <row r="600">
      <c r="P600" s="38"/>
    </row>
    <row r="601">
      <c r="P601" s="38"/>
    </row>
    <row r="602">
      <c r="P602" s="38"/>
    </row>
    <row r="603">
      <c r="P603" s="38"/>
    </row>
    <row r="604">
      <c r="P604" s="38"/>
    </row>
    <row r="605">
      <c r="P605" s="38"/>
    </row>
    <row r="606">
      <c r="P606" s="38"/>
    </row>
    <row r="607">
      <c r="P607" s="38"/>
    </row>
    <row r="608">
      <c r="P608" s="38"/>
    </row>
    <row r="609">
      <c r="P609" s="38"/>
    </row>
    <row r="610">
      <c r="P610" s="38"/>
    </row>
    <row r="611">
      <c r="P611" s="38"/>
    </row>
    <row r="612">
      <c r="P612" s="38"/>
    </row>
    <row r="613">
      <c r="P613" s="38"/>
    </row>
    <row r="614">
      <c r="P614" s="38"/>
    </row>
    <row r="615">
      <c r="P615" s="38"/>
    </row>
    <row r="616">
      <c r="P616" s="38"/>
    </row>
    <row r="617">
      <c r="P617" s="38"/>
    </row>
    <row r="618">
      <c r="P618" s="38"/>
    </row>
    <row r="619">
      <c r="P619" s="38"/>
    </row>
    <row r="620">
      <c r="P620" s="38"/>
    </row>
    <row r="621">
      <c r="P621" s="38"/>
    </row>
    <row r="622">
      <c r="P622" s="38"/>
    </row>
    <row r="623">
      <c r="P623" s="38"/>
    </row>
    <row r="624">
      <c r="P624" s="38"/>
    </row>
    <row r="625">
      <c r="P625" s="38"/>
    </row>
    <row r="626">
      <c r="P626" s="38"/>
    </row>
    <row r="627">
      <c r="P627" s="38"/>
    </row>
    <row r="628">
      <c r="P628" s="38"/>
    </row>
    <row r="629">
      <c r="P629" s="38"/>
    </row>
    <row r="630">
      <c r="P630" s="38"/>
    </row>
    <row r="631">
      <c r="P631" s="38"/>
    </row>
    <row r="632">
      <c r="P632" s="38"/>
    </row>
    <row r="633">
      <c r="P633" s="38"/>
    </row>
    <row r="634">
      <c r="P634" s="38"/>
    </row>
    <row r="635">
      <c r="P635" s="38"/>
    </row>
    <row r="636">
      <c r="P636" s="38"/>
    </row>
    <row r="637">
      <c r="P637" s="38"/>
    </row>
    <row r="638">
      <c r="P638" s="38"/>
    </row>
    <row r="639">
      <c r="P639" s="38"/>
    </row>
    <row r="640">
      <c r="P640" s="38"/>
    </row>
    <row r="641">
      <c r="P641" s="38"/>
    </row>
    <row r="642">
      <c r="P642" s="38"/>
    </row>
    <row r="643">
      <c r="P643" s="38"/>
    </row>
    <row r="644">
      <c r="P644" s="38"/>
    </row>
    <row r="645">
      <c r="P645" s="38"/>
    </row>
    <row r="646">
      <c r="P646" s="38"/>
    </row>
    <row r="647">
      <c r="P647" s="38"/>
    </row>
    <row r="648">
      <c r="P648" s="38"/>
    </row>
    <row r="649">
      <c r="P649" s="38"/>
    </row>
    <row r="650">
      <c r="P650" s="38"/>
    </row>
    <row r="651">
      <c r="P651" s="38"/>
    </row>
    <row r="652">
      <c r="P652" s="38"/>
    </row>
    <row r="653">
      <c r="P653" s="38"/>
    </row>
    <row r="654">
      <c r="P654" s="38"/>
    </row>
    <row r="655">
      <c r="P655" s="38"/>
    </row>
    <row r="656">
      <c r="P656" s="38"/>
    </row>
    <row r="657">
      <c r="P657" s="38"/>
    </row>
    <row r="658">
      <c r="P658" s="38"/>
    </row>
    <row r="659">
      <c r="P659" s="38"/>
    </row>
    <row r="660">
      <c r="P660" s="38"/>
    </row>
    <row r="661">
      <c r="P661" s="38"/>
    </row>
    <row r="662">
      <c r="P662" s="38"/>
    </row>
    <row r="663">
      <c r="P663" s="38"/>
    </row>
    <row r="664">
      <c r="P664" s="38"/>
    </row>
    <row r="665">
      <c r="P665" s="38"/>
    </row>
    <row r="666">
      <c r="P666" s="38"/>
    </row>
    <row r="667">
      <c r="P667" s="38"/>
    </row>
    <row r="668">
      <c r="P668" s="38"/>
    </row>
    <row r="669">
      <c r="P669" s="38"/>
    </row>
    <row r="670">
      <c r="P670" s="38"/>
    </row>
    <row r="671">
      <c r="P671" s="38"/>
    </row>
    <row r="672">
      <c r="P672" s="38"/>
    </row>
    <row r="673">
      <c r="P673" s="38"/>
    </row>
    <row r="674">
      <c r="P674" s="38"/>
    </row>
    <row r="675">
      <c r="P675" s="38"/>
    </row>
    <row r="676">
      <c r="P676" s="38"/>
    </row>
    <row r="677">
      <c r="P677" s="38"/>
    </row>
    <row r="678">
      <c r="P678" s="38"/>
    </row>
    <row r="679">
      <c r="P679" s="38"/>
    </row>
    <row r="680">
      <c r="P680" s="38"/>
    </row>
    <row r="681">
      <c r="P681" s="38"/>
    </row>
    <row r="682">
      <c r="P682" s="38"/>
    </row>
    <row r="683">
      <c r="P683" s="38"/>
    </row>
    <row r="684">
      <c r="P684" s="38"/>
    </row>
    <row r="685">
      <c r="P685" s="38"/>
    </row>
    <row r="686">
      <c r="P686" s="38"/>
    </row>
    <row r="687">
      <c r="P687" s="38"/>
    </row>
    <row r="688">
      <c r="P688" s="38"/>
    </row>
    <row r="689">
      <c r="P689" s="38"/>
    </row>
    <row r="690">
      <c r="P690" s="38"/>
    </row>
    <row r="691">
      <c r="P691" s="38"/>
    </row>
    <row r="692">
      <c r="P692" s="38"/>
    </row>
    <row r="693">
      <c r="P693" s="38"/>
    </row>
    <row r="694">
      <c r="P694" s="38"/>
    </row>
    <row r="695">
      <c r="P695" s="38"/>
    </row>
    <row r="696">
      <c r="P696" s="38"/>
    </row>
    <row r="697">
      <c r="P697" s="38"/>
    </row>
    <row r="698">
      <c r="P698" s="38"/>
    </row>
    <row r="699">
      <c r="P699" s="38"/>
    </row>
    <row r="700">
      <c r="P700" s="38"/>
    </row>
    <row r="701">
      <c r="P701" s="38"/>
    </row>
    <row r="702">
      <c r="P702" s="38"/>
    </row>
    <row r="703">
      <c r="P703" s="38"/>
    </row>
    <row r="704">
      <c r="P704" s="38"/>
    </row>
    <row r="705">
      <c r="P705" s="38"/>
    </row>
    <row r="706">
      <c r="P706" s="38"/>
    </row>
    <row r="707">
      <c r="P707" s="38"/>
    </row>
    <row r="708">
      <c r="P708" s="38"/>
    </row>
    <row r="709">
      <c r="P709" s="38"/>
    </row>
    <row r="710">
      <c r="P710" s="38"/>
    </row>
    <row r="711">
      <c r="P711" s="38"/>
    </row>
    <row r="712">
      <c r="P712" s="38"/>
    </row>
    <row r="713">
      <c r="P713" s="38"/>
    </row>
    <row r="714">
      <c r="P714" s="38"/>
    </row>
    <row r="715">
      <c r="P715" s="38"/>
    </row>
    <row r="716">
      <c r="P716" s="38"/>
    </row>
    <row r="717">
      <c r="P717" s="38"/>
    </row>
    <row r="718">
      <c r="P718" s="38"/>
    </row>
    <row r="719">
      <c r="P719" s="38"/>
    </row>
    <row r="720">
      <c r="P720" s="38"/>
    </row>
    <row r="721">
      <c r="P721" s="38"/>
    </row>
    <row r="722">
      <c r="P722" s="38"/>
    </row>
    <row r="723">
      <c r="P723" s="38"/>
    </row>
    <row r="724">
      <c r="P724" s="38"/>
    </row>
    <row r="725">
      <c r="P725" s="38"/>
    </row>
    <row r="726">
      <c r="P726" s="38"/>
    </row>
    <row r="727">
      <c r="P727" s="38"/>
    </row>
    <row r="728">
      <c r="P728" s="38"/>
    </row>
    <row r="729">
      <c r="P729" s="38"/>
    </row>
    <row r="730">
      <c r="P730" s="38"/>
    </row>
    <row r="731">
      <c r="P731" s="38"/>
    </row>
    <row r="732">
      <c r="P732" s="38"/>
    </row>
    <row r="733">
      <c r="P733" s="38"/>
    </row>
    <row r="734">
      <c r="P734" s="38"/>
    </row>
    <row r="735">
      <c r="P735" s="38"/>
    </row>
    <row r="736">
      <c r="P736" s="38"/>
    </row>
    <row r="737">
      <c r="P737" s="38"/>
    </row>
    <row r="738">
      <c r="P738" s="38"/>
    </row>
    <row r="739">
      <c r="P739" s="38"/>
    </row>
    <row r="740">
      <c r="P740" s="38"/>
    </row>
    <row r="741">
      <c r="P741" s="38"/>
    </row>
    <row r="742">
      <c r="P742" s="38"/>
    </row>
    <row r="743">
      <c r="P743" s="38"/>
    </row>
    <row r="744">
      <c r="P744" s="38"/>
    </row>
    <row r="745">
      <c r="P745" s="38"/>
    </row>
    <row r="746">
      <c r="P746" s="38"/>
    </row>
    <row r="747">
      <c r="P747" s="38"/>
    </row>
    <row r="748">
      <c r="P748" s="38"/>
    </row>
    <row r="749">
      <c r="P749" s="38"/>
    </row>
    <row r="750">
      <c r="P750" s="38"/>
    </row>
    <row r="751">
      <c r="P751" s="38"/>
    </row>
    <row r="752">
      <c r="P752" s="38"/>
    </row>
    <row r="753">
      <c r="P753" s="38"/>
    </row>
    <row r="754">
      <c r="P754" s="38"/>
    </row>
    <row r="755">
      <c r="P755" s="38"/>
    </row>
    <row r="756">
      <c r="P756" s="38"/>
    </row>
    <row r="757">
      <c r="P757" s="38"/>
    </row>
    <row r="758">
      <c r="P758" s="38"/>
    </row>
    <row r="759">
      <c r="P759" s="38"/>
    </row>
    <row r="760">
      <c r="P760" s="38"/>
    </row>
    <row r="761">
      <c r="P761" s="38"/>
    </row>
    <row r="762">
      <c r="P762" s="38"/>
    </row>
    <row r="763">
      <c r="P763" s="38"/>
    </row>
    <row r="764">
      <c r="P764" s="38"/>
    </row>
    <row r="765">
      <c r="P765" s="38"/>
    </row>
    <row r="766">
      <c r="P766" s="38"/>
    </row>
    <row r="767">
      <c r="P767" s="38"/>
    </row>
    <row r="768">
      <c r="P768" s="38"/>
    </row>
    <row r="769">
      <c r="P769" s="38"/>
    </row>
    <row r="770">
      <c r="P770" s="38"/>
    </row>
    <row r="771">
      <c r="P771" s="38"/>
    </row>
    <row r="772">
      <c r="P772" s="38"/>
    </row>
    <row r="773">
      <c r="P773" s="38"/>
    </row>
    <row r="774">
      <c r="P774" s="38"/>
    </row>
    <row r="775">
      <c r="P775" s="38"/>
    </row>
    <row r="776">
      <c r="P776" s="38"/>
    </row>
    <row r="777">
      <c r="P777" s="38"/>
    </row>
    <row r="778">
      <c r="P778" s="38"/>
    </row>
    <row r="779">
      <c r="P779" s="38"/>
    </row>
    <row r="780">
      <c r="P780" s="38"/>
    </row>
    <row r="781">
      <c r="P781" s="38"/>
    </row>
    <row r="782">
      <c r="P782" s="38"/>
    </row>
    <row r="783">
      <c r="P783" s="38"/>
    </row>
    <row r="784">
      <c r="P784" s="38"/>
    </row>
    <row r="785">
      <c r="P785" s="38"/>
    </row>
    <row r="786">
      <c r="P786" s="38"/>
    </row>
    <row r="787">
      <c r="P787" s="38"/>
    </row>
    <row r="788">
      <c r="P788" s="38"/>
    </row>
    <row r="789">
      <c r="P789" s="38"/>
    </row>
    <row r="790">
      <c r="P790" s="38"/>
    </row>
    <row r="791">
      <c r="P791" s="38"/>
    </row>
    <row r="792">
      <c r="P792" s="38"/>
    </row>
    <row r="793">
      <c r="P793" s="38"/>
    </row>
    <row r="794">
      <c r="P794" s="38"/>
    </row>
    <row r="795">
      <c r="P795" s="38"/>
    </row>
    <row r="796">
      <c r="P796" s="38"/>
    </row>
    <row r="797">
      <c r="P797" s="38"/>
    </row>
    <row r="798">
      <c r="P798" s="38"/>
    </row>
    <row r="799">
      <c r="P799" s="38"/>
    </row>
    <row r="800">
      <c r="P800" s="38"/>
    </row>
    <row r="801">
      <c r="P801" s="38"/>
    </row>
    <row r="802">
      <c r="P802" s="38"/>
    </row>
    <row r="803">
      <c r="P803" s="38"/>
    </row>
    <row r="804">
      <c r="P804" s="38"/>
    </row>
    <row r="805">
      <c r="P805" s="38"/>
    </row>
    <row r="806">
      <c r="P806" s="38"/>
    </row>
    <row r="807">
      <c r="P807" s="38"/>
    </row>
    <row r="808">
      <c r="P808" s="38"/>
    </row>
    <row r="809">
      <c r="P809" s="38"/>
    </row>
    <row r="810">
      <c r="P810" s="38"/>
    </row>
    <row r="811">
      <c r="P811" s="38"/>
    </row>
    <row r="812">
      <c r="P812" s="38"/>
    </row>
    <row r="813">
      <c r="P813" s="38"/>
    </row>
    <row r="814">
      <c r="P814" s="38"/>
    </row>
    <row r="815">
      <c r="P815" s="38"/>
    </row>
    <row r="816">
      <c r="P816" s="38"/>
    </row>
    <row r="817">
      <c r="P817" s="38"/>
    </row>
    <row r="818">
      <c r="P818" s="38"/>
    </row>
    <row r="819">
      <c r="P819" s="38"/>
    </row>
    <row r="820">
      <c r="P820" s="38"/>
    </row>
    <row r="821">
      <c r="P821" s="38"/>
    </row>
    <row r="822">
      <c r="P822" s="38"/>
    </row>
    <row r="823">
      <c r="P823" s="38"/>
    </row>
    <row r="824">
      <c r="P824" s="38"/>
    </row>
    <row r="825">
      <c r="P825" s="38"/>
    </row>
    <row r="826">
      <c r="P826" s="38"/>
    </row>
    <row r="827">
      <c r="P827" s="38"/>
    </row>
    <row r="828">
      <c r="P828" s="38"/>
    </row>
    <row r="829">
      <c r="P829" s="38"/>
    </row>
    <row r="830">
      <c r="P830" s="38"/>
    </row>
    <row r="831">
      <c r="P831" s="38"/>
    </row>
    <row r="832">
      <c r="P832" s="38"/>
    </row>
    <row r="833">
      <c r="P833" s="38"/>
    </row>
    <row r="834">
      <c r="P834" s="38"/>
    </row>
    <row r="835">
      <c r="P835" s="38"/>
    </row>
    <row r="836">
      <c r="P836" s="38"/>
    </row>
    <row r="837">
      <c r="P837" s="38"/>
    </row>
    <row r="838">
      <c r="P838" s="38"/>
    </row>
    <row r="839">
      <c r="P839" s="38"/>
    </row>
    <row r="840">
      <c r="P840" s="38"/>
    </row>
    <row r="841">
      <c r="P841" s="38"/>
    </row>
    <row r="842">
      <c r="P842" s="38"/>
    </row>
    <row r="843">
      <c r="P843" s="38"/>
    </row>
    <row r="844">
      <c r="P844" s="38"/>
    </row>
    <row r="845">
      <c r="P845" s="38"/>
    </row>
    <row r="846">
      <c r="P846" s="38"/>
    </row>
    <row r="847">
      <c r="P847" s="38"/>
    </row>
    <row r="848">
      <c r="P848" s="38"/>
    </row>
    <row r="849">
      <c r="P849" s="38"/>
    </row>
    <row r="850">
      <c r="P850" s="38"/>
    </row>
    <row r="851">
      <c r="P851" s="38"/>
    </row>
    <row r="852">
      <c r="P852" s="38"/>
    </row>
    <row r="853">
      <c r="P853" s="38"/>
    </row>
    <row r="854">
      <c r="P854" s="38"/>
    </row>
    <row r="855">
      <c r="P855" s="38"/>
    </row>
    <row r="856">
      <c r="P856" s="38"/>
    </row>
    <row r="857">
      <c r="P857" s="38"/>
    </row>
    <row r="858">
      <c r="P858" s="38"/>
    </row>
    <row r="859">
      <c r="P859" s="38"/>
    </row>
    <row r="860">
      <c r="P860" s="38"/>
    </row>
    <row r="861">
      <c r="P861" s="38"/>
    </row>
    <row r="862">
      <c r="P862" s="38"/>
    </row>
    <row r="863">
      <c r="P863" s="38"/>
    </row>
    <row r="864">
      <c r="P864" s="38"/>
    </row>
    <row r="865">
      <c r="P865" s="38"/>
    </row>
    <row r="866">
      <c r="P866" s="38"/>
    </row>
    <row r="867">
      <c r="P867" s="38"/>
    </row>
    <row r="868">
      <c r="P868" s="38"/>
    </row>
    <row r="869">
      <c r="P869" s="38"/>
    </row>
    <row r="870">
      <c r="P870" s="38"/>
    </row>
    <row r="871">
      <c r="P871" s="38"/>
    </row>
    <row r="872">
      <c r="P872" s="38"/>
    </row>
    <row r="873">
      <c r="P873" s="38"/>
    </row>
    <row r="874">
      <c r="P874" s="38"/>
    </row>
    <row r="875">
      <c r="P875" s="38"/>
    </row>
    <row r="876">
      <c r="P876" s="38"/>
    </row>
    <row r="877">
      <c r="P877" s="38"/>
    </row>
    <row r="878">
      <c r="P878" s="38"/>
    </row>
    <row r="879">
      <c r="P879" s="38"/>
    </row>
    <row r="880">
      <c r="P880" s="38"/>
    </row>
    <row r="881">
      <c r="P881" s="38"/>
    </row>
    <row r="882">
      <c r="P882" s="38"/>
    </row>
    <row r="883">
      <c r="P883" s="38"/>
    </row>
    <row r="884">
      <c r="P884" s="38"/>
    </row>
    <row r="885">
      <c r="P885" s="38"/>
    </row>
    <row r="886">
      <c r="P886" s="38"/>
    </row>
    <row r="887">
      <c r="P887" s="38"/>
    </row>
    <row r="888">
      <c r="P888" s="38"/>
    </row>
    <row r="889">
      <c r="P889" s="38"/>
    </row>
    <row r="890">
      <c r="P890" s="38"/>
    </row>
    <row r="891">
      <c r="P891" s="38"/>
    </row>
    <row r="892">
      <c r="P892" s="38"/>
    </row>
    <row r="893">
      <c r="P893" s="38"/>
    </row>
    <row r="894">
      <c r="P894" s="38"/>
    </row>
    <row r="895">
      <c r="P895" s="38"/>
    </row>
    <row r="896">
      <c r="P896" s="38"/>
    </row>
    <row r="897">
      <c r="P897" s="38"/>
    </row>
    <row r="898">
      <c r="P898" s="38"/>
    </row>
    <row r="899">
      <c r="P899" s="38"/>
    </row>
    <row r="900">
      <c r="P900" s="38"/>
    </row>
    <row r="901">
      <c r="P901" s="38"/>
    </row>
    <row r="902">
      <c r="P902" s="38"/>
    </row>
    <row r="903">
      <c r="P903" s="38"/>
    </row>
    <row r="904">
      <c r="P904" s="38"/>
    </row>
    <row r="905">
      <c r="P905" s="38"/>
    </row>
    <row r="906">
      <c r="P906" s="38"/>
    </row>
    <row r="907">
      <c r="P907" s="38"/>
    </row>
    <row r="908">
      <c r="P908" s="38"/>
    </row>
    <row r="909">
      <c r="P909" s="38"/>
    </row>
    <row r="910">
      <c r="P910" s="38"/>
    </row>
    <row r="911">
      <c r="P911" s="38"/>
    </row>
    <row r="912">
      <c r="P912" s="38"/>
    </row>
    <row r="913">
      <c r="P913" s="38"/>
    </row>
    <row r="914">
      <c r="P914" s="38"/>
    </row>
    <row r="915">
      <c r="P915" s="38"/>
    </row>
    <row r="916">
      <c r="P916" s="38"/>
    </row>
    <row r="917">
      <c r="P917" s="38"/>
    </row>
    <row r="918">
      <c r="P918" s="38"/>
    </row>
    <row r="919">
      <c r="P919" s="38"/>
    </row>
    <row r="920">
      <c r="P920" s="38"/>
    </row>
    <row r="921">
      <c r="P921" s="38"/>
    </row>
    <row r="922">
      <c r="P922" s="38"/>
    </row>
    <row r="923">
      <c r="P923" s="38"/>
    </row>
    <row r="924">
      <c r="P924" s="38"/>
    </row>
    <row r="925">
      <c r="P925" s="38"/>
    </row>
    <row r="926">
      <c r="P926" s="38"/>
    </row>
    <row r="927">
      <c r="P927" s="38"/>
    </row>
    <row r="928">
      <c r="P928" s="38"/>
    </row>
    <row r="929">
      <c r="P929" s="38"/>
    </row>
    <row r="930">
      <c r="P930" s="38"/>
    </row>
    <row r="931">
      <c r="P931" s="38"/>
    </row>
    <row r="932">
      <c r="P932" s="38"/>
    </row>
    <row r="933">
      <c r="P933" s="38"/>
    </row>
    <row r="934">
      <c r="P934" s="38"/>
    </row>
    <row r="935">
      <c r="P935" s="38"/>
    </row>
    <row r="936">
      <c r="P936" s="38"/>
    </row>
    <row r="937">
      <c r="P937" s="38"/>
    </row>
    <row r="938">
      <c r="P938" s="38"/>
    </row>
    <row r="939">
      <c r="P939" s="38"/>
    </row>
    <row r="940">
      <c r="P940" s="38"/>
    </row>
    <row r="941">
      <c r="P941" s="38"/>
    </row>
    <row r="942">
      <c r="P942" s="38"/>
    </row>
    <row r="943">
      <c r="P943" s="38"/>
    </row>
    <row r="944">
      <c r="P944" s="38"/>
    </row>
    <row r="945">
      <c r="P945" s="38"/>
    </row>
    <row r="946">
      <c r="P946" s="38"/>
    </row>
    <row r="947">
      <c r="P947" s="38"/>
    </row>
    <row r="948">
      <c r="P948" s="38"/>
    </row>
    <row r="949">
      <c r="P949" s="38"/>
    </row>
    <row r="950">
      <c r="P950" s="38"/>
    </row>
    <row r="951">
      <c r="P951" s="38"/>
    </row>
    <row r="952">
      <c r="P952" s="38"/>
    </row>
    <row r="953">
      <c r="P953" s="38"/>
    </row>
    <row r="954">
      <c r="P954" s="38"/>
    </row>
    <row r="955">
      <c r="P955" s="38"/>
    </row>
    <row r="956">
      <c r="P956" s="38"/>
    </row>
    <row r="957">
      <c r="P957" s="38"/>
    </row>
    <row r="958">
      <c r="P958" s="38"/>
    </row>
    <row r="959">
      <c r="P959" s="38"/>
    </row>
    <row r="960">
      <c r="P960" s="38"/>
    </row>
    <row r="961">
      <c r="P961" s="38"/>
    </row>
    <row r="962">
      <c r="P962" s="38"/>
    </row>
    <row r="963">
      <c r="P963" s="38"/>
    </row>
    <row r="964">
      <c r="P964" s="38"/>
    </row>
    <row r="965">
      <c r="P965" s="38"/>
    </row>
    <row r="966">
      <c r="P966" s="38"/>
    </row>
    <row r="967">
      <c r="P967" s="38"/>
    </row>
    <row r="968">
      <c r="P968" s="38"/>
    </row>
    <row r="969">
      <c r="P969" s="38"/>
    </row>
    <row r="970">
      <c r="P970" s="38"/>
    </row>
    <row r="971">
      <c r="P971" s="38"/>
    </row>
    <row r="972">
      <c r="P972" s="38"/>
    </row>
    <row r="973">
      <c r="P973" s="38"/>
    </row>
    <row r="974">
      <c r="P974" s="38"/>
    </row>
    <row r="975">
      <c r="P975" s="38"/>
    </row>
    <row r="976">
      <c r="P976" s="38"/>
    </row>
    <row r="977">
      <c r="P977" s="38"/>
    </row>
    <row r="978">
      <c r="P978" s="38"/>
    </row>
    <row r="979">
      <c r="P979" s="38"/>
    </row>
    <row r="980">
      <c r="P980" s="38"/>
    </row>
    <row r="981">
      <c r="P981" s="38"/>
    </row>
    <row r="982">
      <c r="P982" s="38"/>
    </row>
    <row r="983">
      <c r="P983" s="38"/>
    </row>
    <row r="984">
      <c r="P984" s="38"/>
    </row>
    <row r="985">
      <c r="P985" s="38"/>
    </row>
    <row r="986">
      <c r="P986" s="38"/>
    </row>
    <row r="987">
      <c r="P987" s="38"/>
    </row>
    <row r="988">
      <c r="P988" s="38"/>
    </row>
    <row r="989">
      <c r="P989" s="38"/>
    </row>
    <row r="990">
      <c r="P990" s="38"/>
    </row>
    <row r="991">
      <c r="P991" s="38"/>
    </row>
    <row r="992">
      <c r="P992" s="38"/>
    </row>
    <row r="993">
      <c r="P993" s="38"/>
    </row>
    <row r="994">
      <c r="P994" s="38"/>
    </row>
    <row r="995">
      <c r="P995" s="38"/>
    </row>
    <row r="996">
      <c r="P996" s="38"/>
    </row>
    <row r="997">
      <c r="P997" s="38"/>
    </row>
    <row r="998">
      <c r="P998" s="38"/>
    </row>
    <row r="999">
      <c r="P999" s="38"/>
    </row>
    <row r="1000">
      <c r="P1000" s="38"/>
    </row>
    <row r="1001">
      <c r="P1001" s="38"/>
    </row>
    <row r="1002">
      <c r="P1002" s="38"/>
    </row>
    <row r="1003">
      <c r="P1003" s="38"/>
    </row>
  </sheetData>
  <dataValidations>
    <dataValidation type="list" allowBlank="1" showDropDown="1" showErrorMessage="1" sqref="B7 B9 B11:B12 B14:B15 B18 B20 B22:B23 B25:B26 B28">
      <formula1>'Rate card'!$A$4:$A1003</formula1>
    </dataValidation>
    <dataValidation type="list" allowBlank="1" showDropDown="1" showErrorMessage="1" sqref="B17">
      <formula1>'Rate card'!$A$4:$A1003</formula1>
    </dataValidation>
  </dataValidations>
  <hyperlinks>
    <hyperlink r:id="rId1" ref="A4"/>
  </hyperlinks>
  <printOptions gridLines="1" horizontalCentered="1"/>
  <pageMargins bottom="0.75" footer="0.0" header="0.0" left="0.7" right="0.7" top="0.75"/>
  <pageSetup fitToHeight="0" paperSize="9"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hidden="1" min="2" max="2" width="6.38"/>
    <col customWidth="1" min="3" max="3" width="17.75"/>
    <col customWidth="1" min="4" max="4" width="21.38"/>
    <col customWidth="1" min="5" max="5" width="25.5"/>
    <col customWidth="1" min="6" max="6" width="35.25"/>
    <col customWidth="1" min="11" max="11" width="17.25"/>
    <col customWidth="1" min="12" max="12" width="19.63"/>
    <col hidden="1" min="14" max="15" width="12.63"/>
  </cols>
  <sheetData>
    <row r="1">
      <c r="A1" s="281"/>
      <c r="B1" s="281"/>
      <c r="C1" s="281"/>
      <c r="D1" s="281"/>
      <c r="E1" s="281"/>
      <c r="F1" s="281"/>
      <c r="G1" s="281"/>
      <c r="H1" s="282"/>
      <c r="I1" s="283"/>
      <c r="J1" s="282"/>
      <c r="K1" s="281"/>
      <c r="L1" s="281"/>
      <c r="M1" s="281"/>
      <c r="N1" s="281"/>
      <c r="O1" s="281"/>
      <c r="P1" s="281"/>
      <c r="Q1" s="281"/>
      <c r="R1" s="281"/>
      <c r="S1" s="281"/>
      <c r="T1" s="281"/>
      <c r="U1" s="281"/>
      <c r="V1" s="281"/>
      <c r="W1" s="281"/>
      <c r="X1" s="281"/>
      <c r="Y1" s="281"/>
      <c r="Z1" s="281"/>
      <c r="AA1" s="281"/>
      <c r="AB1" s="281"/>
      <c r="AC1" s="281"/>
      <c r="AD1" s="281"/>
    </row>
    <row r="2">
      <c r="A2" s="284"/>
      <c r="L2" s="281"/>
      <c r="M2" s="281"/>
      <c r="N2" s="281"/>
      <c r="O2" s="281"/>
      <c r="P2" s="281"/>
      <c r="Q2" s="281"/>
      <c r="R2" s="281"/>
      <c r="S2" s="281"/>
      <c r="T2" s="281"/>
      <c r="U2" s="281"/>
      <c r="V2" s="281"/>
      <c r="W2" s="281"/>
      <c r="X2" s="281"/>
      <c r="Y2" s="281"/>
      <c r="Z2" s="281"/>
      <c r="AA2" s="281"/>
      <c r="AB2" s="281"/>
      <c r="AC2" s="281"/>
      <c r="AD2" s="281"/>
    </row>
    <row r="3">
      <c r="L3" s="281"/>
      <c r="M3" s="281"/>
      <c r="N3" s="281"/>
      <c r="O3" s="281"/>
      <c r="P3" s="281"/>
      <c r="Q3" s="281"/>
      <c r="R3" s="281"/>
      <c r="S3" s="281"/>
      <c r="T3" s="281"/>
      <c r="U3" s="281"/>
      <c r="V3" s="281"/>
      <c r="W3" s="281"/>
      <c r="X3" s="281"/>
      <c r="Y3" s="281"/>
      <c r="Z3" s="281"/>
      <c r="AA3" s="281"/>
      <c r="AB3" s="281"/>
      <c r="AC3" s="281"/>
      <c r="AD3" s="281"/>
    </row>
    <row r="4">
      <c r="L4" s="281"/>
      <c r="M4" s="281"/>
      <c r="N4" s="281"/>
      <c r="O4" s="281"/>
      <c r="P4" s="281"/>
      <c r="Q4" s="281"/>
      <c r="R4" s="281"/>
      <c r="S4" s="281"/>
      <c r="T4" s="281"/>
      <c r="U4" s="281"/>
      <c r="V4" s="281"/>
      <c r="W4" s="281"/>
      <c r="X4" s="281"/>
      <c r="Y4" s="281"/>
      <c r="Z4" s="281"/>
      <c r="AA4" s="281"/>
      <c r="AB4" s="281"/>
      <c r="AC4" s="281"/>
      <c r="AD4" s="281"/>
    </row>
    <row r="5">
      <c r="A5" s="285"/>
      <c r="B5" s="285"/>
      <c r="C5" s="285"/>
      <c r="D5" s="285"/>
      <c r="E5" s="285"/>
      <c r="F5" s="285"/>
      <c r="G5" s="285"/>
      <c r="H5" s="286"/>
      <c r="I5" s="287"/>
      <c r="J5" s="286"/>
      <c r="K5" s="285"/>
      <c r="L5" s="281"/>
      <c r="M5" s="281"/>
      <c r="N5" s="281"/>
      <c r="O5" s="281"/>
      <c r="P5" s="281"/>
      <c r="Q5" s="281"/>
      <c r="R5" s="281"/>
      <c r="S5" s="281"/>
      <c r="T5" s="281"/>
      <c r="U5" s="281"/>
      <c r="V5" s="281"/>
      <c r="W5" s="281"/>
      <c r="X5" s="281"/>
      <c r="Y5" s="281"/>
      <c r="Z5" s="281"/>
      <c r="AA5" s="281"/>
      <c r="AB5" s="281"/>
      <c r="AC5" s="281"/>
      <c r="AD5" s="281"/>
    </row>
    <row r="6">
      <c r="A6" s="288" t="s">
        <v>2</v>
      </c>
      <c r="B6" s="289">
        <v>45722.0</v>
      </c>
      <c r="C6" s="11"/>
      <c r="D6" s="12"/>
      <c r="E6" s="290" t="s">
        <v>3</v>
      </c>
      <c r="F6" s="291"/>
      <c r="G6" s="11"/>
      <c r="H6" s="11"/>
      <c r="I6" s="11"/>
      <c r="J6" s="11"/>
      <c r="K6" s="12"/>
      <c r="L6" s="281"/>
      <c r="M6" s="281"/>
      <c r="N6" s="281"/>
      <c r="O6" s="281"/>
      <c r="P6" s="281"/>
      <c r="Q6" s="281"/>
      <c r="R6" s="281"/>
      <c r="S6" s="281"/>
      <c r="T6" s="281"/>
      <c r="U6" s="281"/>
      <c r="V6" s="281"/>
      <c r="W6" s="281"/>
      <c r="X6" s="281"/>
      <c r="Y6" s="281"/>
      <c r="Z6" s="281"/>
      <c r="AA6" s="281"/>
      <c r="AB6" s="281"/>
      <c r="AC6" s="281"/>
      <c r="AD6" s="281"/>
    </row>
    <row r="7">
      <c r="A7" s="288" t="s">
        <v>4</v>
      </c>
      <c r="B7" s="291" t="s">
        <v>5</v>
      </c>
      <c r="C7" s="11"/>
      <c r="D7" s="12"/>
      <c r="E7" s="290" t="s">
        <v>6</v>
      </c>
      <c r="F7" s="292">
        <v>0.0</v>
      </c>
      <c r="G7" s="11"/>
      <c r="H7" s="11"/>
      <c r="I7" s="11"/>
      <c r="J7" s="11"/>
      <c r="K7" s="12"/>
      <c r="L7" s="281"/>
      <c r="M7" s="281"/>
      <c r="N7" s="281"/>
      <c r="O7" s="281"/>
      <c r="P7" s="281"/>
      <c r="Q7" s="281"/>
      <c r="R7" s="281"/>
      <c r="S7" s="281"/>
      <c r="T7" s="281"/>
      <c r="U7" s="281"/>
      <c r="V7" s="281"/>
      <c r="W7" s="281"/>
      <c r="X7" s="281"/>
      <c r="Y7" s="281"/>
      <c r="Z7" s="281"/>
      <c r="AA7" s="281"/>
      <c r="AB7" s="281"/>
      <c r="AC7" s="281"/>
      <c r="AD7" s="281"/>
    </row>
    <row r="8">
      <c r="A8" s="288" t="s">
        <v>7</v>
      </c>
      <c r="B8" s="291" t="s">
        <v>8</v>
      </c>
      <c r="C8" s="11"/>
      <c r="D8" s="12"/>
      <c r="E8" s="290" t="s">
        <v>9</v>
      </c>
      <c r="F8" s="291" t="s">
        <v>10</v>
      </c>
      <c r="G8" s="11"/>
      <c r="H8" s="11"/>
      <c r="I8" s="11"/>
      <c r="J8" s="11"/>
      <c r="K8" s="12"/>
      <c r="L8" s="281"/>
      <c r="M8" s="281"/>
      <c r="N8" s="281"/>
      <c r="O8" s="281"/>
      <c r="P8" s="281"/>
      <c r="Q8" s="281"/>
      <c r="R8" s="281"/>
      <c r="S8" s="281"/>
      <c r="T8" s="281"/>
      <c r="U8" s="281"/>
      <c r="V8" s="281"/>
      <c r="W8" s="281"/>
      <c r="X8" s="281"/>
      <c r="Y8" s="281"/>
      <c r="Z8" s="281"/>
      <c r="AA8" s="281"/>
      <c r="AB8" s="281"/>
      <c r="AC8" s="281"/>
      <c r="AD8" s="281"/>
    </row>
    <row r="9">
      <c r="A9" s="281"/>
      <c r="B9" s="281"/>
      <c r="C9" s="281"/>
      <c r="D9" s="281"/>
      <c r="E9" s="281"/>
      <c r="F9" s="281"/>
      <c r="G9" s="281"/>
      <c r="H9" s="282"/>
      <c r="I9" s="283"/>
      <c r="J9" s="282"/>
      <c r="K9" s="281"/>
      <c r="L9" s="281"/>
      <c r="M9" s="281"/>
      <c r="N9" s="281"/>
      <c r="O9" s="281"/>
      <c r="P9" s="281"/>
      <c r="Q9" s="281"/>
      <c r="R9" s="293"/>
      <c r="S9" s="281"/>
      <c r="T9" s="281"/>
      <c r="U9" s="281"/>
      <c r="V9" s="281"/>
      <c r="W9" s="281"/>
      <c r="X9" s="281"/>
      <c r="Y9" s="281"/>
      <c r="Z9" s="281"/>
      <c r="AA9" s="281"/>
      <c r="AB9" s="281"/>
      <c r="AC9" s="281"/>
      <c r="AD9" s="281"/>
    </row>
    <row r="10">
      <c r="A10" s="22" t="s">
        <v>11</v>
      </c>
      <c r="B10" s="16"/>
      <c r="C10" s="16"/>
      <c r="D10" s="17"/>
      <c r="E10" s="281"/>
      <c r="F10" s="293"/>
      <c r="G10" s="23" t="s">
        <v>12</v>
      </c>
      <c r="H10" s="24" t="s">
        <v>13</v>
      </c>
      <c r="I10" s="25" t="s">
        <v>14</v>
      </c>
      <c r="J10" s="282"/>
      <c r="M10" s="281"/>
      <c r="N10" s="281"/>
      <c r="O10" s="281"/>
      <c r="P10" s="281"/>
      <c r="Q10" s="281"/>
      <c r="R10" s="293"/>
      <c r="S10" s="281"/>
      <c r="T10" s="281"/>
      <c r="U10" s="281"/>
      <c r="V10" s="281"/>
      <c r="W10" s="281"/>
      <c r="X10" s="281"/>
      <c r="Y10" s="281"/>
      <c r="Z10" s="281"/>
      <c r="AA10" s="281"/>
      <c r="AB10" s="281"/>
      <c r="AC10" s="281"/>
      <c r="AD10" s="281"/>
    </row>
    <row r="11">
      <c r="A11" s="294"/>
      <c r="B11" s="29" t="s">
        <v>15</v>
      </c>
      <c r="C11" s="17"/>
      <c r="D11" s="30">
        <v>1673.0</v>
      </c>
      <c r="E11" s="295"/>
      <c r="F11" s="293"/>
      <c r="G11" s="31" t="s">
        <v>16</v>
      </c>
      <c r="H11" s="32" t="s">
        <v>17</v>
      </c>
      <c r="I11" s="33">
        <f>J206</f>
        <v>415000</v>
      </c>
      <c r="J11" s="282"/>
      <c r="M11" s="281"/>
      <c r="N11" s="281"/>
      <c r="O11" s="281"/>
      <c r="P11" s="281"/>
      <c r="Q11" s="281"/>
      <c r="R11" s="293"/>
      <c r="S11" s="281"/>
      <c r="T11" s="281"/>
      <c r="U11" s="281"/>
      <c r="V11" s="281"/>
      <c r="W11" s="281"/>
      <c r="X11" s="281"/>
      <c r="Y11" s="281"/>
      <c r="Z11" s="281"/>
      <c r="AA11" s="281"/>
      <c r="AB11" s="281"/>
      <c r="AC11" s="281"/>
      <c r="AD11" s="281"/>
    </row>
    <row r="12">
      <c r="A12" s="23" t="s">
        <v>12</v>
      </c>
      <c r="B12" s="29" t="s">
        <v>13</v>
      </c>
      <c r="C12" s="17"/>
      <c r="D12" s="24" t="s">
        <v>14</v>
      </c>
      <c r="E12" s="295"/>
      <c r="F12" s="293"/>
      <c r="G12" s="31" t="s">
        <v>18</v>
      </c>
      <c r="H12" s="32" t="s">
        <v>19</v>
      </c>
      <c r="I12" s="33">
        <f>J221</f>
        <v>2044935</v>
      </c>
      <c r="J12" s="282"/>
      <c r="M12" s="281"/>
      <c r="N12" s="281"/>
      <c r="O12" s="281"/>
      <c r="P12" s="281"/>
      <c r="Q12" s="281"/>
      <c r="R12" s="293"/>
      <c r="S12" s="281"/>
      <c r="T12" s="281"/>
      <c r="U12" s="281"/>
      <c r="V12" s="281"/>
      <c r="W12" s="281"/>
      <c r="X12" s="281"/>
      <c r="Y12" s="281"/>
      <c r="Z12" s="281"/>
      <c r="AA12" s="281"/>
      <c r="AB12" s="281"/>
      <c r="AC12" s="281"/>
      <c r="AD12" s="281"/>
    </row>
    <row r="13">
      <c r="A13" s="31" t="s">
        <v>16</v>
      </c>
      <c r="B13" s="34" t="s">
        <v>20</v>
      </c>
      <c r="C13" s="17"/>
      <c r="D13" s="35">
        <f>J39</f>
        <v>979240</v>
      </c>
      <c r="E13" s="296"/>
      <c r="F13" s="297"/>
      <c r="G13" s="298"/>
      <c r="H13" s="30" t="s">
        <v>23</v>
      </c>
      <c r="I13" s="25">
        <f>SUM(I11:I12)</f>
        <v>2459935</v>
      </c>
      <c r="J13" s="299"/>
      <c r="M13" s="281"/>
      <c r="N13" s="281"/>
      <c r="O13" s="281"/>
      <c r="P13" s="281"/>
      <c r="Q13" s="281"/>
      <c r="R13" s="293"/>
      <c r="S13" s="281"/>
      <c r="T13" s="281"/>
      <c r="U13" s="281"/>
      <c r="V13" s="300"/>
      <c r="W13" s="281"/>
      <c r="X13" s="281"/>
      <c r="Y13" s="281"/>
      <c r="Z13" s="281"/>
      <c r="AA13" s="281"/>
      <c r="AB13" s="281"/>
      <c r="AC13" s="281"/>
      <c r="AD13" s="281"/>
    </row>
    <row r="14">
      <c r="A14" s="31" t="s">
        <v>18</v>
      </c>
      <c r="B14" s="34" t="s">
        <v>22</v>
      </c>
      <c r="C14" s="17"/>
      <c r="D14" s="35">
        <f>J43</f>
        <v>245000</v>
      </c>
      <c r="E14" s="296"/>
      <c r="G14" s="301" t="s">
        <v>26</v>
      </c>
      <c r="H14" s="17"/>
      <c r="I14" s="302">
        <f>D21+I13</f>
        <v>9696162.85</v>
      </c>
      <c r="J14" s="299"/>
      <c r="M14" s="281"/>
      <c r="N14" s="281"/>
      <c r="O14" s="281"/>
      <c r="P14" s="281"/>
      <c r="Q14" s="281"/>
      <c r="R14" s="281"/>
      <c r="S14" s="281"/>
      <c r="T14" s="281"/>
      <c r="U14" s="281"/>
      <c r="V14" s="300"/>
      <c r="W14" s="281"/>
      <c r="X14" s="281"/>
      <c r="Y14" s="281"/>
      <c r="Z14" s="281"/>
      <c r="AA14" s="281"/>
      <c r="AB14" s="281"/>
      <c r="AC14" s="281"/>
      <c r="AD14" s="281"/>
    </row>
    <row r="15">
      <c r="A15" s="31" t="s">
        <v>24</v>
      </c>
      <c r="B15" s="34" t="s">
        <v>25</v>
      </c>
      <c r="C15" s="17"/>
      <c r="D15" s="35">
        <f>J46</f>
        <v>585550</v>
      </c>
      <c r="E15" s="296"/>
      <c r="G15" s="303" t="s">
        <v>29</v>
      </c>
      <c r="H15" s="16"/>
      <c r="I15" s="17"/>
      <c r="J15" s="299"/>
      <c r="M15" s="281"/>
      <c r="N15" s="281"/>
      <c r="O15" s="281"/>
      <c r="P15" s="281"/>
      <c r="Q15" s="281"/>
      <c r="R15" s="281"/>
      <c r="S15" s="281"/>
      <c r="T15" s="281"/>
      <c r="U15" s="281"/>
      <c r="V15" s="300"/>
      <c r="W15" s="281"/>
      <c r="X15" s="281"/>
      <c r="Y15" s="281"/>
      <c r="Z15" s="281"/>
      <c r="AA15" s="281"/>
      <c r="AB15" s="281"/>
      <c r="AC15" s="281"/>
      <c r="AD15" s="281"/>
    </row>
    <row r="16">
      <c r="A16" s="31" t="s">
        <v>27</v>
      </c>
      <c r="B16" s="34" t="s">
        <v>28</v>
      </c>
      <c r="C16" s="17"/>
      <c r="D16" s="35">
        <f>J54</f>
        <v>547340</v>
      </c>
      <c r="E16" s="296"/>
      <c r="G16" s="304"/>
      <c r="J16" s="299"/>
      <c r="M16" s="281"/>
      <c r="N16" s="281"/>
      <c r="O16" s="281"/>
      <c r="P16" s="281"/>
      <c r="Q16" s="281"/>
      <c r="R16" s="281"/>
      <c r="S16" s="281"/>
      <c r="T16" s="281"/>
      <c r="U16" s="281"/>
      <c r="V16" s="281"/>
      <c r="W16" s="281"/>
      <c r="X16" s="281"/>
      <c r="Y16" s="281"/>
      <c r="Z16" s="281"/>
      <c r="AA16" s="281"/>
      <c r="AB16" s="281"/>
      <c r="AC16" s="281"/>
      <c r="AD16" s="281"/>
    </row>
    <row r="17">
      <c r="A17" s="31" t="s">
        <v>30</v>
      </c>
      <c r="B17" s="47" t="s">
        <v>31</v>
      </c>
      <c r="C17" s="17"/>
      <c r="D17" s="35">
        <f>J146</f>
        <v>3569150</v>
      </c>
      <c r="E17" s="305"/>
      <c r="G17" s="306"/>
      <c r="J17" s="299"/>
      <c r="M17" s="281"/>
      <c r="N17" s="281"/>
      <c r="O17" s="281"/>
      <c r="P17" s="281"/>
      <c r="Q17" s="281"/>
      <c r="R17" s="281"/>
      <c r="S17" s="304"/>
      <c r="V17" s="281"/>
      <c r="W17" s="281"/>
      <c r="X17" s="281"/>
      <c r="Y17" s="281"/>
      <c r="Z17" s="281"/>
      <c r="AA17" s="281"/>
      <c r="AB17" s="281"/>
      <c r="AC17" s="281"/>
      <c r="AD17" s="281"/>
    </row>
    <row r="18">
      <c r="A18" s="31" t="s">
        <v>32</v>
      </c>
      <c r="B18" s="47" t="s">
        <v>33</v>
      </c>
      <c r="C18" s="17"/>
      <c r="D18" s="35">
        <f>J151</f>
        <v>308478.5</v>
      </c>
      <c r="E18" s="296"/>
      <c r="J18" s="299"/>
      <c r="M18" s="281"/>
      <c r="N18" s="281"/>
      <c r="O18" s="281"/>
      <c r="P18" s="281"/>
      <c r="Q18" s="307"/>
      <c r="R18" s="281"/>
      <c r="S18" s="281"/>
      <c r="T18" s="281"/>
      <c r="U18" s="281"/>
      <c r="V18" s="281"/>
      <c r="W18" s="281"/>
      <c r="X18" s="281"/>
      <c r="Y18" s="281"/>
      <c r="Z18" s="281"/>
      <c r="AA18" s="281"/>
      <c r="AB18" s="281"/>
      <c r="AC18" s="281"/>
      <c r="AD18" s="281"/>
    </row>
    <row r="19">
      <c r="A19" s="31" t="s">
        <v>34</v>
      </c>
      <c r="B19" s="47" t="s">
        <v>35</v>
      </c>
      <c r="C19" s="17"/>
      <c r="D19" s="35">
        <f>J156</f>
        <v>120000</v>
      </c>
      <c r="E19" s="296"/>
      <c r="I19" s="308"/>
      <c r="J19" s="299"/>
      <c r="M19" s="281"/>
      <c r="N19" s="281"/>
      <c r="O19" s="281"/>
      <c r="P19" s="281"/>
      <c r="Q19" s="309"/>
      <c r="R19" s="281"/>
      <c r="S19" s="281"/>
      <c r="T19" s="281"/>
      <c r="U19" s="281"/>
      <c r="V19" s="281"/>
      <c r="W19" s="281"/>
      <c r="X19" s="281"/>
      <c r="Y19" s="281"/>
      <c r="Z19" s="281"/>
      <c r="AA19" s="281"/>
      <c r="AB19" s="281"/>
      <c r="AC19" s="281"/>
      <c r="AD19" s="281"/>
    </row>
    <row r="20">
      <c r="A20" s="31" t="s">
        <v>36</v>
      </c>
      <c r="B20" s="49" t="s">
        <v>37</v>
      </c>
      <c r="C20" s="17"/>
      <c r="D20" s="310">
        <f>(SUM(D12:D19)+I13)*0.1</f>
        <v>881469.35</v>
      </c>
      <c r="I20" s="308"/>
      <c r="J20" s="299"/>
      <c r="M20" s="281"/>
      <c r="N20" s="281"/>
      <c r="O20" s="281"/>
      <c r="P20" s="281"/>
      <c r="Q20" s="309"/>
      <c r="R20" s="281"/>
      <c r="S20" s="281"/>
      <c r="T20" s="281"/>
      <c r="U20" s="281"/>
      <c r="V20" s="281"/>
      <c r="W20" s="281"/>
      <c r="X20" s="281"/>
      <c r="Y20" s="281"/>
      <c r="Z20" s="281"/>
      <c r="AA20" s="281"/>
      <c r="AB20" s="281"/>
      <c r="AC20" s="281"/>
      <c r="AD20" s="281"/>
    </row>
    <row r="21">
      <c r="A21" s="298"/>
      <c r="B21" s="22" t="s">
        <v>38</v>
      </c>
      <c r="C21" s="17"/>
      <c r="D21" s="311">
        <f>SUM(D13:D20)</f>
        <v>7236227.85</v>
      </c>
      <c r="E21" s="296"/>
      <c r="I21" s="312"/>
      <c r="J21" s="299"/>
      <c r="M21" s="281"/>
      <c r="N21" s="281"/>
      <c r="O21" s="281"/>
      <c r="P21" s="281"/>
      <c r="Q21" s="281"/>
      <c r="R21" s="281"/>
      <c r="S21" s="281"/>
      <c r="T21" s="281"/>
      <c r="U21" s="281"/>
      <c r="V21" s="281"/>
      <c r="W21" s="281"/>
      <c r="X21" s="281"/>
      <c r="Y21" s="281"/>
      <c r="Z21" s="281"/>
      <c r="AA21" s="281"/>
      <c r="AB21" s="281"/>
      <c r="AC21" s="281"/>
      <c r="AD21" s="281"/>
    </row>
    <row r="22">
      <c r="A22" s="294"/>
      <c r="B22" s="29" t="s">
        <v>39</v>
      </c>
      <c r="C22" s="17"/>
      <c r="D22" s="51">
        <f>(D21/D11)</f>
        <v>4325.300568</v>
      </c>
      <c r="E22" s="296"/>
      <c r="G22" s="297"/>
      <c r="H22" s="313"/>
      <c r="I22" s="314"/>
      <c r="J22" s="299"/>
      <c r="K22" s="281"/>
      <c r="L22" s="281"/>
      <c r="M22" s="281"/>
      <c r="N22" s="281"/>
      <c r="O22" s="281"/>
      <c r="P22" s="281"/>
      <c r="Q22" s="295"/>
      <c r="R22" s="281"/>
      <c r="S22" s="281"/>
      <c r="T22" s="281"/>
      <c r="U22" s="281"/>
      <c r="V22" s="281"/>
      <c r="W22" s="281"/>
      <c r="X22" s="281"/>
      <c r="Y22" s="281"/>
      <c r="Z22" s="281"/>
      <c r="AA22" s="281"/>
      <c r="AB22" s="281"/>
      <c r="AC22" s="281"/>
      <c r="AD22" s="281"/>
    </row>
    <row r="23">
      <c r="A23" s="285"/>
      <c r="B23" s="285"/>
      <c r="C23" s="285"/>
      <c r="D23" s="285"/>
      <c r="E23" s="285"/>
      <c r="F23" s="285"/>
      <c r="G23" s="285"/>
      <c r="H23" s="286"/>
      <c r="I23" s="315"/>
      <c r="J23" s="286"/>
      <c r="K23" s="285"/>
      <c r="L23" s="281"/>
      <c r="M23" s="281"/>
      <c r="N23" s="281"/>
      <c r="O23" s="281"/>
      <c r="P23" s="281"/>
      <c r="Q23" s="295"/>
      <c r="R23" s="293"/>
      <c r="S23" s="281"/>
      <c r="T23" s="281"/>
      <c r="U23" s="281"/>
      <c r="V23" s="281"/>
      <c r="W23" s="281"/>
      <c r="X23" s="281"/>
      <c r="Y23" s="281"/>
      <c r="Z23" s="281"/>
      <c r="AA23" s="281"/>
      <c r="AB23" s="281"/>
      <c r="AC23" s="281"/>
      <c r="AD23" s="281"/>
    </row>
    <row r="24">
      <c r="A24" s="316" t="s">
        <v>40</v>
      </c>
      <c r="B24" s="317" t="s">
        <v>41</v>
      </c>
      <c r="C24" s="318" t="s">
        <v>42</v>
      </c>
      <c r="D24" s="318" t="s">
        <v>43</v>
      </c>
      <c r="E24" s="318" t="s">
        <v>44</v>
      </c>
      <c r="F24" s="318" t="s">
        <v>45</v>
      </c>
      <c r="G24" s="318" t="s">
        <v>46</v>
      </c>
      <c r="H24" s="319" t="s">
        <v>47</v>
      </c>
      <c r="I24" s="320" t="s">
        <v>562</v>
      </c>
      <c r="J24" s="319" t="s">
        <v>14</v>
      </c>
      <c r="K24" s="57" t="s">
        <v>53</v>
      </c>
      <c r="L24" s="293"/>
      <c r="M24" s="281"/>
      <c r="N24" s="319" t="s">
        <v>563</v>
      </c>
      <c r="O24" s="319" t="s">
        <v>14</v>
      </c>
      <c r="P24" s="281"/>
      <c r="R24" s="293"/>
      <c r="S24" s="281"/>
      <c r="T24" s="281"/>
      <c r="U24" s="281"/>
      <c r="V24" s="281"/>
      <c r="W24" s="281"/>
      <c r="X24" s="281"/>
      <c r="Y24" s="281"/>
      <c r="Z24" s="281"/>
      <c r="AA24" s="281"/>
      <c r="AB24" s="281"/>
      <c r="AC24" s="281"/>
      <c r="AD24" s="281"/>
    </row>
    <row r="25" ht="28.5" customHeight="1">
      <c r="A25" s="321" t="s">
        <v>20</v>
      </c>
      <c r="B25" s="322"/>
      <c r="C25" s="322"/>
      <c r="D25" s="322"/>
      <c r="E25" s="322"/>
      <c r="F25" s="322"/>
      <c r="G25" s="323"/>
      <c r="H25" s="324"/>
      <c r="I25" s="298"/>
      <c r="J25" s="324"/>
      <c r="K25" s="294"/>
      <c r="L25" s="325"/>
      <c r="M25" s="325"/>
      <c r="N25" s="326"/>
      <c r="O25" s="327"/>
      <c r="P25" s="281"/>
      <c r="Q25" s="295"/>
      <c r="R25" s="293"/>
      <c r="S25" s="281"/>
      <c r="T25" s="281"/>
      <c r="U25" s="281"/>
      <c r="V25" s="281"/>
      <c r="W25" s="281"/>
      <c r="X25" s="281"/>
      <c r="Y25" s="281"/>
      <c r="Z25" s="281"/>
      <c r="AA25" s="281"/>
      <c r="AB25" s="281"/>
      <c r="AC25" s="281"/>
      <c r="AD25" s="281"/>
    </row>
    <row r="26">
      <c r="A26" s="328" t="s">
        <v>16</v>
      </c>
      <c r="B26" s="328" t="s">
        <v>564</v>
      </c>
      <c r="C26" s="329" t="str">
        <f>VLOOKUP($B26,'Rate card'!$A$4:$G236,2,FALSE)</f>
        <v>Demolition</v>
      </c>
      <c r="D26" s="329" t="str">
        <f>VLOOKUP($B26,'Rate card'!$A$4:$G236,3,FALSE)</f>
        <v>Brickwall - 6"</v>
      </c>
      <c r="E26" s="329" t="str">
        <f>VLOOKUP($B26,'Rate card'!$A$4:$G236,4,FALSE)</f>
        <v>NA</v>
      </c>
      <c r="F26" s="329" t="str">
        <f>VLOOKUP($B26,'Rate card'!$A$4:$G236,5,FALSE)</f>
        <v>Demolition</v>
      </c>
      <c r="G26" s="329" t="str">
        <f>VLOOKUP($B26,'Rate card'!$A$4:$G236,6,FALSE)</f>
        <v>Sqft</v>
      </c>
      <c r="H26" s="330">
        <v>500.0</v>
      </c>
      <c r="I26" s="331">
        <f>36+21</f>
        <v>57</v>
      </c>
      <c r="J26" s="332">
        <f t="shared" ref="J26:J31" si="1">I26*H26</f>
        <v>28500</v>
      </c>
      <c r="K26" s="333" t="s">
        <v>565</v>
      </c>
      <c r="L26" s="334">
        <v>22.0</v>
      </c>
      <c r="M26" s="335"/>
      <c r="N26" s="336"/>
      <c r="O26" s="337">
        <f>VLOOKUP($B26,'Rate card'!$A$4:$J236,7,FALSE)</f>
        <v>20</v>
      </c>
      <c r="P26" s="338"/>
      <c r="Q26" s="335"/>
      <c r="R26" s="335"/>
      <c r="S26" s="335"/>
      <c r="T26" s="335"/>
      <c r="U26" s="335"/>
      <c r="V26" s="335"/>
      <c r="W26" s="335"/>
      <c r="X26" s="335"/>
      <c r="Y26" s="335"/>
      <c r="Z26" s="335"/>
      <c r="AA26" s="335"/>
      <c r="AB26" s="335"/>
      <c r="AC26" s="335"/>
      <c r="AD26" s="335"/>
    </row>
    <row r="27">
      <c r="A27" s="328" t="s">
        <v>18</v>
      </c>
      <c r="B27" s="328"/>
      <c r="C27" s="339" t="s">
        <v>20</v>
      </c>
      <c r="D27" s="339" t="s">
        <v>566</v>
      </c>
      <c r="E27" s="339"/>
      <c r="F27" s="340" t="s">
        <v>567</v>
      </c>
      <c r="G27" s="329" t="str">
        <f>G26</f>
        <v>Sqft</v>
      </c>
      <c r="H27" s="341">
        <v>150.0</v>
      </c>
      <c r="I27" s="331" t="s">
        <v>568</v>
      </c>
      <c r="J27" s="332">
        <f t="shared" si="1"/>
        <v>3600</v>
      </c>
      <c r="K27" s="333"/>
      <c r="L27" s="334">
        <v>160.0</v>
      </c>
      <c r="M27" s="335"/>
      <c r="N27" s="336"/>
      <c r="O27" s="337"/>
      <c r="P27" s="338"/>
      <c r="Q27" s="335"/>
      <c r="R27" s="335"/>
      <c r="S27" s="335"/>
      <c r="T27" s="335"/>
      <c r="U27" s="335"/>
      <c r="V27" s="335"/>
      <c r="W27" s="335"/>
      <c r="X27" s="335"/>
      <c r="Y27" s="335"/>
      <c r="Z27" s="335"/>
      <c r="AA27" s="335"/>
      <c r="AB27" s="335"/>
      <c r="AC27" s="335"/>
      <c r="AD27" s="335"/>
    </row>
    <row r="28">
      <c r="A28" s="328" t="s">
        <v>24</v>
      </c>
      <c r="B28" s="342"/>
      <c r="C28" s="343" t="s">
        <v>20</v>
      </c>
      <c r="D28" s="343" t="s">
        <v>569</v>
      </c>
      <c r="E28" s="340" t="s">
        <v>570</v>
      </c>
      <c r="F28" s="340" t="s">
        <v>80</v>
      </c>
      <c r="G28" s="343" t="s">
        <v>175</v>
      </c>
      <c r="H28" s="344" t="s">
        <v>571</v>
      </c>
      <c r="I28" s="344" t="s">
        <v>572</v>
      </c>
      <c r="J28" s="332">
        <f t="shared" si="1"/>
        <v>25760</v>
      </c>
      <c r="K28" s="333" t="s">
        <v>573</v>
      </c>
      <c r="L28" s="345">
        <v>120.0</v>
      </c>
      <c r="M28" s="335"/>
      <c r="N28" s="336"/>
      <c r="O28" s="346"/>
      <c r="P28" s="346"/>
      <c r="Q28" s="335"/>
      <c r="R28" s="335"/>
      <c r="S28" s="335"/>
      <c r="T28" s="335"/>
      <c r="U28" s="335"/>
      <c r="V28" s="335"/>
      <c r="W28" s="335"/>
      <c r="X28" s="335"/>
      <c r="Y28" s="335"/>
      <c r="Z28" s="335"/>
      <c r="AA28" s="335"/>
      <c r="AB28" s="335"/>
      <c r="AC28" s="335"/>
      <c r="AD28" s="335"/>
    </row>
    <row r="29">
      <c r="A29" s="328" t="s">
        <v>27</v>
      </c>
      <c r="B29" s="342"/>
      <c r="C29" s="343" t="s">
        <v>20</v>
      </c>
      <c r="D29" s="344" t="s">
        <v>574</v>
      </c>
      <c r="E29" s="340" t="s">
        <v>570</v>
      </c>
      <c r="F29" s="340" t="s">
        <v>80</v>
      </c>
      <c r="G29" s="343" t="s">
        <v>175</v>
      </c>
      <c r="H29" s="344" t="s">
        <v>571</v>
      </c>
      <c r="I29" s="344" t="s">
        <v>575</v>
      </c>
      <c r="J29" s="332">
        <f t="shared" si="1"/>
        <v>270200</v>
      </c>
      <c r="K29" s="333" t="s">
        <v>156</v>
      </c>
      <c r="L29" s="345">
        <v>120.0</v>
      </c>
      <c r="M29" s="335"/>
      <c r="N29" s="336"/>
      <c r="O29" s="346"/>
      <c r="P29" s="346"/>
      <c r="Q29" s="335"/>
      <c r="R29" s="335"/>
      <c r="S29" s="335"/>
      <c r="T29" s="335"/>
      <c r="U29" s="335"/>
      <c r="V29" s="335"/>
      <c r="W29" s="335"/>
      <c r="X29" s="335"/>
      <c r="Y29" s="335"/>
      <c r="Z29" s="335"/>
      <c r="AA29" s="335"/>
      <c r="AB29" s="335"/>
      <c r="AC29" s="335"/>
      <c r="AD29" s="335"/>
    </row>
    <row r="30">
      <c r="A30" s="328" t="s">
        <v>30</v>
      </c>
      <c r="B30" s="347" t="s">
        <v>576</v>
      </c>
      <c r="C30" s="329" t="str">
        <f>VLOOKUP($B30,'Rate card'!$A$4:$G236,2,FALSE)</f>
        <v>Civil</v>
      </c>
      <c r="D30" s="329" t="str">
        <f>VLOOKUP($B30,'Rate card'!$A$4:$G236,3,FALSE)</f>
        <v>Kitchen platform</v>
      </c>
      <c r="E30" s="329" t="str">
        <f>VLOOKUP($B30,'Rate card'!$A$4:$G236,4,FALSE)</f>
        <v>Fully Modular Kitchen - Granite/Marble</v>
      </c>
      <c r="F30" s="329" t="str">
        <f>VLOOKUP($B30,'Rate card'!$A$4:$G236,5,FALSE)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30" s="329" t="str">
        <f>VLOOKUP($B30,'Rate card'!$A$4:$G236,6,FALSE)</f>
        <v>Sqft</v>
      </c>
      <c r="H30" s="330">
        <v>500.0</v>
      </c>
      <c r="I30" s="331" t="s">
        <v>577</v>
      </c>
      <c r="J30" s="332">
        <f t="shared" si="1"/>
        <v>18000</v>
      </c>
      <c r="K30" s="333" t="s">
        <v>578</v>
      </c>
      <c r="L30" s="348"/>
      <c r="M30" s="335"/>
      <c r="N30" s="336"/>
      <c r="O30" s="337">
        <f>VLOOKUP($B30,'Rate card'!$A$4:$J236,7,FALSE)</f>
        <v>150</v>
      </c>
      <c r="P30" s="338"/>
      <c r="Q30" s="335"/>
      <c r="R30" s="335"/>
      <c r="S30" s="335"/>
      <c r="T30" s="335"/>
      <c r="U30" s="335"/>
      <c r="V30" s="335"/>
      <c r="W30" s="335"/>
      <c r="X30" s="335"/>
      <c r="Y30" s="335"/>
      <c r="Z30" s="335"/>
      <c r="AA30" s="335"/>
      <c r="AB30" s="335"/>
      <c r="AC30" s="335"/>
      <c r="AD30" s="335"/>
    </row>
    <row r="31">
      <c r="A31" s="328" t="s">
        <v>32</v>
      </c>
      <c r="B31" s="347" t="s">
        <v>576</v>
      </c>
      <c r="C31" s="329" t="str">
        <f>VLOOKUP($B31,'Rate card'!$A$4:$G236,2,FALSE)</f>
        <v>Civil</v>
      </c>
      <c r="D31" s="331" t="s">
        <v>579</v>
      </c>
      <c r="E31" s="329" t="str">
        <f>VLOOKUP($B31,'Rate card'!$A$4:$G236,4,FALSE)</f>
        <v>Fully Modular Kitchen - Granite/Marble</v>
      </c>
      <c r="F31" s="329" t="str">
        <f>VLOOKUP($B31,'Rate card'!$A$4:$G236,5,FALSE)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31" s="329" t="str">
        <f>VLOOKUP($B31,'Rate card'!$A$4:$G236,6,FALSE)</f>
        <v>Sqft</v>
      </c>
      <c r="H31" s="330">
        <v>500.0</v>
      </c>
      <c r="I31" s="331" t="s">
        <v>95</v>
      </c>
      <c r="J31" s="332">
        <f t="shared" si="1"/>
        <v>5000</v>
      </c>
      <c r="K31" s="333" t="s">
        <v>580</v>
      </c>
      <c r="L31" s="348"/>
      <c r="M31" s="335"/>
      <c r="N31" s="336"/>
      <c r="O31" s="337">
        <f>VLOOKUP($B31,'Rate card'!$A$4:$J236,7,FALSE)</f>
        <v>150</v>
      </c>
      <c r="P31" s="338"/>
      <c r="Q31" s="335"/>
      <c r="R31" s="335"/>
      <c r="S31" s="335"/>
      <c r="T31" s="335"/>
      <c r="U31" s="335"/>
      <c r="V31" s="335"/>
      <c r="W31" s="335"/>
      <c r="X31" s="335"/>
      <c r="Y31" s="335"/>
      <c r="Z31" s="335"/>
      <c r="AA31" s="335"/>
      <c r="AB31" s="335"/>
      <c r="AC31" s="335"/>
      <c r="AD31" s="335"/>
    </row>
    <row r="32">
      <c r="A32" s="328" t="s">
        <v>34</v>
      </c>
      <c r="B32" s="349"/>
      <c r="C32" s="350" t="s">
        <v>20</v>
      </c>
      <c r="D32" s="351" t="s">
        <v>581</v>
      </c>
      <c r="E32" s="350"/>
      <c r="F32" s="340" t="s">
        <v>582</v>
      </c>
      <c r="G32" s="350" t="s">
        <v>175</v>
      </c>
      <c r="H32" s="352">
        <v>140.0</v>
      </c>
      <c r="I32" s="351" t="s">
        <v>146</v>
      </c>
      <c r="J32" s="352">
        <f t="shared" ref="J32:J38" si="2">H32*I32</f>
        <v>234220</v>
      </c>
      <c r="K32" s="333" t="s">
        <v>145</v>
      </c>
      <c r="L32" s="179"/>
      <c r="M32" s="179"/>
      <c r="N32" s="353"/>
      <c r="O32" s="354"/>
      <c r="P32" s="355"/>
      <c r="Q32" s="148"/>
      <c r="R32" s="148"/>
      <c r="S32" s="148"/>
      <c r="T32" s="148"/>
      <c r="U32" s="148"/>
      <c r="V32" s="148"/>
      <c r="W32" s="148"/>
      <c r="X32" s="148"/>
      <c r="Y32" s="148"/>
      <c r="Z32" s="148"/>
      <c r="AA32" s="148"/>
      <c r="AB32" s="148"/>
      <c r="AC32" s="148"/>
      <c r="AD32" s="148"/>
    </row>
    <row r="33">
      <c r="A33" s="328" t="s">
        <v>36</v>
      </c>
      <c r="B33" s="356" t="s">
        <v>583</v>
      </c>
      <c r="C33" s="154" t="str">
        <f>VLOOKUP($B33,'Rate card'!$A$4:$G236,2,FALSE)</f>
        <v>Civil</v>
      </c>
      <c r="D33" s="154" t="str">
        <f>VLOOKUP($B33,'Rate card'!$A$4:$G236,3,FALSE)</f>
        <v>Floor PCC</v>
      </c>
      <c r="E33" s="153" t="str">
        <f>VLOOKUP($B33,'Rate card'!$A$4:$G236,4,FALSE)</f>
        <v/>
      </c>
      <c r="F33" s="154" t="str">
        <f>VLOOKUP($B33,'Rate card'!$A$4:$G236,5,FALSE)</f>
        <v>P / L  50-75mm average thickness Plain Cement Concrete  1:2:4 (1 cement : 2 coarse sand : 4 aggregate, 20mm  and down gauge) , tamped, spaded, trowelled  and smooth finish.</v>
      </c>
      <c r="G33" s="154" t="str">
        <f>VLOOKUP($B33,'Rate card'!$A$4:$G236,6,FALSE)</f>
        <v>Sqft</v>
      </c>
      <c r="H33" s="155">
        <f>VLOOKUP($B33,'Rate card'!$A$4:$J236,8,FALSE)</f>
        <v>120</v>
      </c>
      <c r="I33" s="357" t="s">
        <v>146</v>
      </c>
      <c r="J33" s="358">
        <f t="shared" si="2"/>
        <v>200760</v>
      </c>
      <c r="K33" s="333" t="s">
        <v>145</v>
      </c>
      <c r="L33" s="359"/>
      <c r="M33" s="179"/>
      <c r="N33" s="155">
        <f>VLOOKUP($B33,'Rate card'!$A$4:$J236,7,FALSE)</f>
        <v>75</v>
      </c>
      <c r="O33" s="360">
        <f t="shared" ref="O33:O38" si="3">I33*N33</f>
        <v>125475</v>
      </c>
      <c r="P33" s="361"/>
      <c r="Q33" s="179"/>
      <c r="R33" s="179"/>
      <c r="S33" s="179"/>
      <c r="T33" s="179"/>
      <c r="U33" s="179"/>
      <c r="V33" s="179"/>
      <c r="W33" s="179"/>
      <c r="X33" s="179"/>
      <c r="Y33" s="179"/>
      <c r="Z33" s="179"/>
      <c r="AA33" s="179"/>
      <c r="AB33" s="179"/>
      <c r="AC33" s="179"/>
      <c r="AD33" s="179"/>
    </row>
    <row r="34">
      <c r="A34" s="328" t="s">
        <v>92</v>
      </c>
      <c r="B34" s="362" t="s">
        <v>584</v>
      </c>
      <c r="C34" s="154" t="str">
        <f>VLOOKUP($B34,'Rate card'!$A$4:$G236,2,FALSE)</f>
        <v>Civil</v>
      </c>
      <c r="D34" s="156" t="s">
        <v>585</v>
      </c>
      <c r="E34" s="153" t="str">
        <f>VLOOKUP($B34,'Rate card'!$A$4:$G236,4,FALSE)</f>
        <v/>
      </c>
      <c r="F34" s="363" t="s">
        <v>582</v>
      </c>
      <c r="G34" s="154" t="str">
        <f>VLOOKUP($B34,'Rate card'!$A$4:$G236,6,FALSE)</f>
        <v>Rft</v>
      </c>
      <c r="H34" s="152">
        <v>140.0</v>
      </c>
      <c r="I34" s="357" t="s">
        <v>586</v>
      </c>
      <c r="J34" s="358">
        <f t="shared" si="2"/>
        <v>63000</v>
      </c>
      <c r="K34" s="333" t="s">
        <v>145</v>
      </c>
      <c r="L34" s="359"/>
      <c r="M34" s="179"/>
      <c r="N34" s="155">
        <f>VLOOKUP($B34,'Rate card'!$A$4:$J236,7,FALSE)</f>
        <v>40</v>
      </c>
      <c r="O34" s="360">
        <f t="shared" si="3"/>
        <v>18000</v>
      </c>
      <c r="P34" s="361"/>
      <c r="Q34" s="179"/>
      <c r="R34" s="179"/>
      <c r="S34" s="179"/>
      <c r="T34" s="179"/>
      <c r="U34" s="179"/>
      <c r="V34" s="179"/>
      <c r="W34" s="179"/>
      <c r="X34" s="179"/>
      <c r="Y34" s="179"/>
      <c r="Z34" s="179"/>
      <c r="AA34" s="179"/>
      <c r="AB34" s="179"/>
      <c r="AC34" s="179"/>
      <c r="AD34" s="179"/>
    </row>
    <row r="35">
      <c r="A35" s="328" t="s">
        <v>95</v>
      </c>
      <c r="B35" s="356" t="s">
        <v>587</v>
      </c>
      <c r="C35" s="154" t="str">
        <f>VLOOKUP($B35,'Rate card'!$A$4:$G236,2,FALSE)</f>
        <v>Civil</v>
      </c>
      <c r="D35" s="154" t="str">
        <f>VLOOKUP($B35,'Rate card'!$A$4:$G236,3,FALSE)</f>
        <v>Granite frames</v>
      </c>
      <c r="E35" s="154" t="str">
        <f>VLOOKUP($B35,'Rate card'!$A$4:$G236,4,FALSE)</f>
        <v>Single patti</v>
      </c>
      <c r="F35" s="154" t="str">
        <f>VLOOKUP($B35,'Rate card'!$A$4:$G236,5,FALSE)</f>
        <v>Granite Frame – up to 6 Inches width
{Including Bevelling+ Cutting+ Polishing}. Excludes Granite cost</v>
      </c>
      <c r="G35" s="154" t="str">
        <f>VLOOKUP($B35,'Rate card'!$A$4:$G236,6,FALSE)</f>
        <v>Rft</v>
      </c>
      <c r="H35" s="155">
        <f>VLOOKUP($B35,'Rate card'!$A$4:$J236,8,FALSE)</f>
        <v>130</v>
      </c>
      <c r="I35" s="357" t="s">
        <v>111</v>
      </c>
      <c r="J35" s="358">
        <f t="shared" si="2"/>
        <v>19500</v>
      </c>
      <c r="K35" s="146" t="s">
        <v>588</v>
      </c>
      <c r="L35" s="359"/>
      <c r="M35" s="179"/>
      <c r="N35" s="155">
        <f>VLOOKUP($B35,'Rate card'!$A$4:$J236,7,FALSE)</f>
        <v>80</v>
      </c>
      <c r="O35" s="360">
        <f t="shared" si="3"/>
        <v>12000</v>
      </c>
      <c r="P35" s="361"/>
      <c r="Q35" s="179"/>
      <c r="R35" s="179"/>
      <c r="S35" s="179"/>
      <c r="T35" s="179"/>
      <c r="U35" s="179"/>
      <c r="V35" s="179"/>
      <c r="W35" s="179"/>
      <c r="X35" s="179"/>
      <c r="Y35" s="179"/>
      <c r="Z35" s="179"/>
      <c r="AA35" s="179"/>
      <c r="AB35" s="179"/>
      <c r="AC35" s="179"/>
      <c r="AD35" s="179"/>
    </row>
    <row r="36">
      <c r="A36" s="328" t="s">
        <v>97</v>
      </c>
      <c r="B36" s="356" t="s">
        <v>589</v>
      </c>
      <c r="C36" s="154" t="str">
        <f>VLOOKUP($B36,'Rate card'!$A$4:$G236,2,FALSE)</f>
        <v>Civil</v>
      </c>
      <c r="D36" s="154" t="str">
        <f>VLOOKUP($B36,'Rate card'!$A$4:$G236,3,FALSE)</f>
        <v>Brickbat </v>
      </c>
      <c r="E36" s="153" t="str">
        <f>VLOOKUP($B36,'Rate card'!$A$4:$G236,4,FALSE)</f>
        <v/>
      </c>
      <c r="F36" s="154" t="str">
        <f>VLOOKUP($B36,'Rate card'!$A$4:$G236,5,FALSE)</f>
        <v>Providing &amp; laying brickbat coba (6") with PCC</v>
      </c>
      <c r="G36" s="154" t="str">
        <f>VLOOKUP($B36,'Rate card'!$A$4:$G236,6,FALSE)</f>
        <v>Sqft</v>
      </c>
      <c r="H36" s="155">
        <f>VLOOKUP($B36,'Rate card'!$A$4:$J236,8,FALSE)</f>
        <v>200</v>
      </c>
      <c r="I36" s="357" t="s">
        <v>590</v>
      </c>
      <c r="J36" s="358">
        <f t="shared" si="2"/>
        <v>45200</v>
      </c>
      <c r="K36" s="146" t="s">
        <v>591</v>
      </c>
      <c r="L36" s="359"/>
      <c r="M36" s="179"/>
      <c r="N36" s="155">
        <f>VLOOKUP($B36,'Rate card'!$A$4:$J236,7,FALSE)</f>
        <v>150</v>
      </c>
      <c r="O36" s="360">
        <f t="shared" si="3"/>
        <v>33900</v>
      </c>
      <c r="P36" s="361"/>
      <c r="Q36" s="179"/>
      <c r="R36" s="179"/>
      <c r="S36" s="179"/>
      <c r="T36" s="179"/>
      <c r="U36" s="179"/>
      <c r="V36" s="179"/>
      <c r="W36" s="179"/>
      <c r="X36" s="179"/>
      <c r="Y36" s="179"/>
      <c r="Z36" s="179"/>
      <c r="AA36" s="179"/>
      <c r="AB36" s="179"/>
      <c r="AC36" s="179"/>
      <c r="AD36" s="179"/>
    </row>
    <row r="37">
      <c r="A37" s="328" t="s">
        <v>100</v>
      </c>
      <c r="B37" s="356" t="s">
        <v>592</v>
      </c>
      <c r="C37" s="154" t="str">
        <f>VLOOKUP($B37,'Rate card'!$A$4:$G236,2,FALSE)</f>
        <v>Civil</v>
      </c>
      <c r="D37" s="154" t="str">
        <f>VLOOKUP($B37,'Rate card'!$A$4:$G236,3,FALSE)</f>
        <v>Waterproofing</v>
      </c>
      <c r="E37" s="154" t="s">
        <v>593</v>
      </c>
      <c r="F37" s="154" t="str">
        <f>VLOOKUP($B37,'Rate card'!$A$4:$G236,5,FALSE)</f>
        <v>Waterproofing with 2 coats </v>
      </c>
      <c r="G37" s="154" t="str">
        <f>VLOOKUP($B37,'Rate card'!$A$4:$G236,6,FALSE)</f>
        <v>Sqft</v>
      </c>
      <c r="H37" s="155">
        <f>VLOOKUP($B37,'Rate card'!$A$4:$J236,8,FALSE)</f>
        <v>80</v>
      </c>
      <c r="I37" s="357" t="s">
        <v>70</v>
      </c>
      <c r="J37" s="358">
        <f t="shared" si="2"/>
        <v>28000</v>
      </c>
      <c r="K37" s="146" t="s">
        <v>591</v>
      </c>
      <c r="L37" s="359"/>
      <c r="M37" s="179"/>
      <c r="N37" s="155">
        <f>VLOOKUP($B37,'Rate card'!$A$4:$J236,7,FALSE)</f>
        <v>50</v>
      </c>
      <c r="O37" s="360">
        <f t="shared" si="3"/>
        <v>17500</v>
      </c>
      <c r="P37" s="361"/>
      <c r="Q37" s="179"/>
      <c r="R37" s="179"/>
      <c r="S37" s="179"/>
      <c r="T37" s="179"/>
      <c r="U37" s="179"/>
      <c r="V37" s="179"/>
      <c r="W37" s="179"/>
      <c r="X37" s="179"/>
      <c r="Y37" s="179"/>
      <c r="Z37" s="179"/>
      <c r="AA37" s="179"/>
      <c r="AB37" s="179"/>
      <c r="AC37" s="179"/>
      <c r="AD37" s="179"/>
    </row>
    <row r="38">
      <c r="A38" s="328" t="s">
        <v>103</v>
      </c>
      <c r="B38" s="356" t="s">
        <v>594</v>
      </c>
      <c r="C38" s="154" t="str">
        <f>VLOOKUP($B38,'Rate card'!$A$4:$G236,2,FALSE)</f>
        <v>Civil</v>
      </c>
      <c r="D38" s="154" t="str">
        <f>VLOOKUP($B38,'Rate card'!$A$4:$G236,3,FALSE)</f>
        <v>Vanity counter</v>
      </c>
      <c r="E38" s="154" t="str">
        <f>VLOOKUP($B38,'Rate card'!$A$4:$G236,4,FALSE)</f>
        <v>Granite/Marble</v>
      </c>
      <c r="F38" s="154" t="str">
        <f>VLOOKUP($B38,'Rate card'!$A$4:$G236,5,FALSE)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38" s="154" t="str">
        <f>VLOOKUP($B38,'Rate card'!$A$4:$G236,6,FALSE)</f>
        <v>Rft</v>
      </c>
      <c r="H38" s="155">
        <f>VLOOKUP($B38,'Rate card'!$A$4:$J236,8,FALSE)</f>
        <v>1500</v>
      </c>
      <c r="I38" s="364">
        <v>25.0</v>
      </c>
      <c r="J38" s="358">
        <f t="shared" si="2"/>
        <v>37500</v>
      </c>
      <c r="K38" s="365" t="s">
        <v>156</v>
      </c>
      <c r="L38" s="359"/>
      <c r="M38" s="179"/>
      <c r="N38" s="155">
        <f>VLOOKUP($B38,'Rate card'!$A$4:$J236,7,FALSE)</f>
        <v>1000</v>
      </c>
      <c r="O38" s="360">
        <f t="shared" si="3"/>
        <v>25000</v>
      </c>
      <c r="P38" s="361"/>
      <c r="Q38" s="179"/>
      <c r="R38" s="179"/>
      <c r="S38" s="179"/>
      <c r="T38" s="179"/>
      <c r="U38" s="179"/>
      <c r="V38" s="179"/>
      <c r="W38" s="179"/>
      <c r="X38" s="179"/>
      <c r="Y38" s="179"/>
      <c r="Z38" s="179"/>
      <c r="AA38" s="179"/>
      <c r="AB38" s="179"/>
      <c r="AC38" s="179"/>
      <c r="AD38" s="179"/>
    </row>
    <row r="39">
      <c r="A39" s="366"/>
      <c r="B39" s="367"/>
      <c r="C39" s="367"/>
      <c r="D39" s="367"/>
      <c r="E39" s="367"/>
      <c r="F39" s="367"/>
      <c r="G39" s="367"/>
      <c r="H39" s="368"/>
      <c r="I39" s="369" t="s">
        <v>125</v>
      </c>
      <c r="J39" s="370">
        <f>SUM(J26:J38)</f>
        <v>979240</v>
      </c>
      <c r="K39" s="370"/>
      <c r="L39" s="335"/>
      <c r="M39" s="335"/>
      <c r="N39" s="336"/>
      <c r="O39" s="346"/>
      <c r="P39" s="371"/>
      <c r="Q39" s="335"/>
      <c r="R39" s="335"/>
      <c r="S39" s="335"/>
      <c r="T39" s="335"/>
      <c r="U39" s="335"/>
      <c r="V39" s="335"/>
      <c r="W39" s="335"/>
      <c r="X39" s="335"/>
      <c r="Y39" s="335"/>
      <c r="Z39" s="335"/>
      <c r="AA39" s="335"/>
      <c r="AB39" s="335"/>
      <c r="AC39" s="335"/>
      <c r="AD39" s="335"/>
    </row>
    <row r="40" ht="28.5" customHeight="1">
      <c r="A40" s="321" t="s">
        <v>22</v>
      </c>
      <c r="B40" s="322"/>
      <c r="C40" s="322"/>
      <c r="D40" s="322"/>
      <c r="E40" s="322"/>
      <c r="F40" s="322"/>
      <c r="G40" s="323"/>
      <c r="H40" s="324"/>
      <c r="I40" s="298"/>
      <c r="J40" s="324"/>
      <c r="K40" s="294"/>
      <c r="L40" s="325"/>
      <c r="M40" s="325"/>
      <c r="N40" s="372"/>
      <c r="O40" s="373"/>
      <c r="P40" s="281"/>
      <c r="Q40" s="281"/>
      <c r="R40" s="281"/>
      <c r="S40" s="281"/>
      <c r="T40" s="281"/>
      <c r="U40" s="281"/>
      <c r="V40" s="281"/>
      <c r="W40" s="281"/>
      <c r="X40" s="281"/>
      <c r="Y40" s="281"/>
      <c r="Z40" s="281"/>
      <c r="AA40" s="281"/>
      <c r="AB40" s="281"/>
      <c r="AC40" s="281"/>
      <c r="AD40" s="281"/>
    </row>
    <row r="41">
      <c r="A41" s="329" t="s">
        <v>16</v>
      </c>
      <c r="B41" s="328" t="s">
        <v>126</v>
      </c>
      <c r="C41" s="339" t="s">
        <v>22</v>
      </c>
      <c r="D41" s="339" t="s">
        <v>127</v>
      </c>
      <c r="E41" s="339" t="s">
        <v>595</v>
      </c>
      <c r="F41" s="340" t="s">
        <v>596</v>
      </c>
      <c r="G41" s="339" t="s">
        <v>130</v>
      </c>
      <c r="H41" s="374" t="s">
        <v>134</v>
      </c>
      <c r="I41" s="374" t="s">
        <v>30</v>
      </c>
      <c r="J41" s="330">
        <f t="shared" ref="J41:J42" si="4">H41*I41</f>
        <v>225000</v>
      </c>
      <c r="K41" s="333" t="s">
        <v>597</v>
      </c>
      <c r="L41" s="179"/>
      <c r="M41" s="179"/>
      <c r="N41" s="375">
        <f>VLOOKUP($B41,'Rate card'!$A$4:$J236,7,FALSE)</f>
        <v>8000</v>
      </c>
      <c r="O41" s="376">
        <f t="shared" ref="O41:O42" si="5">I41*N41</f>
        <v>40000</v>
      </c>
      <c r="P41" s="148"/>
      <c r="Q41" s="148"/>
      <c r="R41" s="148"/>
      <c r="S41" s="148"/>
      <c r="T41" s="148"/>
      <c r="U41" s="148"/>
      <c r="V41" s="148"/>
      <c r="W41" s="148"/>
      <c r="X41" s="148"/>
      <c r="Y41" s="148"/>
      <c r="Z41" s="148"/>
      <c r="AA41" s="148"/>
      <c r="AB41" s="148"/>
      <c r="AC41" s="148"/>
      <c r="AD41" s="148"/>
    </row>
    <row r="42" ht="45.75" customHeight="1">
      <c r="A42" s="329" t="s">
        <v>18</v>
      </c>
      <c r="B42" s="356" t="s">
        <v>137</v>
      </c>
      <c r="C42" s="150" t="str">
        <f>VLOOKUP($B42,'Rate card'!$A$4:$G236,2,FALSE)</f>
        <v>Plumbing</v>
      </c>
      <c r="D42" s="150" t="str">
        <f>VLOOKUP($B42,'Rate card'!$A$4:$G236,3,FALSE)</f>
        <v>Kitchen Plumbing</v>
      </c>
      <c r="E42" s="150" t="str">
        <f>VLOOKUP($B42,'Rate card'!$A$4:$G236,4,FALSE)</f>
        <v>Internal Concealed work (1 Basin + 1 Geyser)</v>
      </c>
      <c r="F42" s="154" t="str">
        <f>VLOOKUP($B42,'Rate card'!$A$4:$G236,5,FALSE)</f>
        <v>all plumbing concealed wall and floor CPVC and UPVC pipes and chipping and replastering work </v>
      </c>
      <c r="G42" s="150" t="str">
        <f>VLOOKUP($B42,'Rate card'!$A$4:$G236,6,FALSE)</f>
        <v>per kitchen</v>
      </c>
      <c r="H42" s="149" t="s">
        <v>139</v>
      </c>
      <c r="I42" s="170" t="s">
        <v>16</v>
      </c>
      <c r="J42" s="377">
        <f t="shared" si="4"/>
        <v>20000</v>
      </c>
      <c r="K42" s="378" t="s">
        <v>140</v>
      </c>
      <c r="L42" s="359"/>
      <c r="M42" s="179"/>
      <c r="N42" s="151">
        <f>VLOOKUP($B42,'Rate card'!$A$4:$J236,7,FALSE)</f>
        <v>5500</v>
      </c>
      <c r="O42" s="376">
        <f t="shared" si="5"/>
        <v>5500</v>
      </c>
      <c r="P42" s="148"/>
      <c r="Q42" s="148"/>
      <c r="R42" s="148"/>
      <c r="S42" s="148"/>
      <c r="T42" s="148"/>
      <c r="U42" s="148"/>
      <c r="V42" s="148"/>
      <c r="W42" s="148"/>
      <c r="X42" s="148"/>
      <c r="Y42" s="148"/>
      <c r="Z42" s="148"/>
      <c r="AA42" s="148"/>
      <c r="AB42" s="148"/>
      <c r="AC42" s="148"/>
      <c r="AD42" s="148"/>
    </row>
    <row r="43">
      <c r="A43" s="366"/>
      <c r="B43" s="367"/>
      <c r="C43" s="367"/>
      <c r="D43" s="367"/>
      <c r="E43" s="367"/>
      <c r="F43" s="367"/>
      <c r="G43" s="367"/>
      <c r="H43" s="379"/>
      <c r="I43" s="369" t="s">
        <v>125</v>
      </c>
      <c r="J43" s="370">
        <f>SUM(J41,J42)</f>
        <v>245000</v>
      </c>
      <c r="K43" s="370"/>
      <c r="L43" s="335"/>
      <c r="M43" s="335"/>
      <c r="N43" s="336"/>
      <c r="O43" s="346"/>
      <c r="P43" s="371"/>
      <c r="Q43" s="335"/>
      <c r="R43" s="335"/>
      <c r="S43" s="335"/>
      <c r="T43" s="335"/>
      <c r="U43" s="335"/>
      <c r="V43" s="335"/>
      <c r="W43" s="335"/>
      <c r="X43" s="335"/>
      <c r="Y43" s="335"/>
      <c r="Z43" s="335"/>
      <c r="AA43" s="335"/>
      <c r="AB43" s="335"/>
      <c r="AC43" s="335"/>
      <c r="AD43" s="335"/>
    </row>
    <row r="44" ht="28.5" customHeight="1">
      <c r="A44" s="321" t="s">
        <v>25</v>
      </c>
      <c r="B44" s="322"/>
      <c r="C44" s="322"/>
      <c r="D44" s="322"/>
      <c r="E44" s="322"/>
      <c r="F44" s="322"/>
      <c r="G44" s="323"/>
      <c r="H44" s="324"/>
      <c r="I44" s="298"/>
      <c r="J44" s="324"/>
      <c r="K44" s="294"/>
      <c r="L44" s="325"/>
      <c r="M44" s="325"/>
      <c r="N44" s="372"/>
      <c r="O44" s="373"/>
      <c r="P44" s="281"/>
      <c r="Q44" s="281"/>
      <c r="R44" s="281"/>
      <c r="S44" s="281"/>
      <c r="T44" s="281"/>
      <c r="U44" s="281"/>
      <c r="V44" s="281"/>
      <c r="W44" s="281"/>
      <c r="X44" s="281"/>
      <c r="Y44" s="281"/>
      <c r="Z44" s="281"/>
      <c r="AA44" s="281"/>
      <c r="AB44" s="281"/>
      <c r="AC44" s="281"/>
      <c r="AD44" s="281"/>
    </row>
    <row r="45">
      <c r="A45" s="329" t="s">
        <v>16</v>
      </c>
      <c r="B45" s="347" t="s">
        <v>141</v>
      </c>
      <c r="C45" s="380" t="s">
        <v>25</v>
      </c>
      <c r="D45" s="343" t="s">
        <v>142</v>
      </c>
      <c r="E45" s="380" t="s">
        <v>143</v>
      </c>
      <c r="F45" s="380" t="s">
        <v>144</v>
      </c>
      <c r="G45" s="381" t="s">
        <v>145</v>
      </c>
      <c r="H45" s="374" t="s">
        <v>70</v>
      </c>
      <c r="I45" s="374" t="s">
        <v>146</v>
      </c>
      <c r="J45" s="330">
        <f>H45*I45</f>
        <v>585550</v>
      </c>
      <c r="K45" s="333" t="s">
        <v>151</v>
      </c>
      <c r="L45" s="179"/>
      <c r="M45" s="179"/>
      <c r="N45" s="375">
        <f>VLOOKUP($B45,'Rate card'!$A$4:$J236,7,FALSE)</f>
        <v>625</v>
      </c>
      <c r="O45" s="376">
        <f>I45*N45</f>
        <v>1045625</v>
      </c>
      <c r="P45" s="148"/>
      <c r="Q45" s="148"/>
      <c r="R45" s="148"/>
      <c r="S45" s="148"/>
      <c r="T45" s="148"/>
      <c r="U45" s="148"/>
      <c r="V45" s="148"/>
      <c r="W45" s="148"/>
      <c r="X45" s="148"/>
      <c r="Y45" s="148"/>
      <c r="Z45" s="148"/>
      <c r="AA45" s="148"/>
      <c r="AB45" s="148"/>
      <c r="AC45" s="148"/>
      <c r="AD45" s="148"/>
    </row>
    <row r="46">
      <c r="A46" s="382"/>
      <c r="B46" s="382"/>
      <c r="C46" s="154"/>
      <c r="D46" s="154"/>
      <c r="E46" s="154"/>
      <c r="F46" s="154"/>
      <c r="G46" s="154"/>
      <c r="H46" s="383"/>
      <c r="I46" s="369" t="s">
        <v>125</v>
      </c>
      <c r="J46" s="384">
        <f>SUM(J45)</f>
        <v>585550</v>
      </c>
      <c r="K46" s="189"/>
      <c r="L46" s="385"/>
      <c r="M46" s="179"/>
      <c r="N46" s="386"/>
      <c r="O46" s="387"/>
      <c r="P46" s="376"/>
      <c r="Q46" s="148"/>
      <c r="R46" s="148"/>
      <c r="S46" s="148"/>
      <c r="T46" s="148"/>
      <c r="U46" s="148"/>
      <c r="V46" s="148"/>
      <c r="W46" s="148"/>
      <c r="X46" s="148"/>
      <c r="Y46" s="148"/>
      <c r="Z46" s="148"/>
      <c r="AA46" s="148"/>
      <c r="AB46" s="148"/>
      <c r="AC46" s="148"/>
      <c r="AD46" s="148"/>
    </row>
    <row r="47">
      <c r="A47" s="388" t="s">
        <v>148</v>
      </c>
      <c r="B47" s="389"/>
      <c r="C47" s="389"/>
      <c r="D47" s="389"/>
      <c r="E47" s="389"/>
      <c r="F47" s="389"/>
      <c r="G47" s="390"/>
      <c r="H47" s="391"/>
      <c r="I47" s="390"/>
      <c r="J47" s="390"/>
      <c r="K47" s="392"/>
      <c r="L47" s="335"/>
      <c r="M47" s="393"/>
      <c r="N47" s="394"/>
      <c r="O47" s="346"/>
      <c r="P47" s="346"/>
      <c r="Q47" s="346"/>
      <c r="R47" s="346"/>
      <c r="S47" s="346"/>
      <c r="T47" s="346"/>
      <c r="U47" s="346"/>
      <c r="V47" s="346"/>
      <c r="W47" s="346"/>
      <c r="X47" s="346"/>
      <c r="Y47" s="346"/>
      <c r="Z47" s="346"/>
      <c r="AA47" s="346"/>
      <c r="AB47" s="346"/>
      <c r="AC47" s="148"/>
      <c r="AD47" s="148"/>
    </row>
    <row r="48">
      <c r="A48" s="347" t="s">
        <v>16</v>
      </c>
      <c r="B48" s="343" t="s">
        <v>149</v>
      </c>
      <c r="C48" s="343" t="str">
        <f>VLOOKUP($B48,'Rate card'!$A$4:$G236,2,FALSE)</f>
        <v>False Ceiling</v>
      </c>
      <c r="D48" s="343" t="str">
        <f>VLOOKUP($B48,'Rate card'!$A$4:$G236,3,FALSE)</f>
        <v>Gypsum Board Ceiling</v>
      </c>
      <c r="E48" s="343" t="str">
        <f>VLOOKUP($B48,'Rate card'!$A$4:$G236,4,FALSE)</f>
        <v>Saint Gobain/Gyproc Board + local A Grade  channel</v>
      </c>
      <c r="F48" s="343" t="str">
        <f>VLOOKUP($B48,'Rate card'!$A$4:$G236,5,FALSE)</f>
        <v>12.5mm thick gypsum board, with local A Grade Channel including all material, labour, transportation etc | Ceiling Channel and Intermediate Channel at 900mm c/c &amp; Ceiling Section at 450mm c/c</v>
      </c>
      <c r="G48" s="343" t="str">
        <f>VLOOKUP($B48,'Rate card'!$A$4:$G236,6,FALSE)</f>
        <v>Sqft</v>
      </c>
      <c r="H48" s="395">
        <v>120.0</v>
      </c>
      <c r="I48" s="344" t="s">
        <v>150</v>
      </c>
      <c r="J48" s="396">
        <f t="shared" ref="J48:J53" si="6">H48*I48</f>
        <v>173640</v>
      </c>
      <c r="K48" s="397" t="s">
        <v>151</v>
      </c>
      <c r="L48" s="346"/>
      <c r="M48" s="346"/>
      <c r="N48" s="398"/>
      <c r="O48" s="346"/>
      <c r="P48" s="346"/>
      <c r="Q48" s="346"/>
      <c r="R48" s="346"/>
      <c r="S48" s="346"/>
      <c r="T48" s="346"/>
      <c r="U48" s="346"/>
      <c r="V48" s="346"/>
      <c r="W48" s="346"/>
      <c r="X48" s="346"/>
      <c r="Y48" s="346"/>
      <c r="Z48" s="346"/>
      <c r="AA48" s="346"/>
      <c r="AB48" s="346"/>
      <c r="AC48" s="148"/>
      <c r="AD48" s="148"/>
    </row>
    <row r="49">
      <c r="A49" s="347" t="s">
        <v>18</v>
      </c>
      <c r="B49" s="347" t="s">
        <v>152</v>
      </c>
      <c r="C49" s="329" t="str">
        <f>VLOOKUP($B49,'Rate card'!$A$4:$G236,2,FALSE)</f>
        <v>False Ceiling</v>
      </c>
      <c r="D49" s="329" t="str">
        <f>VLOOKUP($B49,'Rate card'!$A$4:$G236,3,FALSE)</f>
        <v>Gypsum Board Cove</v>
      </c>
      <c r="E49" s="329" t="str">
        <f>VLOOKUP($B49,'Rate card'!$A$4:$G236,4,FALSE)</f>
        <v>Gypsum cove</v>
      </c>
      <c r="F49" s="329" t="str">
        <f>VLOOKUP($B49,'Rate card'!$A$4:$G236,5,FALSE)</f>
        <v>12.5mm thick gypsum board, with local A Grade Channel including all material, labour, transportation etc | Ceiling Channel and Intermediate Channel at 900mm c/c &amp; Ceiling Section at 450mm c/c</v>
      </c>
      <c r="G49" s="329" t="str">
        <f>VLOOKUP($B49,'Rate card'!$A$4:$G236,6,FALSE)</f>
        <v>Rft</v>
      </c>
      <c r="H49" s="395">
        <v>120.0</v>
      </c>
      <c r="I49" s="328" t="s">
        <v>153</v>
      </c>
      <c r="J49" s="399">
        <f t="shared" si="6"/>
        <v>96000</v>
      </c>
      <c r="K49" s="397" t="s">
        <v>151</v>
      </c>
      <c r="L49" s="346"/>
      <c r="M49" s="346"/>
      <c r="N49" s="398"/>
      <c r="O49" s="346"/>
      <c r="P49" s="346"/>
      <c r="Q49" s="346"/>
      <c r="R49" s="346"/>
      <c r="S49" s="346"/>
      <c r="T49" s="346"/>
      <c r="U49" s="346"/>
      <c r="V49" s="346"/>
      <c r="W49" s="346"/>
      <c r="X49" s="346"/>
      <c r="Y49" s="346"/>
      <c r="Z49" s="346"/>
      <c r="AA49" s="346"/>
      <c r="AB49" s="346"/>
      <c r="AC49" s="148"/>
      <c r="AD49" s="148"/>
    </row>
    <row r="50">
      <c r="A50" s="347" t="s">
        <v>24</v>
      </c>
      <c r="B50" s="356" t="s">
        <v>154</v>
      </c>
      <c r="C50" s="154" t="str">
        <f>VLOOKUP($B50,'Rate card'!$A$4:$G236,2,FALSE)</f>
        <v>False Ceiling</v>
      </c>
      <c r="D50" s="154" t="str">
        <f>VLOOKUP($B50,'Rate card'!$A$4:$G236,3,FALSE)</f>
        <v>Hilux Board ceiling</v>
      </c>
      <c r="E50" s="154" t="str">
        <f>VLOOKUP($B50,'Rate card'!$A$4:$G236,4,FALSE)</f>
        <v>Hilux Board + local A Grade  channel</v>
      </c>
      <c r="F50" s="154" t="str">
        <f>VLOOKUP($B50,'Rate card'!$A$4:$G236,5,FALSE)</f>
        <v>8mm Ramco hilux board, with local A Grade Channel including all material, labour, transportation etc | Ceiling Channel and Intermediate Channel at 900mm c/c &amp; Ceiling Section at 450mm c/c</v>
      </c>
      <c r="G50" s="154" t="str">
        <f>VLOOKUP($B50,'Rate card'!$A$4:$G236,6,FALSE)</f>
        <v>Sqft</v>
      </c>
      <c r="H50" s="151">
        <v>200.0</v>
      </c>
      <c r="I50" s="362" t="s">
        <v>155</v>
      </c>
      <c r="J50" s="358">
        <f t="shared" si="6"/>
        <v>45200</v>
      </c>
      <c r="K50" s="150" t="s">
        <v>156</v>
      </c>
      <c r="L50" s="148"/>
      <c r="M50" s="148"/>
      <c r="N50" s="151">
        <f>VLOOKUP($B50,'Rate card'!$A$4:$J236,7,FALSE)</f>
        <v>120</v>
      </c>
      <c r="O50" s="376">
        <f>I50*N50</f>
        <v>27120</v>
      </c>
      <c r="P50" s="148"/>
      <c r="Q50" s="148"/>
      <c r="R50" s="148"/>
      <c r="S50" s="148"/>
      <c r="T50" s="148"/>
      <c r="U50" s="148"/>
      <c r="V50" s="148"/>
      <c r="W50" s="148"/>
      <c r="X50" s="148"/>
      <c r="Y50" s="148"/>
      <c r="Z50" s="148"/>
      <c r="AA50" s="148"/>
      <c r="AB50" s="148"/>
      <c r="AC50" s="148"/>
      <c r="AD50" s="148"/>
    </row>
    <row r="51">
      <c r="A51" s="347" t="s">
        <v>27</v>
      </c>
      <c r="B51" s="400" t="s">
        <v>157</v>
      </c>
      <c r="C51" s="343" t="str">
        <f>VLOOKUP($B51,'Rate card'!$A$4:$G236,2,FALSE)</f>
        <v>POP</v>
      </c>
      <c r="D51" s="343" t="str">
        <f>VLOOKUP($B51,'Rate card'!$A$4:$G236,3,FALSE)</f>
        <v>POP Punning</v>
      </c>
      <c r="E51" s="343" t="str">
        <f>VLOOKUP($B51,'Rate card'!$A$4:$G236,4,FALSE)</f>
        <v>POP Punning (Plum) 12-25mm thick</v>
      </c>
      <c r="F51" s="343" t="str">
        <f>VLOOKUP($B51,'Rate card'!$A$4:$G236,5,FALSE)</f>
        <v>Providing and applying 12-25  mm thick POP punning on wall /ceiling including scrapping and hacking the existing finished surface and applying plaster of paris in proper line and levels etc. complete.</v>
      </c>
      <c r="G51" s="343" t="str">
        <f>VLOOKUP($B51,'Rate card'!$A$4:$G236,6,FALSE)</f>
        <v>Sqft</v>
      </c>
      <c r="H51" s="401">
        <v>45.0</v>
      </c>
      <c r="I51" s="402" t="s">
        <v>598</v>
      </c>
      <c r="J51" s="396">
        <f t="shared" si="6"/>
        <v>202500</v>
      </c>
      <c r="K51" s="403" t="s">
        <v>599</v>
      </c>
      <c r="L51" s="346"/>
      <c r="M51" s="346"/>
      <c r="N51" s="398"/>
      <c r="O51" s="346"/>
      <c r="P51" s="346"/>
      <c r="Q51" s="346"/>
      <c r="R51" s="346"/>
      <c r="S51" s="346"/>
      <c r="T51" s="346"/>
      <c r="U51" s="346"/>
      <c r="V51" s="346"/>
      <c r="W51" s="346"/>
      <c r="X51" s="346"/>
      <c r="Y51" s="346"/>
      <c r="Z51" s="346"/>
      <c r="AA51" s="346"/>
      <c r="AB51" s="346"/>
      <c r="AC51" s="148"/>
      <c r="AD51" s="148"/>
    </row>
    <row r="52">
      <c r="A52" s="347" t="s">
        <v>30</v>
      </c>
      <c r="B52" s="400" t="s">
        <v>600</v>
      </c>
      <c r="C52" s="343" t="str">
        <f>VLOOKUP($B52,'Rate card'!$A$4:$G236,2,FALSE)</f>
        <v>POP</v>
      </c>
      <c r="D52" s="343" t="str">
        <f>VLOOKUP($B52,'Rate card'!$A$4:$G236,3,FALSE)</f>
        <v>POP Punning dhar</v>
      </c>
      <c r="E52" s="343" t="str">
        <f>VLOOKUP($B52,'Rate card'!$A$4:$G236,4,FALSE)</f>
        <v>POP Punning (Plum) 12-25mm thick</v>
      </c>
      <c r="F52" s="343" t="str">
        <f>VLOOKUP($B52,'Rate card'!$A$4:$G236,5,FALSE)</f>
        <v>Providing and applying 12-25  mm thick POP punning on wall /ceiling including scrapping and hacking the existing finished surface and applying plaster of paris in proper line and levels etc. complete.</v>
      </c>
      <c r="G52" s="343" t="str">
        <f>VLOOKUP($B52,'Rate card'!$A$4:$G236,6,FALSE)</f>
        <v>Rft</v>
      </c>
      <c r="H52" s="401">
        <v>25.0</v>
      </c>
      <c r="I52" s="402" t="s">
        <v>601</v>
      </c>
      <c r="J52" s="396">
        <f t="shared" si="6"/>
        <v>15000</v>
      </c>
      <c r="K52" s="397" t="s">
        <v>602</v>
      </c>
      <c r="L52" s="346"/>
      <c r="M52" s="346"/>
      <c r="N52" s="398"/>
      <c r="O52" s="346"/>
      <c r="P52" s="346"/>
      <c r="Q52" s="346"/>
      <c r="R52" s="346"/>
      <c r="S52" s="346"/>
      <c r="T52" s="346"/>
      <c r="U52" s="346"/>
      <c r="V52" s="346"/>
      <c r="W52" s="346"/>
      <c r="X52" s="346"/>
      <c r="Y52" s="346"/>
      <c r="Z52" s="346"/>
      <c r="AA52" s="346"/>
      <c r="AB52" s="346"/>
      <c r="AC52" s="148"/>
      <c r="AD52" s="148"/>
    </row>
    <row r="53">
      <c r="A53" s="347" t="s">
        <v>32</v>
      </c>
      <c r="B53" s="400" t="s">
        <v>160</v>
      </c>
      <c r="C53" s="343" t="str">
        <f>VLOOKUP($B53,'Rate card'!$A$4:$G236,2,FALSE)</f>
        <v>False Ceiling</v>
      </c>
      <c r="D53" s="343" t="str">
        <f>VLOOKUP($B53,'Rate card'!$A$4:$G236,3,FALSE)</f>
        <v>Light Gala cutting</v>
      </c>
      <c r="E53" s="343" t="str">
        <f>VLOOKUP($B53,'Rate card'!$A$4:$G236,4,FALSE)</f>
        <v>NA</v>
      </c>
      <c r="F53" s="343" t="str">
        <f>VLOOKUP($B53,'Rate card'!$A$4:$G236,5,FALSE)</f>
        <v>NA</v>
      </c>
      <c r="G53" s="343" t="str">
        <f>VLOOKUP($B53,'Rate card'!$A$4:$G236,6,FALSE)</f>
        <v>Nos</v>
      </c>
      <c r="H53" s="395">
        <v>100.0</v>
      </c>
      <c r="I53" s="402" t="s">
        <v>111</v>
      </c>
      <c r="J53" s="396">
        <f t="shared" si="6"/>
        <v>15000</v>
      </c>
      <c r="K53" s="397" t="s">
        <v>151</v>
      </c>
      <c r="L53" s="346"/>
      <c r="M53" s="346"/>
      <c r="N53" s="398"/>
      <c r="O53" s="346"/>
      <c r="P53" s="346"/>
      <c r="Q53" s="346"/>
      <c r="R53" s="346"/>
      <c r="S53" s="346"/>
      <c r="T53" s="346"/>
      <c r="U53" s="346"/>
      <c r="V53" s="346"/>
      <c r="W53" s="346"/>
      <c r="X53" s="346"/>
      <c r="Y53" s="346"/>
      <c r="Z53" s="346"/>
      <c r="AA53" s="346"/>
      <c r="AB53" s="346"/>
      <c r="AC53" s="148"/>
      <c r="AD53" s="148"/>
    </row>
    <row r="54">
      <c r="A54" s="382"/>
      <c r="B54" s="404"/>
      <c r="C54" s="405"/>
      <c r="D54" s="405"/>
      <c r="E54" s="405"/>
      <c r="F54" s="405"/>
      <c r="G54" s="405"/>
      <c r="H54" s="406"/>
      <c r="I54" s="369" t="s">
        <v>125</v>
      </c>
      <c r="J54" s="384">
        <f>SUM(J48:J53)</f>
        <v>547340</v>
      </c>
      <c r="K54" s="189"/>
      <c r="L54" s="385"/>
      <c r="M54" s="179"/>
      <c r="N54" s="386"/>
      <c r="O54" s="387"/>
      <c r="P54" s="376"/>
      <c r="Q54" s="148"/>
      <c r="R54" s="148"/>
      <c r="S54" s="148"/>
      <c r="T54" s="148"/>
      <c r="U54" s="148"/>
      <c r="V54" s="148"/>
      <c r="W54" s="148"/>
      <c r="X54" s="148"/>
      <c r="Y54" s="148"/>
      <c r="Z54" s="148"/>
      <c r="AA54" s="148"/>
      <c r="AB54" s="148"/>
      <c r="AC54" s="148"/>
      <c r="AD54" s="148"/>
    </row>
    <row r="55">
      <c r="A55" s="407" t="s">
        <v>31</v>
      </c>
      <c r="B55" s="322"/>
      <c r="C55" s="322"/>
      <c r="D55" s="322"/>
      <c r="E55" s="322"/>
      <c r="F55" s="322"/>
      <c r="G55" s="323"/>
      <c r="H55" s="324"/>
      <c r="I55" s="390"/>
      <c r="J55" s="390"/>
      <c r="K55" s="294"/>
      <c r="L55" s="281"/>
      <c r="M55" s="281"/>
      <c r="N55" s="372"/>
      <c r="O55" s="373"/>
      <c r="P55" s="281"/>
      <c r="Q55" s="281"/>
      <c r="R55" s="281"/>
      <c r="S55" s="281"/>
      <c r="T55" s="281"/>
      <c r="U55" s="281"/>
      <c r="V55" s="281"/>
      <c r="W55" s="281"/>
      <c r="X55" s="281"/>
      <c r="Y55" s="281"/>
      <c r="Z55" s="281"/>
      <c r="AA55" s="281"/>
      <c r="AB55" s="281"/>
      <c r="AC55" s="281"/>
      <c r="AD55" s="281"/>
    </row>
    <row r="56">
      <c r="A56" s="321" t="s">
        <v>161</v>
      </c>
      <c r="B56" s="322"/>
      <c r="C56" s="322"/>
      <c r="D56" s="322"/>
      <c r="E56" s="322"/>
      <c r="F56" s="322"/>
      <c r="G56" s="323"/>
      <c r="H56" s="324"/>
      <c r="I56" s="322"/>
      <c r="J56" s="324"/>
      <c r="K56" s="294"/>
      <c r="L56" s="281"/>
      <c r="M56" s="281"/>
      <c r="N56" s="372"/>
      <c r="O56" s="373"/>
      <c r="P56" s="281"/>
      <c r="Q56" s="281"/>
      <c r="R56" s="281"/>
      <c r="S56" s="281"/>
      <c r="T56" s="281"/>
      <c r="U56" s="281"/>
      <c r="V56" s="281"/>
      <c r="W56" s="281"/>
      <c r="X56" s="281"/>
      <c r="Y56" s="281"/>
      <c r="Z56" s="281"/>
      <c r="AA56" s="281"/>
      <c r="AB56" s="281"/>
      <c r="AC56" s="281"/>
      <c r="AD56" s="281"/>
    </row>
    <row r="57">
      <c r="A57" s="408" t="s">
        <v>16</v>
      </c>
      <c r="B57" s="409" t="s">
        <v>162</v>
      </c>
      <c r="C57" s="410" t="str">
        <f>VLOOKUP($B57,'Rate card'!$A$4:$G236,2,FALSE)</f>
        <v>Carpentry</v>
      </c>
      <c r="D57" s="411" t="s">
        <v>163</v>
      </c>
      <c r="E57" s="412" t="str">
        <f>VLOOKUP($B57,'Rate card'!$A$4:$G236,4,FALSE)</f>
        <v>Laminate Finish</v>
      </c>
      <c r="F57" s="412" t="str">
        <f>VLOOKUP($B57,'Rate card'!$A$4:$G236,5,FALSE)</f>
        <v>MRply + finish laminate from both sides</v>
      </c>
      <c r="G57" s="410" t="str">
        <f>VLOOKUP($B57,'Rate card'!$A$4:$G236,6,FALSE)</f>
        <v>Nos</v>
      </c>
      <c r="H57" s="413">
        <v>45000.0</v>
      </c>
      <c r="I57" s="414" t="s">
        <v>16</v>
      </c>
      <c r="J57" s="415">
        <f t="shared" ref="J57:J68" si="7">H57*I57</f>
        <v>45000</v>
      </c>
      <c r="K57" s="411" t="s">
        <v>166</v>
      </c>
      <c r="L57" s="281"/>
      <c r="M57" s="281"/>
      <c r="N57" s="416"/>
      <c r="O57" s="281"/>
      <c r="P57" s="281"/>
      <c r="Q57" s="281"/>
      <c r="R57" s="281"/>
      <c r="S57" s="281"/>
      <c r="T57" s="281"/>
      <c r="U57" s="281"/>
      <c r="V57" s="281"/>
      <c r="W57" s="281"/>
      <c r="X57" s="281"/>
      <c r="Y57" s="281"/>
      <c r="Z57" s="281"/>
      <c r="AA57" s="281"/>
      <c r="AB57" s="281"/>
      <c r="AC57" s="281"/>
      <c r="AD57" s="281"/>
    </row>
    <row r="58">
      <c r="A58" s="408" t="s">
        <v>18</v>
      </c>
      <c r="B58" s="417" t="s">
        <v>238</v>
      </c>
      <c r="C58" s="417" t="str">
        <f>VLOOKUP($B58,'Rate card'!$A$4:$G236,2,FALSE)</f>
        <v>Carpentry</v>
      </c>
      <c r="D58" s="417" t="str">
        <f>VLOOKUP($B58,'Rate card'!$A$4:$G236,3,FALSE)</f>
        <v>Panelling with framing</v>
      </c>
      <c r="E58" s="417" t="str">
        <f>VLOOKUP($B58,'Rate card'!$A$4:$G236,4,FALSE)</f>
        <v>Laminate Finish</v>
      </c>
      <c r="F58" s="417" t="str">
        <f>VLOOKUP($B58,'Rate card'!$A$4:$G236,5,FALSE)</f>
        <v>MR ply + ply framing + finish laminate</v>
      </c>
      <c r="G58" s="417" t="str">
        <f>VLOOKUP($B58,'Rate card'!$A$4:$G236,6,FALSE)</f>
        <v>Sqft</v>
      </c>
      <c r="H58" s="417">
        <v>650.0</v>
      </c>
      <c r="I58" s="418" t="s">
        <v>121</v>
      </c>
      <c r="J58" s="358">
        <f t="shared" si="7"/>
        <v>13000</v>
      </c>
      <c r="K58" s="404" t="s">
        <v>603</v>
      </c>
      <c r="L58" s="148"/>
      <c r="M58" s="148"/>
      <c r="N58" s="151">
        <f>VLOOKUP($B58,'Rate card'!$A$4:$J236,7,FALSE)</f>
        <v>450</v>
      </c>
      <c r="O58" s="376">
        <f t="shared" ref="O58:O63" si="8">I58*N58</f>
        <v>9000</v>
      </c>
      <c r="P58" s="148"/>
      <c r="Q58" s="148"/>
      <c r="R58" s="148"/>
      <c r="S58" s="148"/>
      <c r="T58" s="148"/>
      <c r="U58" s="148"/>
      <c r="V58" s="148"/>
      <c r="W58" s="148"/>
      <c r="X58" s="148"/>
      <c r="Y58" s="148"/>
      <c r="Z58" s="148"/>
      <c r="AA58" s="148"/>
      <c r="AB58" s="148"/>
      <c r="AC58" s="148"/>
      <c r="AD58" s="148"/>
    </row>
    <row r="59">
      <c r="A59" s="408" t="s">
        <v>24</v>
      </c>
      <c r="B59" s="419" t="s">
        <v>170</v>
      </c>
      <c r="C59" s="420" t="str">
        <f>VLOOKUP($B59,'Rate card'!$A$4:$G236,2,FALSE)</f>
        <v>Carpentry</v>
      </c>
      <c r="D59" s="420" t="str">
        <f>VLOOKUP($B59,'Rate card'!$A$4:$G236,3,FALSE)</f>
        <v>Carcass Storage</v>
      </c>
      <c r="E59" s="420" t="str">
        <f>VLOOKUP($B59,'Rate card'!$A$4:$G236,4,FALSE)</f>
        <v>Laminate Finish</v>
      </c>
      <c r="F59" s="420" t="str">
        <f>VLOOKUP($B59,'Rate card'!$A$4:$G236,5,FALSE)</f>
        <v>MR ply + Inside laminate + finish laminate</v>
      </c>
      <c r="G59" s="420" t="str">
        <f>VLOOKUP($B59,'Rate card'!$A$4:$G236,6,FALSE)</f>
        <v>Sqft</v>
      </c>
      <c r="H59" s="413">
        <v>1800.0</v>
      </c>
      <c r="I59" s="421">
        <f>5*3</f>
        <v>15</v>
      </c>
      <c r="J59" s="415">
        <f t="shared" si="7"/>
        <v>27000</v>
      </c>
      <c r="K59" s="422" t="s">
        <v>604</v>
      </c>
      <c r="L59" s="281"/>
      <c r="M59" s="281"/>
      <c r="N59" s="416">
        <f>VLOOKUP($B59,'Rate card'!$A$4:$J236,7,FALSE)</f>
        <v>1350</v>
      </c>
      <c r="O59" s="281">
        <f t="shared" si="8"/>
        <v>20250</v>
      </c>
      <c r="P59" s="281"/>
      <c r="Q59" s="281"/>
      <c r="R59" s="281"/>
      <c r="S59" s="281"/>
      <c r="T59" s="281"/>
      <c r="U59" s="281"/>
      <c r="V59" s="281"/>
      <c r="W59" s="281"/>
      <c r="X59" s="281"/>
      <c r="Y59" s="281"/>
      <c r="Z59" s="281"/>
      <c r="AA59" s="281"/>
      <c r="AB59" s="281"/>
      <c r="AC59" s="281"/>
      <c r="AD59" s="281"/>
    </row>
    <row r="60">
      <c r="A60" s="408" t="s">
        <v>27</v>
      </c>
      <c r="B60" s="419" t="s">
        <v>170</v>
      </c>
      <c r="C60" s="420" t="str">
        <f>VLOOKUP($B60,'Rate card'!$A$4:$G236,2,FALSE)</f>
        <v>Carpentry</v>
      </c>
      <c r="D60" s="420" t="str">
        <f>VLOOKUP($B60,'Rate card'!$A$4:$G236,3,FALSE)</f>
        <v>Carcass Storage</v>
      </c>
      <c r="E60" s="420" t="str">
        <f>VLOOKUP($B60,'Rate card'!$A$4:$G236,4,FALSE)</f>
        <v>Laminate Finish</v>
      </c>
      <c r="F60" s="420" t="str">
        <f>VLOOKUP($B60,'Rate card'!$A$4:$G236,5,FALSE)</f>
        <v>MR ply + Inside laminate + finish laminate</v>
      </c>
      <c r="G60" s="413" t="s">
        <v>188</v>
      </c>
      <c r="H60" s="413">
        <v>4500.0</v>
      </c>
      <c r="I60" s="421" t="s">
        <v>34</v>
      </c>
      <c r="J60" s="415">
        <f t="shared" si="7"/>
        <v>31500</v>
      </c>
      <c r="K60" s="422" t="s">
        <v>190</v>
      </c>
      <c r="L60" s="281"/>
      <c r="M60" s="281"/>
      <c r="N60" s="416">
        <f>VLOOKUP($B60,'Rate card'!$A$4:$J236,7,FALSE)</f>
        <v>1350</v>
      </c>
      <c r="O60" s="281">
        <f t="shared" si="8"/>
        <v>9450</v>
      </c>
      <c r="P60" s="281"/>
      <c r="Q60" s="281"/>
      <c r="R60" s="281"/>
      <c r="S60" s="281"/>
      <c r="T60" s="281"/>
      <c r="U60" s="281"/>
      <c r="V60" s="281"/>
      <c r="W60" s="281"/>
      <c r="X60" s="281"/>
      <c r="Y60" s="281"/>
      <c r="Z60" s="281"/>
      <c r="AA60" s="281"/>
      <c r="AB60" s="281"/>
      <c r="AC60" s="281"/>
      <c r="AD60" s="281"/>
    </row>
    <row r="61">
      <c r="A61" s="408" t="s">
        <v>30</v>
      </c>
      <c r="B61" s="419" t="s">
        <v>170</v>
      </c>
      <c r="C61" s="420" t="str">
        <f>VLOOKUP($B61,'Rate card'!$A$4:$G236,2,FALSE)</f>
        <v>Carpentry</v>
      </c>
      <c r="D61" s="420" t="str">
        <f>VLOOKUP($B61,'Rate card'!$A$4:$G236,3,FALSE)</f>
        <v>Carcass Storage</v>
      </c>
      <c r="E61" s="420" t="str">
        <f>VLOOKUP($B61,'Rate card'!$A$4:$G236,4,FALSE)</f>
        <v>Laminate Finish</v>
      </c>
      <c r="F61" s="420" t="str">
        <f>VLOOKUP($B61,'Rate card'!$A$4:$G236,5,FALSE)</f>
        <v>MR ply + Inside laminate + finish laminate</v>
      </c>
      <c r="G61" s="420" t="str">
        <f>VLOOKUP($B61,'Rate card'!$A$4:$G236,6,FALSE)</f>
        <v>Sqft</v>
      </c>
      <c r="H61" s="420">
        <f>VLOOKUP($B61,'Rate card'!$A$4:$J236,8,FALSE)</f>
        <v>1800</v>
      </c>
      <c r="I61" s="421">
        <f>7*7</f>
        <v>49</v>
      </c>
      <c r="J61" s="415">
        <f t="shared" si="7"/>
        <v>88200</v>
      </c>
      <c r="K61" s="422" t="s">
        <v>193</v>
      </c>
      <c r="L61" s="281"/>
      <c r="M61" s="281"/>
      <c r="N61" s="416">
        <f>VLOOKUP($B61,'Rate card'!$A$4:$J236,7,FALSE)</f>
        <v>1350</v>
      </c>
      <c r="O61" s="281">
        <f t="shared" si="8"/>
        <v>66150</v>
      </c>
      <c r="P61" s="281"/>
      <c r="Q61" s="281"/>
      <c r="R61" s="281"/>
      <c r="S61" s="281"/>
      <c r="T61" s="281"/>
      <c r="U61" s="281"/>
      <c r="V61" s="281"/>
      <c r="W61" s="281"/>
      <c r="X61" s="281"/>
      <c r="Y61" s="281"/>
      <c r="Z61" s="281"/>
      <c r="AA61" s="281"/>
      <c r="AB61" s="281"/>
      <c r="AC61" s="281"/>
      <c r="AD61" s="281"/>
    </row>
    <row r="62">
      <c r="A62" s="408" t="s">
        <v>32</v>
      </c>
      <c r="B62" s="419" t="s">
        <v>170</v>
      </c>
      <c r="C62" s="420" t="str">
        <f>VLOOKUP($B62,'Rate card'!$A$4:$G236,2,FALSE)</f>
        <v>Carpentry</v>
      </c>
      <c r="D62" s="420" t="str">
        <f>VLOOKUP($B62,'Rate card'!$A$4:$G236,3,FALSE)</f>
        <v>Carcass Storage</v>
      </c>
      <c r="E62" s="420" t="str">
        <f>VLOOKUP($B62,'Rate card'!$A$4:$G236,4,FALSE)</f>
        <v>Laminate Finish</v>
      </c>
      <c r="F62" s="420" t="str">
        <f>VLOOKUP($B62,'Rate card'!$A$4:$G236,5,FALSE)</f>
        <v>MR ply + Inside laminate + finish laminate</v>
      </c>
      <c r="G62" s="420" t="str">
        <f>VLOOKUP($B62,'Rate card'!$A$4:$G236,6,FALSE)</f>
        <v>Sqft</v>
      </c>
      <c r="H62" s="420">
        <f>VLOOKUP($B62,'Rate card'!$A$4:$J236,8,FALSE)</f>
        <v>1800</v>
      </c>
      <c r="I62" s="421">
        <f>4*7</f>
        <v>28</v>
      </c>
      <c r="J62" s="415">
        <f t="shared" si="7"/>
        <v>50400</v>
      </c>
      <c r="K62" s="422" t="s">
        <v>195</v>
      </c>
      <c r="L62" s="281"/>
      <c r="M62" s="281"/>
      <c r="N62" s="416">
        <f>VLOOKUP($B62,'Rate card'!$A$4:$J236,7,FALSE)</f>
        <v>1350</v>
      </c>
      <c r="O62" s="281">
        <f t="shared" si="8"/>
        <v>37800</v>
      </c>
      <c r="P62" s="281"/>
      <c r="Q62" s="281"/>
      <c r="R62" s="281"/>
      <c r="S62" s="281"/>
      <c r="T62" s="281"/>
      <c r="U62" s="281"/>
      <c r="V62" s="281"/>
      <c r="W62" s="281"/>
      <c r="X62" s="281"/>
      <c r="Y62" s="281"/>
      <c r="Z62" s="281"/>
      <c r="AA62" s="281"/>
      <c r="AB62" s="281"/>
      <c r="AC62" s="281"/>
      <c r="AD62" s="281"/>
    </row>
    <row r="63">
      <c r="A63" s="408" t="s">
        <v>34</v>
      </c>
      <c r="B63" s="419" t="s">
        <v>170</v>
      </c>
      <c r="C63" s="420" t="str">
        <f>VLOOKUP($B63,'Rate card'!$A$4:$G236,2,FALSE)</f>
        <v>Carpentry</v>
      </c>
      <c r="D63" s="420" t="str">
        <f>VLOOKUP($B63,'Rate card'!$A$4:$G236,3,FALSE)</f>
        <v>Carcass Storage</v>
      </c>
      <c r="E63" s="420" t="str">
        <f>VLOOKUP($B63,'Rate card'!$A$4:$G236,4,FALSE)</f>
        <v>Laminate Finish</v>
      </c>
      <c r="F63" s="420" t="str">
        <f>VLOOKUP($B63,'Rate card'!$A$4:$G236,5,FALSE)</f>
        <v>MR ply + Inside laminate + finish laminate</v>
      </c>
      <c r="G63" s="420" t="str">
        <f>VLOOKUP($B63,'Rate card'!$A$4:$G236,6,FALSE)</f>
        <v>Sqft</v>
      </c>
      <c r="H63" s="420">
        <f>VLOOKUP($B63,'Rate card'!$A$4:$J236,8,FALSE)</f>
        <v>1800</v>
      </c>
      <c r="I63" s="421">
        <f>5*3.5</f>
        <v>17.5</v>
      </c>
      <c r="J63" s="415">
        <f t="shared" si="7"/>
        <v>31500</v>
      </c>
      <c r="K63" s="422" t="s">
        <v>183</v>
      </c>
      <c r="L63" s="281"/>
      <c r="M63" s="281"/>
      <c r="N63" s="416">
        <f>VLOOKUP($B63,'Rate card'!$A$4:$J236,7,FALSE)</f>
        <v>1350</v>
      </c>
      <c r="O63" s="281">
        <f t="shared" si="8"/>
        <v>23625</v>
      </c>
      <c r="P63" s="281"/>
      <c r="Q63" s="281"/>
      <c r="R63" s="281"/>
      <c r="S63" s="281"/>
      <c r="T63" s="281"/>
      <c r="U63" s="281"/>
      <c r="V63" s="281"/>
      <c r="W63" s="281"/>
      <c r="X63" s="281"/>
      <c r="Y63" s="281"/>
      <c r="Z63" s="281"/>
      <c r="AA63" s="281"/>
      <c r="AB63" s="281"/>
      <c r="AC63" s="281"/>
      <c r="AD63" s="281"/>
    </row>
    <row r="64">
      <c r="A64" s="408" t="s">
        <v>36</v>
      </c>
      <c r="B64" s="419" t="s">
        <v>179</v>
      </c>
      <c r="C64" s="410" t="str">
        <f>VLOOKUP($B64,'Rate card'!$A$4:$G236,2,FALSE)</f>
        <v>Carpentry</v>
      </c>
      <c r="D64" s="410" t="str">
        <f>VLOOKUP($B64,'Rate card'!$A$4:$G236,3,FALSE)</f>
        <v>Panelling with framing</v>
      </c>
      <c r="E64" s="410" t="str">
        <f>VLOOKUP($B64,'Rate card'!$A$4:$G236,4,FALSE)</f>
        <v>MDF</v>
      </c>
      <c r="F64" s="410" t="str">
        <f>VLOOKUP($B64,'Rate card'!$A$4:$G236,5,FALSE)</f>
        <v>MR ply + ply framing + 12mm MDF</v>
      </c>
      <c r="G64" s="410" t="str">
        <f>VLOOKUP($B64,'Rate card'!$A$4:$G236,6,FALSE)</f>
        <v>Sqft</v>
      </c>
      <c r="H64" s="413">
        <v>600.0</v>
      </c>
      <c r="I64" s="414" t="s">
        <v>224</v>
      </c>
      <c r="J64" s="415">
        <f t="shared" si="7"/>
        <v>13200</v>
      </c>
      <c r="K64" s="411" t="s">
        <v>605</v>
      </c>
      <c r="L64" s="281"/>
      <c r="M64" s="281"/>
      <c r="N64" s="416"/>
      <c r="O64" s="281"/>
      <c r="P64" s="281"/>
      <c r="Q64" s="281"/>
      <c r="R64" s="281"/>
      <c r="S64" s="281"/>
      <c r="T64" s="281"/>
      <c r="U64" s="281"/>
      <c r="V64" s="281"/>
      <c r="W64" s="281"/>
      <c r="X64" s="281"/>
      <c r="Y64" s="281"/>
      <c r="Z64" s="281"/>
      <c r="AA64" s="281"/>
      <c r="AB64" s="281"/>
      <c r="AC64" s="281"/>
      <c r="AD64" s="281"/>
    </row>
    <row r="65">
      <c r="A65" s="408" t="s">
        <v>92</v>
      </c>
      <c r="B65" s="423" t="s">
        <v>179</v>
      </c>
      <c r="C65" s="395" t="s">
        <v>31</v>
      </c>
      <c r="D65" s="343" t="s">
        <v>180</v>
      </c>
      <c r="E65" s="403" t="s">
        <v>606</v>
      </c>
      <c r="F65" s="403" t="s">
        <v>606</v>
      </c>
      <c r="G65" s="411" t="s">
        <v>607</v>
      </c>
      <c r="H65" s="413">
        <v>50000.0</v>
      </c>
      <c r="I65" s="421" t="s">
        <v>16</v>
      </c>
      <c r="J65" s="396">
        <f t="shared" si="7"/>
        <v>50000</v>
      </c>
      <c r="K65" s="333" t="s">
        <v>608</v>
      </c>
      <c r="L65" s="346"/>
      <c r="M65" s="346"/>
      <c r="N65" s="371"/>
      <c r="O65" s="346"/>
      <c r="P65" s="346"/>
      <c r="Q65" s="346"/>
      <c r="R65" s="346"/>
      <c r="S65" s="346"/>
      <c r="T65" s="346"/>
      <c r="U65" s="346"/>
      <c r="V65" s="346"/>
      <c r="W65" s="346"/>
      <c r="X65" s="346"/>
      <c r="Y65" s="346"/>
      <c r="Z65" s="346"/>
      <c r="AA65" s="346"/>
      <c r="AB65" s="346"/>
      <c r="AC65" s="281"/>
      <c r="AD65" s="281"/>
    </row>
    <row r="66">
      <c r="A66" s="408" t="s">
        <v>95</v>
      </c>
      <c r="B66" s="423" t="s">
        <v>179</v>
      </c>
      <c r="C66" s="395" t="s">
        <v>31</v>
      </c>
      <c r="D66" s="343" t="s">
        <v>180</v>
      </c>
      <c r="E66" s="395" t="str">
        <f>E63</f>
        <v>Laminate Finish</v>
      </c>
      <c r="F66" s="395" t="str">
        <f t="shared" ref="F66:F68" si="9">F64</f>
        <v>MR ply + ply framing + 12mm MDF</v>
      </c>
      <c r="G66" s="410" t="str">
        <f>VLOOKUP($B66,'Rate card'!$A$4:$G236,6,FALSE)</f>
        <v>Sqft</v>
      </c>
      <c r="H66" s="413">
        <v>650.0</v>
      </c>
      <c r="I66" s="421" t="s">
        <v>609</v>
      </c>
      <c r="J66" s="396">
        <f t="shared" si="7"/>
        <v>48750</v>
      </c>
      <c r="K66" s="333" t="s">
        <v>199</v>
      </c>
      <c r="L66" s="346"/>
      <c r="M66" s="346"/>
      <c r="N66" s="371"/>
      <c r="O66" s="346"/>
      <c r="P66" s="346"/>
      <c r="Q66" s="346"/>
      <c r="R66" s="346"/>
      <c r="S66" s="346"/>
      <c r="T66" s="346"/>
      <c r="U66" s="346"/>
      <c r="V66" s="346"/>
      <c r="W66" s="346"/>
      <c r="X66" s="346"/>
      <c r="Y66" s="346"/>
      <c r="Z66" s="346"/>
      <c r="AA66" s="346"/>
      <c r="AB66" s="346"/>
      <c r="AC66" s="281"/>
      <c r="AD66" s="281"/>
    </row>
    <row r="67">
      <c r="A67" s="408" t="s">
        <v>97</v>
      </c>
      <c r="B67" s="423" t="s">
        <v>179</v>
      </c>
      <c r="C67" s="395" t="s">
        <v>31</v>
      </c>
      <c r="D67" s="343" t="s">
        <v>180</v>
      </c>
      <c r="E67" s="395" t="str">
        <f>E66</f>
        <v>Laminate Finish</v>
      </c>
      <c r="F67" s="395" t="str">
        <f t="shared" si="9"/>
        <v>Moulding &amp; Mirror</v>
      </c>
      <c r="G67" s="410" t="str">
        <f>VLOOKUP($B67,'Rate card'!$A$4:$G236,6,FALSE)</f>
        <v>Sqft</v>
      </c>
      <c r="H67" s="413">
        <v>650.0</v>
      </c>
      <c r="I67" s="421" t="s">
        <v>216</v>
      </c>
      <c r="J67" s="396">
        <f t="shared" si="7"/>
        <v>19500</v>
      </c>
      <c r="K67" s="333" t="s">
        <v>610</v>
      </c>
      <c r="L67" s="346"/>
      <c r="M67" s="346"/>
      <c r="N67" s="371"/>
      <c r="O67" s="346"/>
      <c r="P67" s="346"/>
      <c r="Q67" s="346"/>
      <c r="R67" s="346"/>
      <c r="S67" s="346"/>
      <c r="T67" s="346"/>
      <c r="U67" s="346"/>
      <c r="V67" s="346"/>
      <c r="W67" s="346"/>
      <c r="X67" s="346"/>
      <c r="Y67" s="346"/>
      <c r="Z67" s="346"/>
      <c r="AA67" s="346"/>
      <c r="AB67" s="346"/>
      <c r="AC67" s="281"/>
      <c r="AD67" s="281"/>
    </row>
    <row r="68">
      <c r="A68" s="408" t="s">
        <v>100</v>
      </c>
      <c r="B68" s="423" t="s">
        <v>179</v>
      </c>
      <c r="C68" s="395" t="s">
        <v>31</v>
      </c>
      <c r="D68" s="343" t="s">
        <v>180</v>
      </c>
      <c r="E68" s="403" t="s">
        <v>606</v>
      </c>
      <c r="F68" s="395" t="str">
        <f t="shared" si="9"/>
        <v>MR ply + ply framing + 12mm MDF</v>
      </c>
      <c r="G68" s="410" t="str">
        <f>VLOOKUP($B68,'Rate card'!$A$4:$G236,6,FALSE)</f>
        <v>Sqft</v>
      </c>
      <c r="H68" s="413">
        <v>650.0</v>
      </c>
      <c r="I68" s="421" t="s">
        <v>64</v>
      </c>
      <c r="J68" s="396">
        <f t="shared" si="7"/>
        <v>26000</v>
      </c>
      <c r="K68" s="333" t="s">
        <v>611</v>
      </c>
      <c r="L68" s="346"/>
      <c r="M68" s="346"/>
      <c r="N68" s="371"/>
      <c r="O68" s="346"/>
      <c r="P68" s="346"/>
      <c r="Q68" s="346"/>
      <c r="R68" s="346"/>
      <c r="S68" s="346"/>
      <c r="T68" s="346"/>
      <c r="U68" s="346"/>
      <c r="V68" s="346"/>
      <c r="W68" s="346"/>
      <c r="X68" s="346"/>
      <c r="Y68" s="346"/>
      <c r="Z68" s="346"/>
      <c r="AA68" s="346"/>
      <c r="AB68" s="346"/>
      <c r="AC68" s="281"/>
      <c r="AD68" s="281"/>
    </row>
    <row r="69">
      <c r="A69" s="424" t="s">
        <v>205</v>
      </c>
      <c r="B69" s="323"/>
      <c r="C69" s="323"/>
      <c r="D69" s="323"/>
      <c r="E69" s="323"/>
      <c r="F69" s="323"/>
      <c r="G69" s="323"/>
      <c r="H69" s="324"/>
      <c r="I69" s="425"/>
      <c r="J69" s="323"/>
      <c r="K69" s="426"/>
      <c r="L69" s="297"/>
      <c r="M69" s="297"/>
      <c r="N69" s="297"/>
      <c r="O69" s="299"/>
      <c r="P69" s="297"/>
      <c r="Q69" s="281"/>
      <c r="R69" s="281"/>
      <c r="S69" s="281"/>
      <c r="T69" s="281"/>
      <c r="U69" s="281"/>
      <c r="V69" s="281"/>
      <c r="W69" s="281"/>
      <c r="X69" s="281"/>
      <c r="Y69" s="281"/>
      <c r="Z69" s="281"/>
      <c r="AA69" s="281"/>
      <c r="AB69" s="281"/>
      <c r="AC69" s="281"/>
      <c r="AD69" s="281"/>
    </row>
    <row r="70">
      <c r="A70" s="408" t="s">
        <v>16</v>
      </c>
      <c r="B70" s="419" t="s">
        <v>170</v>
      </c>
      <c r="C70" s="420" t="str">
        <f>VLOOKUP($B70,'Rate card'!$A$4:$G236,2,FALSE)</f>
        <v>Carpentry</v>
      </c>
      <c r="D70" s="420" t="str">
        <f>VLOOKUP($B70,'Rate card'!$A$4:$G236,3,FALSE)</f>
        <v>Carcass Storage</v>
      </c>
      <c r="E70" s="413" t="s">
        <v>206</v>
      </c>
      <c r="F70" s="413" t="s">
        <v>207</v>
      </c>
      <c r="G70" s="420" t="str">
        <f>VLOOKUP($B70,'Rate card'!$A$4:$G236,6,FALSE)</f>
        <v>Sqft</v>
      </c>
      <c r="H70" s="413">
        <v>2700.0</v>
      </c>
      <c r="I70" s="422" t="s">
        <v>612</v>
      </c>
      <c r="J70" s="415">
        <f t="shared" ref="J70:J75" si="10">H70*I70</f>
        <v>113400</v>
      </c>
      <c r="K70" s="413" t="s">
        <v>208</v>
      </c>
      <c r="L70" s="427"/>
      <c r="M70" s="297"/>
      <c r="N70" s="297"/>
      <c r="O70" s="428"/>
      <c r="P70" s="297"/>
      <c r="Q70" s="281"/>
      <c r="R70" s="281"/>
      <c r="S70" s="281"/>
      <c r="T70" s="281"/>
      <c r="U70" s="281"/>
      <c r="V70" s="281"/>
      <c r="W70" s="281"/>
      <c r="X70" s="281"/>
      <c r="Y70" s="281"/>
      <c r="Z70" s="281"/>
      <c r="AA70" s="281"/>
      <c r="AB70" s="281"/>
      <c r="AC70" s="281"/>
      <c r="AD70" s="281"/>
    </row>
    <row r="71">
      <c r="A71" s="408" t="s">
        <v>18</v>
      </c>
      <c r="B71" s="419" t="s">
        <v>170</v>
      </c>
      <c r="C71" s="420" t="str">
        <f>VLOOKUP($B71,'Rate card'!$A$4:$G236,2,FALSE)</f>
        <v>Carpentry</v>
      </c>
      <c r="D71" s="420" t="str">
        <f>VLOOKUP($B71,'Rate card'!$A$4:$G236,3,FALSE)</f>
        <v>Carcass Storage</v>
      </c>
      <c r="E71" s="413" t="s">
        <v>206</v>
      </c>
      <c r="F71" s="413" t="s">
        <v>207</v>
      </c>
      <c r="G71" s="420" t="str">
        <f>VLOOKUP($B71,'Rate card'!$A$4:$G236,6,FALSE)</f>
        <v>Sqft</v>
      </c>
      <c r="H71" s="413">
        <v>2700.0</v>
      </c>
      <c r="I71" s="408">
        <f>7.5*2.5+6.5*2.5+40</f>
        <v>75</v>
      </c>
      <c r="J71" s="415">
        <f t="shared" si="10"/>
        <v>202500</v>
      </c>
      <c r="K71" s="413" t="s">
        <v>209</v>
      </c>
      <c r="L71" s="427"/>
      <c r="M71" s="297"/>
      <c r="N71" s="297"/>
      <c r="O71" s="428"/>
      <c r="P71" s="297"/>
      <c r="Q71" s="281"/>
      <c r="R71" s="281"/>
      <c r="S71" s="281"/>
      <c r="T71" s="281"/>
      <c r="U71" s="281"/>
      <c r="V71" s="281"/>
      <c r="W71" s="281"/>
      <c r="X71" s="281"/>
      <c r="Y71" s="281"/>
      <c r="Z71" s="281"/>
      <c r="AA71" s="281"/>
      <c r="AB71" s="281"/>
      <c r="AC71" s="281"/>
      <c r="AD71" s="281"/>
    </row>
    <row r="72">
      <c r="A72" s="408" t="s">
        <v>24</v>
      </c>
      <c r="B72" s="419" t="s">
        <v>170</v>
      </c>
      <c r="C72" s="420" t="str">
        <f>VLOOKUP($B72,'Rate card'!$A$4:$G236,2,FALSE)</f>
        <v>Carpentry</v>
      </c>
      <c r="D72" s="420" t="str">
        <f>VLOOKUP($B72,'Rate card'!$A$4:$G236,3,FALSE)</f>
        <v>Carcass Storage</v>
      </c>
      <c r="E72" s="413" t="s">
        <v>206</v>
      </c>
      <c r="F72" s="413" t="s">
        <v>207</v>
      </c>
      <c r="G72" s="420" t="str">
        <f>VLOOKUP($B72,'Rate card'!$A$4:$G236,6,FALSE)</f>
        <v>Sqft</v>
      </c>
      <c r="H72" s="413">
        <v>2700.0</v>
      </c>
      <c r="I72" s="422" t="s">
        <v>613</v>
      </c>
      <c r="J72" s="415">
        <f t="shared" si="10"/>
        <v>75600</v>
      </c>
      <c r="K72" s="413" t="s">
        <v>614</v>
      </c>
      <c r="L72" s="427"/>
      <c r="M72" s="297"/>
      <c r="N72" s="297"/>
      <c r="O72" s="428"/>
      <c r="P72" s="297"/>
      <c r="Q72" s="281"/>
      <c r="R72" s="281"/>
      <c r="S72" s="281"/>
      <c r="T72" s="281"/>
      <c r="U72" s="281"/>
      <c r="V72" s="281"/>
      <c r="W72" s="281"/>
      <c r="X72" s="281"/>
      <c r="Y72" s="281"/>
      <c r="Z72" s="281"/>
      <c r="AA72" s="281"/>
      <c r="AB72" s="281"/>
      <c r="AC72" s="281"/>
      <c r="AD72" s="281"/>
    </row>
    <row r="73">
      <c r="A73" s="408" t="s">
        <v>27</v>
      </c>
      <c r="B73" s="419" t="s">
        <v>211</v>
      </c>
      <c r="C73" s="420" t="str">
        <f>VLOOKUP($B73,'Rate card'!$A$4:$G236,2,FALSE)</f>
        <v>Carpentry</v>
      </c>
      <c r="D73" s="420" t="str">
        <f>VLOOKUP($B73,'Rate card'!$A$4:$G236,3,FALSE)</f>
        <v>Kitchen Basket </v>
      </c>
      <c r="E73" s="413" t="s">
        <v>212</v>
      </c>
      <c r="F73" s="420" t="str">
        <f>VLOOKUP($B73,'Rate card'!$A$4:$G236,5,FALSE)</f>
        <v>Basket + Channel+Fitting charges</v>
      </c>
      <c r="G73" s="420" t="str">
        <f>VLOOKUP($B73,'Rate card'!$A$4:$G236,6,FALSE)</f>
        <v>Nos</v>
      </c>
      <c r="H73" s="413">
        <v>8000.0</v>
      </c>
      <c r="I73" s="414" t="s">
        <v>30</v>
      </c>
      <c r="J73" s="415">
        <f t="shared" si="10"/>
        <v>40000</v>
      </c>
      <c r="K73" s="413" t="s">
        <v>213</v>
      </c>
      <c r="L73" s="427"/>
      <c r="M73" s="297"/>
      <c r="N73" s="297"/>
      <c r="O73" s="428"/>
      <c r="P73" s="297"/>
      <c r="Q73" s="281"/>
      <c r="R73" s="281"/>
      <c r="S73" s="281"/>
      <c r="T73" s="281"/>
      <c r="U73" s="281"/>
      <c r="V73" s="281"/>
      <c r="W73" s="281"/>
      <c r="X73" s="281"/>
      <c r="Y73" s="281"/>
      <c r="Z73" s="281"/>
      <c r="AA73" s="281"/>
      <c r="AB73" s="281"/>
      <c r="AC73" s="281"/>
      <c r="AD73" s="281"/>
    </row>
    <row r="74">
      <c r="A74" s="408" t="s">
        <v>30</v>
      </c>
      <c r="B74" s="419" t="s">
        <v>214</v>
      </c>
      <c r="C74" s="420" t="str">
        <f>VLOOKUP($B74,'Rate card'!$A$4:$G236,2,FALSE)</f>
        <v>Carpentry</v>
      </c>
      <c r="D74" s="420" t="str">
        <f>VLOOKUP($B74,'Rate card'!$A$4:$G236,3,FALSE)</f>
        <v>Wicker basket</v>
      </c>
      <c r="E74" s="420" t="str">
        <f>VLOOKUP($B74,'Rate card'!$A$4:$G236,4,FALSE)</f>
        <v>Wicker basket</v>
      </c>
      <c r="F74" s="420" t="str">
        <f>VLOOKUP($B74,'Rate card'!$A$4:$G236,5,FALSE)</f>
        <v>Basket + Channel+Fitting charges</v>
      </c>
      <c r="G74" s="420" t="str">
        <f>VLOOKUP($B74,'Rate card'!$A$4:$G236,6,FALSE)</f>
        <v>Nos</v>
      </c>
      <c r="H74" s="413">
        <v>6000.0</v>
      </c>
      <c r="I74" s="414" t="s">
        <v>18</v>
      </c>
      <c r="J74" s="415">
        <f t="shared" si="10"/>
        <v>12000</v>
      </c>
      <c r="K74" s="413" t="s">
        <v>213</v>
      </c>
      <c r="L74" s="427"/>
      <c r="M74" s="297"/>
      <c r="N74" s="297"/>
      <c r="O74" s="428"/>
      <c r="P74" s="297"/>
      <c r="Q74" s="281"/>
      <c r="R74" s="281"/>
      <c r="S74" s="281"/>
      <c r="T74" s="281"/>
      <c r="U74" s="281"/>
      <c r="V74" s="281"/>
      <c r="W74" s="281"/>
      <c r="X74" s="281"/>
      <c r="Y74" s="281"/>
      <c r="Z74" s="281"/>
      <c r="AA74" s="281"/>
      <c r="AB74" s="281"/>
      <c r="AC74" s="281"/>
      <c r="AD74" s="281"/>
    </row>
    <row r="75">
      <c r="A75" s="408" t="s">
        <v>32</v>
      </c>
      <c r="B75" s="409"/>
      <c r="C75" s="420" t="s">
        <v>31</v>
      </c>
      <c r="D75" s="151" t="s">
        <v>217</v>
      </c>
      <c r="E75" s="151" t="s">
        <v>218</v>
      </c>
      <c r="F75" s="151" t="s">
        <v>205</v>
      </c>
      <c r="G75" s="420" t="s">
        <v>175</v>
      </c>
      <c r="H75" s="413">
        <v>1650.0</v>
      </c>
      <c r="I75" s="414">
        <f>3*7</f>
        <v>21</v>
      </c>
      <c r="J75" s="415">
        <f t="shared" si="10"/>
        <v>34650</v>
      </c>
      <c r="K75" s="413" t="s">
        <v>219</v>
      </c>
      <c r="L75" s="429"/>
      <c r="M75" s="430"/>
      <c r="N75" s="431" t="s">
        <v>615</v>
      </c>
      <c r="O75" s="179"/>
      <c r="P75" s="179"/>
      <c r="Q75" s="179"/>
      <c r="R75" s="281"/>
      <c r="S75" s="281"/>
      <c r="T75" s="281"/>
      <c r="U75" s="281"/>
      <c r="V75" s="281"/>
      <c r="W75" s="281"/>
      <c r="X75" s="281"/>
      <c r="Y75" s="281"/>
      <c r="Z75" s="281"/>
      <c r="AA75" s="281"/>
      <c r="AB75" s="281"/>
      <c r="AC75" s="281"/>
      <c r="AD75" s="281"/>
    </row>
    <row r="76">
      <c r="A76" s="432" t="s">
        <v>220</v>
      </c>
      <c r="B76" s="323"/>
      <c r="C76" s="323"/>
      <c r="D76" s="323"/>
      <c r="E76" s="323"/>
      <c r="F76" s="323"/>
      <c r="G76" s="323"/>
      <c r="H76" s="324"/>
      <c r="I76" s="425"/>
      <c r="J76" s="323"/>
      <c r="K76" s="426"/>
      <c r="L76" s="297"/>
      <c r="M76" s="297"/>
      <c r="N76" s="297"/>
      <c r="O76" s="299"/>
      <c r="P76" s="297"/>
      <c r="Q76" s="281"/>
      <c r="R76" s="281"/>
      <c r="S76" s="281"/>
      <c r="T76" s="281"/>
      <c r="U76" s="281"/>
      <c r="V76" s="281"/>
      <c r="W76" s="281"/>
      <c r="X76" s="281"/>
      <c r="Y76" s="281"/>
      <c r="Z76" s="281"/>
      <c r="AA76" s="281"/>
      <c r="AB76" s="281"/>
      <c r="AC76" s="281"/>
      <c r="AD76" s="281"/>
    </row>
    <row r="77">
      <c r="A77" s="408" t="s">
        <v>16</v>
      </c>
      <c r="B77" s="419" t="s">
        <v>170</v>
      </c>
      <c r="C77" s="420" t="str">
        <f>VLOOKUP($B77,'Rate card'!$A$4:$G236,2,FALSE)</f>
        <v>Carpentry</v>
      </c>
      <c r="D77" s="420" t="str">
        <f>VLOOKUP($B77,'Rate card'!$A$4:$G236,3,FALSE)</f>
        <v>Carcass Storage</v>
      </c>
      <c r="E77" s="420" t="str">
        <f>VLOOKUP($B77,'Rate card'!$A$4:$G236,4,FALSE)</f>
        <v>Laminate Finish</v>
      </c>
      <c r="F77" s="413" t="s">
        <v>221</v>
      </c>
      <c r="G77" s="420" t="str">
        <f>VLOOKUP($B77,'Rate card'!$A$4:$G236,6,FALSE)</f>
        <v>Sqft</v>
      </c>
      <c r="H77" s="413">
        <v>1800.0</v>
      </c>
      <c r="I77" s="422" t="s">
        <v>616</v>
      </c>
      <c r="J77" s="415">
        <f t="shared" ref="J77:J79" si="11">H77*I77</f>
        <v>37800</v>
      </c>
      <c r="K77" s="413" t="s">
        <v>208</v>
      </c>
      <c r="L77" s="427"/>
      <c r="M77" s="297"/>
      <c r="N77" s="297"/>
      <c r="O77" s="428"/>
      <c r="P77" s="297"/>
      <c r="Q77" s="281"/>
      <c r="R77" s="281"/>
      <c r="S77" s="281"/>
      <c r="T77" s="281"/>
      <c r="U77" s="281"/>
      <c r="V77" s="281"/>
      <c r="W77" s="281"/>
      <c r="X77" s="281"/>
      <c r="Y77" s="281"/>
      <c r="Z77" s="281"/>
      <c r="AA77" s="281"/>
      <c r="AB77" s="281"/>
      <c r="AC77" s="281"/>
      <c r="AD77" s="281"/>
    </row>
    <row r="78">
      <c r="A78" s="408" t="s">
        <v>18</v>
      </c>
      <c r="B78" s="419" t="s">
        <v>170</v>
      </c>
      <c r="C78" s="420" t="str">
        <f>VLOOKUP($B78,'Rate card'!$A$4:$G236,2,FALSE)</f>
        <v>Carpentry</v>
      </c>
      <c r="D78" s="420" t="str">
        <f>VLOOKUP($B78,'Rate card'!$A$4:$G236,3,FALSE)</f>
        <v>Carcass Storage</v>
      </c>
      <c r="E78" s="420" t="str">
        <f>VLOOKUP($B78,'Rate card'!$A$4:$G236,4,FALSE)</f>
        <v>Laminate Finish</v>
      </c>
      <c r="F78" s="413" t="s">
        <v>221</v>
      </c>
      <c r="G78" s="420" t="str">
        <f>VLOOKUP($B78,'Rate card'!$A$4:$G236,6,FALSE)</f>
        <v>Sqft</v>
      </c>
      <c r="H78" s="413">
        <v>1800.0</v>
      </c>
      <c r="I78" s="408" t="s">
        <v>617</v>
      </c>
      <c r="J78" s="415">
        <f t="shared" si="11"/>
        <v>198000</v>
      </c>
      <c r="K78" s="413" t="s">
        <v>618</v>
      </c>
      <c r="M78" s="325"/>
      <c r="N78" s="281"/>
      <c r="O78" s="416"/>
      <c r="P78" s="281"/>
      <c r="Q78" s="281"/>
      <c r="R78" s="281"/>
      <c r="S78" s="281"/>
      <c r="T78" s="281"/>
      <c r="U78" s="281"/>
      <c r="V78" s="281"/>
      <c r="W78" s="281"/>
      <c r="X78" s="281"/>
      <c r="Y78" s="281"/>
      <c r="Z78" s="281"/>
      <c r="AA78" s="281"/>
      <c r="AB78" s="281"/>
      <c r="AC78" s="281"/>
      <c r="AD78" s="281"/>
    </row>
    <row r="79">
      <c r="A79" s="408" t="s">
        <v>24</v>
      </c>
      <c r="B79" s="419" t="s">
        <v>223</v>
      </c>
      <c r="C79" s="420" t="str">
        <f>VLOOKUP($B79,'Rate card'!$A$4:$G236,2,FALSE)</f>
        <v>Carpentry</v>
      </c>
      <c r="D79" s="433" t="str">
        <f>VLOOKUP($B79,'Rate card'!$A$4:$G236,3,FALSE)</f>
        <v>Carcass Storage</v>
      </c>
      <c r="E79" s="433" t="str">
        <f>VLOOKUP($B79,'Rate card'!$A$4:$G236,4,FALSE)</f>
        <v>Laminate Finish</v>
      </c>
      <c r="F79" s="413" t="s">
        <v>221</v>
      </c>
      <c r="G79" s="420" t="str">
        <f>VLOOKUP($B79,'Rate card'!$A$4:$G236,6,FALSE)</f>
        <v>Sqft</v>
      </c>
      <c r="H79" s="413">
        <v>1800.0</v>
      </c>
      <c r="I79" s="408" t="s">
        <v>224</v>
      </c>
      <c r="J79" s="415">
        <f t="shared" si="11"/>
        <v>39600</v>
      </c>
      <c r="K79" s="422" t="s">
        <v>225</v>
      </c>
      <c r="L79" s="281"/>
      <c r="M79" s="281"/>
      <c r="N79" s="434">
        <f>VLOOKUP($B79,'Rate card'!$A$4:$J236,7,FALSE)</f>
        <v>2000</v>
      </c>
      <c r="O79" s="282">
        <f>I79*N79</f>
        <v>44000</v>
      </c>
      <c r="P79" s="281"/>
      <c r="Q79" s="281"/>
      <c r="R79" s="281"/>
      <c r="S79" s="281"/>
      <c r="T79" s="281"/>
      <c r="U79" s="281"/>
      <c r="V79" s="281"/>
      <c r="W79" s="281"/>
      <c r="X79" s="281"/>
      <c r="Y79" s="281"/>
      <c r="Z79" s="281"/>
      <c r="AA79" s="281"/>
      <c r="AB79" s="281"/>
      <c r="AC79" s="281"/>
      <c r="AD79" s="281"/>
    </row>
    <row r="80">
      <c r="A80" s="432" t="s">
        <v>619</v>
      </c>
      <c r="B80" s="323"/>
      <c r="C80" s="323"/>
      <c r="D80" s="323"/>
      <c r="E80" s="323"/>
      <c r="F80" s="323"/>
      <c r="G80" s="323"/>
      <c r="H80" s="324"/>
      <c r="I80" s="322"/>
      <c r="J80" s="324"/>
      <c r="K80" s="294"/>
      <c r="L80" s="281"/>
      <c r="M80" s="281"/>
      <c r="N80" s="416"/>
      <c r="O80" s="281"/>
      <c r="P80" s="281"/>
      <c r="Q80" s="281"/>
      <c r="R80" s="281"/>
      <c r="S80" s="281"/>
      <c r="T80" s="281"/>
      <c r="U80" s="281"/>
      <c r="V80" s="281"/>
      <c r="W80" s="281"/>
      <c r="X80" s="281"/>
      <c r="Y80" s="281"/>
      <c r="Z80" s="281"/>
      <c r="AA80" s="281"/>
      <c r="AB80" s="281"/>
      <c r="AC80" s="281"/>
      <c r="AD80" s="281"/>
    </row>
    <row r="81">
      <c r="A81" s="382" t="s">
        <v>16</v>
      </c>
      <c r="B81" s="435" t="s">
        <v>227</v>
      </c>
      <c r="C81" s="151" t="str">
        <f>VLOOKUP($B81,'Rate card'!$A$4:$G236,2,FALSE)</f>
        <v>Carpentry</v>
      </c>
      <c r="D81" s="151" t="str">
        <f>VLOOKUP($B81,'Rate card'!$A$4:$G236,3,FALSE)</f>
        <v>Bed</v>
      </c>
      <c r="E81" s="151" t="str">
        <f>VLOOKUP($B81,'Rate card'!$A$4:$G236,4,FALSE)</f>
        <v>Laminate Finish</v>
      </c>
      <c r="F81" s="151" t="str">
        <f>VLOOKUP($B81,'Rate card'!$A$4:$G236,5,FALSE)</f>
        <v>MR ply + Inside laminate + finish laminate</v>
      </c>
      <c r="G81" s="151" t="str">
        <f>VLOOKUP($B81,'Rate card'!$A$4:$G236,6,FALSE)</f>
        <v>Sqft</v>
      </c>
      <c r="H81" s="185">
        <v>1800.0</v>
      </c>
      <c r="I81" s="362" t="s">
        <v>577</v>
      </c>
      <c r="J81" s="358">
        <f t="shared" ref="J81:J89" si="12">H81*I81</f>
        <v>64800</v>
      </c>
      <c r="K81" s="72" t="s">
        <v>620</v>
      </c>
      <c r="L81" s="148"/>
      <c r="M81" s="148"/>
      <c r="N81" s="375">
        <f>VLOOKUP($B81,'Rate card'!$A$4:$J236,7,FALSE)</f>
        <v>1400</v>
      </c>
      <c r="O81" s="376">
        <f t="shared" ref="O81:O82" si="13">I81*N81</f>
        <v>50400</v>
      </c>
      <c r="P81" s="148"/>
      <c r="Q81" s="436"/>
      <c r="R81" s="355"/>
      <c r="S81" s="148"/>
      <c r="T81" s="148"/>
      <c r="U81" s="148"/>
      <c r="V81" s="148"/>
      <c r="W81" s="148"/>
      <c r="X81" s="148"/>
      <c r="Y81" s="148"/>
      <c r="Z81" s="148"/>
      <c r="AA81" s="148"/>
      <c r="AB81" s="148"/>
      <c r="AC81" s="148"/>
      <c r="AD81" s="148"/>
    </row>
    <row r="82">
      <c r="A82" s="382" t="s">
        <v>18</v>
      </c>
      <c r="B82" s="435" t="s">
        <v>230</v>
      </c>
      <c r="C82" s="151" t="str">
        <f>VLOOKUP($B82,'Rate card'!$A$4:$G236,2,FALSE)</f>
        <v>Carpentry</v>
      </c>
      <c r="D82" s="151" t="str">
        <f>VLOOKUP($B82,'Rate card'!$A$4:$G236,3,FALSE)</f>
        <v>Headboard</v>
      </c>
      <c r="E82" s="151" t="str">
        <f>VLOOKUP($B82,'Rate card'!$A$4:$G236,4,FALSE)</f>
        <v>Fabric Finish</v>
      </c>
      <c r="F82" s="151" t="str">
        <f>VLOOKUP($B82,'Rate card'!$A$4:$G236,5,FALSE)</f>
        <v>MR ply panelling + Foam material and labour. Excludes Fabric cost</v>
      </c>
      <c r="G82" s="151" t="str">
        <f>VLOOKUP($B82,'Rate card'!$A$4:$G236,6,FALSE)</f>
        <v>Sqft</v>
      </c>
      <c r="H82" s="151">
        <v>1300.0</v>
      </c>
      <c r="I82" s="362" t="s">
        <v>104</v>
      </c>
      <c r="J82" s="358">
        <f t="shared" si="12"/>
        <v>18200</v>
      </c>
      <c r="K82" s="437" t="s">
        <v>231</v>
      </c>
      <c r="L82" s="148"/>
      <c r="M82" s="148"/>
      <c r="N82" s="375">
        <f>VLOOKUP($B82,'Rate card'!$A$4:$J236,7,FALSE)</f>
        <v>950</v>
      </c>
      <c r="O82" s="376">
        <f t="shared" si="13"/>
        <v>13300</v>
      </c>
      <c r="P82" s="148"/>
      <c r="Q82" s="436"/>
      <c r="R82" s="355"/>
      <c r="S82" s="148"/>
      <c r="T82" s="148"/>
      <c r="U82" s="148"/>
      <c r="V82" s="148"/>
      <c r="W82" s="148"/>
      <c r="X82" s="148"/>
      <c r="Y82" s="148"/>
      <c r="Z82" s="148"/>
      <c r="AA82" s="148"/>
      <c r="AB82" s="148"/>
      <c r="AC82" s="148"/>
      <c r="AD82" s="148"/>
    </row>
    <row r="83">
      <c r="A83" s="382" t="s">
        <v>24</v>
      </c>
      <c r="B83" s="419" t="s">
        <v>232</v>
      </c>
      <c r="C83" s="420" t="str">
        <f>VLOOKUP($B83,'Rate card'!$A$4:$G236,2,FALSE)</f>
        <v>Carpentry</v>
      </c>
      <c r="D83" s="413" t="s">
        <v>233</v>
      </c>
      <c r="E83" s="420" t="str">
        <f>VLOOKUP($B83,'Rate card'!$A$4:$G236,4,FALSE)</f>
        <v>Laminate Finish</v>
      </c>
      <c r="F83" s="420" t="str">
        <f>VLOOKUP($B83,'Rate card'!$A$4:$G236,5,FALSE)</f>
        <v>MR ply + Inside laminate + finish laminate (1 Drawer)</v>
      </c>
      <c r="G83" s="420" t="str">
        <f>VLOOKUP($B83,'Rate card'!$A$4:$G236,6,FALSE)</f>
        <v>Nos</v>
      </c>
      <c r="H83" s="413">
        <v>13000.0</v>
      </c>
      <c r="I83" s="438" t="s">
        <v>18</v>
      </c>
      <c r="J83" s="415">
        <f t="shared" si="12"/>
        <v>26000</v>
      </c>
      <c r="K83" s="411" t="s">
        <v>233</v>
      </c>
      <c r="L83" s="281"/>
      <c r="M83" s="281"/>
      <c r="N83" s="416"/>
      <c r="O83" s="281"/>
      <c r="P83" s="281"/>
      <c r="Q83" s="281"/>
      <c r="R83" s="281"/>
      <c r="S83" s="281"/>
      <c r="T83" s="281"/>
      <c r="U83" s="281"/>
      <c r="V83" s="281"/>
      <c r="W83" s="281"/>
      <c r="X83" s="281"/>
      <c r="Y83" s="281"/>
      <c r="Z83" s="281"/>
      <c r="AA83" s="281"/>
      <c r="AB83" s="281"/>
      <c r="AC83" s="281"/>
      <c r="AD83" s="281"/>
    </row>
    <row r="84">
      <c r="A84" s="382" t="s">
        <v>27</v>
      </c>
      <c r="B84" s="419" t="s">
        <v>170</v>
      </c>
      <c r="C84" s="420" t="str">
        <f>VLOOKUP($B84,'Rate card'!$A$4:$G236,2,FALSE)</f>
        <v>Carpentry</v>
      </c>
      <c r="D84" s="420" t="str">
        <f>VLOOKUP($B84,'Rate card'!$A$4:$G236,3,FALSE)</f>
        <v>Carcass Storage</v>
      </c>
      <c r="E84" s="420" t="str">
        <f>VLOOKUP($B84,'Rate card'!$A$4:$G236,4,FALSE)</f>
        <v>Laminate Finish</v>
      </c>
      <c r="F84" s="420" t="str">
        <f>VLOOKUP($B84,'Rate card'!$A$4:$G236,5,FALSE)</f>
        <v>MR ply + Inside laminate + finish laminate</v>
      </c>
      <c r="G84" s="413" t="s">
        <v>188</v>
      </c>
      <c r="H84" s="413">
        <v>4500.0</v>
      </c>
      <c r="I84" s="421" t="s">
        <v>34</v>
      </c>
      <c r="J84" s="415">
        <f t="shared" si="12"/>
        <v>31500</v>
      </c>
      <c r="K84" s="422" t="s">
        <v>621</v>
      </c>
      <c r="L84" s="281"/>
      <c r="M84" s="281"/>
      <c r="N84" s="416">
        <f>VLOOKUP($B84,'Rate card'!$A$4:$J236,7,FALSE)</f>
        <v>1350</v>
      </c>
      <c r="O84" s="281">
        <f>I84*N84</f>
        <v>9450</v>
      </c>
      <c r="P84" s="281"/>
      <c r="Q84" s="281"/>
      <c r="R84" s="281"/>
      <c r="S84" s="281"/>
      <c r="T84" s="281"/>
      <c r="U84" s="281"/>
      <c r="V84" s="281"/>
      <c r="W84" s="281"/>
      <c r="X84" s="281"/>
      <c r="Y84" s="281"/>
      <c r="Z84" s="281"/>
      <c r="AA84" s="281"/>
      <c r="AB84" s="281"/>
      <c r="AC84" s="281"/>
      <c r="AD84" s="281"/>
    </row>
    <row r="85">
      <c r="A85" s="382" t="s">
        <v>30</v>
      </c>
      <c r="B85" s="419" t="s">
        <v>170</v>
      </c>
      <c r="C85" s="420" t="str">
        <f>VLOOKUP($B85,'Rate card'!$A$4:$G236,2,FALSE)</f>
        <v>Carpentry</v>
      </c>
      <c r="D85" s="420" t="str">
        <f>VLOOKUP($B85,'Rate card'!$A$4:$G236,3,FALSE)</f>
        <v>Carcass Storage</v>
      </c>
      <c r="E85" s="420" t="str">
        <f>VLOOKUP($B85,'Rate card'!$A$4:$G236,4,FALSE)</f>
        <v>Laminate Finish</v>
      </c>
      <c r="F85" s="420" t="str">
        <f>VLOOKUP($B85,'Rate card'!$A$4:$G236,5,FALSE)</f>
        <v>MR ply + Inside laminate + finish laminate</v>
      </c>
      <c r="G85" s="420" t="str">
        <f>VLOOKUP($B85,'Rate card'!$A$4:$G236,6,FALSE)</f>
        <v>Sqft</v>
      </c>
      <c r="H85" s="420">
        <f>VLOOKUP($B85,'Rate card'!$A$4:$J236,8,FALSE)</f>
        <v>1800</v>
      </c>
      <c r="I85" s="438" t="s">
        <v>622</v>
      </c>
      <c r="J85" s="415">
        <f t="shared" si="12"/>
        <v>81000</v>
      </c>
      <c r="K85" s="411" t="s">
        <v>235</v>
      </c>
      <c r="L85" s="281"/>
      <c r="M85" s="281"/>
      <c r="N85" s="416"/>
      <c r="O85" s="281"/>
      <c r="P85" s="281"/>
      <c r="Q85" s="439"/>
      <c r="R85" s="2"/>
      <c r="S85" s="281"/>
      <c r="T85" s="281"/>
      <c r="U85" s="281"/>
      <c r="V85" s="281"/>
      <c r="W85" s="281"/>
      <c r="X85" s="281"/>
      <c r="Y85" s="281"/>
      <c r="Z85" s="281"/>
      <c r="AA85" s="281"/>
      <c r="AB85" s="281"/>
      <c r="AC85" s="281"/>
      <c r="AD85" s="281"/>
    </row>
    <row r="86">
      <c r="A86" s="382" t="s">
        <v>32</v>
      </c>
      <c r="B86" s="419" t="s">
        <v>236</v>
      </c>
      <c r="C86" s="420" t="str">
        <f>VLOOKUP($B86,'Rate card'!$A$4:$G236,2,FALSE)</f>
        <v>Carpentry</v>
      </c>
      <c r="D86" s="420" t="str">
        <f>VLOOKUP($B86,'Rate card'!$A$4:$G236,3,FALSE)</f>
        <v>Panelling with framing</v>
      </c>
      <c r="E86" s="420" t="str">
        <f>VLOOKUP($B86,'Rate card'!$A$4:$G236,4,FALSE)</f>
        <v>Mirror Finish</v>
      </c>
      <c r="F86" s="420" t="str">
        <f>VLOOKUP($B86,'Rate card'!$A$4:$G236,5,FALSE)</f>
        <v>MR ply + ply framing + 5mm clear mirror</v>
      </c>
      <c r="G86" s="420" t="str">
        <f>VLOOKUP($B86,'Rate card'!$A$4:$G236,6,FALSE)</f>
        <v>Sqft</v>
      </c>
      <c r="H86" s="420">
        <f>VLOOKUP($B86,'Rate card'!$A$4:$J236,8,FALSE)</f>
        <v>750</v>
      </c>
      <c r="I86" s="438">
        <f>2*5</f>
        <v>10</v>
      </c>
      <c r="J86" s="415">
        <f t="shared" si="12"/>
        <v>7500</v>
      </c>
      <c r="K86" s="411" t="s">
        <v>237</v>
      </c>
      <c r="L86" s="281"/>
      <c r="M86" s="281"/>
      <c r="N86" s="416"/>
      <c r="O86" s="281"/>
      <c r="P86" s="281"/>
      <c r="Q86" s="281"/>
      <c r="R86" s="281"/>
      <c r="S86" s="281"/>
      <c r="T86" s="281"/>
      <c r="U86" s="281"/>
      <c r="V86" s="281"/>
      <c r="W86" s="281"/>
      <c r="X86" s="281"/>
      <c r="Y86" s="281"/>
      <c r="Z86" s="281"/>
      <c r="AA86" s="281"/>
      <c r="AB86" s="281"/>
      <c r="AC86" s="281"/>
      <c r="AD86" s="281"/>
    </row>
    <row r="87">
      <c r="A87" s="382" t="s">
        <v>34</v>
      </c>
      <c r="B87" s="440" t="s">
        <v>238</v>
      </c>
      <c r="C87" s="395" t="s">
        <v>31</v>
      </c>
      <c r="D87" s="343" t="s">
        <v>180</v>
      </c>
      <c r="E87" s="395" t="str">
        <f>VLOOKUP($B87,'Rate card'!$A$4:$G236,4,FALSE)</f>
        <v>Laminate Finish</v>
      </c>
      <c r="F87" s="441" t="s">
        <v>239</v>
      </c>
      <c r="G87" s="420" t="str">
        <f>VLOOKUP($B87,'Rate card'!$A$4:$G236,6,FALSE)</f>
        <v>Sqft</v>
      </c>
      <c r="H87" s="420">
        <f>VLOOKUP($B87,'Rate card'!$A$4:$J236,8,FALSE)</f>
        <v>650</v>
      </c>
      <c r="I87" s="438" t="s">
        <v>240</v>
      </c>
      <c r="J87" s="415">
        <f t="shared" si="12"/>
        <v>52000</v>
      </c>
      <c r="K87" s="333" t="s">
        <v>241</v>
      </c>
      <c r="L87" s="346"/>
      <c r="M87" s="346"/>
      <c r="N87" s="371"/>
      <c r="O87" s="346"/>
      <c r="P87" s="346"/>
      <c r="Q87" s="346"/>
      <c r="R87" s="346"/>
      <c r="S87" s="346"/>
      <c r="T87" s="346"/>
      <c r="U87" s="346"/>
      <c r="V87" s="346"/>
      <c r="W87" s="346"/>
      <c r="X87" s="346"/>
      <c r="Y87" s="346"/>
      <c r="Z87" s="346"/>
      <c r="AA87" s="346"/>
      <c r="AB87" s="346"/>
      <c r="AC87" s="281"/>
      <c r="AD87" s="281"/>
    </row>
    <row r="88">
      <c r="A88" s="382" t="s">
        <v>36</v>
      </c>
      <c r="B88" s="419" t="s">
        <v>243</v>
      </c>
      <c r="C88" s="420" t="str">
        <f>VLOOKUP($B88,'Rate card'!$A$4:$G236,2,FALSE)</f>
        <v>Carpentry</v>
      </c>
      <c r="D88" s="420" t="str">
        <f>VLOOKUP($B88,'Rate card'!$A$4:$G236,3,FALSE)</f>
        <v>Wardrobe</v>
      </c>
      <c r="E88" s="420" t="str">
        <f>VLOOKUP($B88,'Rate card'!$A$4:$G236,4,FALSE)</f>
        <v>Laminate Finish</v>
      </c>
      <c r="F88" s="420" t="str">
        <f>VLOOKUP($B88,'Rate card'!$A$4:$G236,5,FALSE)</f>
        <v>MR ply + Inside laminate + finish laminate. (Includes 4 pencil drawers, Handles of base rate Rs.1000/pc)</v>
      </c>
      <c r="G88" s="420" t="str">
        <f>VLOOKUP($B88,'Rate card'!$A$4:$G236,6,FALSE)</f>
        <v>Sqft</v>
      </c>
      <c r="H88" s="413">
        <v>1800.0</v>
      </c>
      <c r="I88" s="438" t="s">
        <v>623</v>
      </c>
      <c r="J88" s="415">
        <f t="shared" si="12"/>
        <v>124200</v>
      </c>
      <c r="K88" s="411" t="s">
        <v>244</v>
      </c>
      <c r="L88" s="281"/>
      <c r="M88" s="281"/>
      <c r="N88" s="416"/>
      <c r="O88" s="281"/>
      <c r="P88" s="281"/>
      <c r="Q88" s="442"/>
      <c r="R88" s="2"/>
      <c r="S88" s="281"/>
      <c r="T88" s="281"/>
      <c r="U88" s="281"/>
      <c r="V88" s="281"/>
      <c r="W88" s="281"/>
      <c r="X88" s="281"/>
      <c r="Y88" s="281"/>
      <c r="Z88" s="281"/>
      <c r="AA88" s="281"/>
      <c r="AB88" s="281"/>
      <c r="AC88" s="281"/>
      <c r="AD88" s="281"/>
    </row>
    <row r="89">
      <c r="A89" s="382" t="s">
        <v>92</v>
      </c>
      <c r="B89" s="419" t="s">
        <v>179</v>
      </c>
      <c r="C89" s="420" t="str">
        <f>VLOOKUP($B89,'Rate card'!$A$4:$G236,2,FALSE)</f>
        <v>Carpentry</v>
      </c>
      <c r="D89" s="420" t="str">
        <f>VLOOKUP($B89,'Rate card'!$A$4:$G236,3,FALSE)</f>
        <v>Panelling with framing</v>
      </c>
      <c r="E89" s="420" t="str">
        <f>VLOOKUP($B89,'Rate card'!$A$4:$G236,4,FALSE)</f>
        <v>MDF</v>
      </c>
      <c r="F89" s="420" t="str">
        <f>VLOOKUP($B89,'Rate card'!$A$4:$G236,5,FALSE)</f>
        <v>MR ply + ply framing + 12mm MDF</v>
      </c>
      <c r="G89" s="420" t="str">
        <f>VLOOKUP($B89,'Rate card'!$A$4:$G236,6,FALSE)</f>
        <v>Sqft</v>
      </c>
      <c r="H89" s="413">
        <v>600.0</v>
      </c>
      <c r="I89" s="438" t="s">
        <v>224</v>
      </c>
      <c r="J89" s="415">
        <f t="shared" si="12"/>
        <v>13200</v>
      </c>
      <c r="K89" s="411" t="s">
        <v>245</v>
      </c>
      <c r="L89" s="281"/>
      <c r="M89" s="281"/>
      <c r="N89" s="416"/>
      <c r="O89" s="281"/>
      <c r="P89" s="281"/>
      <c r="Q89" s="281"/>
      <c r="R89" s="281"/>
      <c r="S89" s="281"/>
      <c r="T89" s="281"/>
      <c r="U89" s="281"/>
      <c r="V89" s="281"/>
      <c r="W89" s="281"/>
      <c r="X89" s="281"/>
      <c r="Y89" s="281"/>
      <c r="Z89" s="281"/>
      <c r="AA89" s="281"/>
      <c r="AB89" s="281"/>
      <c r="AC89" s="281"/>
      <c r="AD89" s="281"/>
    </row>
    <row r="90">
      <c r="A90" s="432" t="s">
        <v>624</v>
      </c>
      <c r="B90" s="323"/>
      <c r="C90" s="323"/>
      <c r="D90" s="323"/>
      <c r="E90" s="323"/>
      <c r="F90" s="323"/>
      <c r="G90" s="323"/>
      <c r="H90" s="324"/>
      <c r="I90" s="322"/>
      <c r="J90" s="324"/>
      <c r="K90" s="294"/>
      <c r="L90" s="281"/>
      <c r="M90" s="281"/>
      <c r="N90" s="416"/>
      <c r="O90" s="281"/>
      <c r="P90" s="281"/>
      <c r="Q90" s="281"/>
      <c r="R90" s="281"/>
      <c r="S90" s="281"/>
      <c r="T90" s="281"/>
      <c r="U90" s="281"/>
      <c r="V90" s="281"/>
      <c r="W90" s="281"/>
      <c r="X90" s="281"/>
      <c r="Y90" s="281"/>
      <c r="Z90" s="281"/>
      <c r="AA90" s="281"/>
      <c r="AB90" s="281"/>
      <c r="AC90" s="281"/>
      <c r="AD90" s="281"/>
    </row>
    <row r="91">
      <c r="A91" s="382" t="s">
        <v>16</v>
      </c>
      <c r="B91" s="435" t="s">
        <v>227</v>
      </c>
      <c r="C91" s="151" t="str">
        <f>VLOOKUP($B91,'Rate card'!$A$4:$G236,2,FALSE)</f>
        <v>Carpentry</v>
      </c>
      <c r="D91" s="151" t="str">
        <f>VLOOKUP($B91,'Rate card'!$A$4:$G236,3,FALSE)</f>
        <v>Bed</v>
      </c>
      <c r="E91" s="151" t="str">
        <f>VLOOKUP($B91,'Rate card'!$A$4:$G236,4,FALSE)</f>
        <v>Laminate Finish</v>
      </c>
      <c r="F91" s="151" t="str">
        <f>VLOOKUP($B91,'Rate card'!$A$4:$G236,5,FALSE)</f>
        <v>MR ply + Inside laminate + finish laminate</v>
      </c>
      <c r="G91" s="151" t="str">
        <f>VLOOKUP($B91,'Rate card'!$A$4:$G236,6,FALSE)</f>
        <v>Sqft</v>
      </c>
      <c r="H91" s="151">
        <v>2200.0</v>
      </c>
      <c r="I91" s="356" t="s">
        <v>64</v>
      </c>
      <c r="J91" s="358">
        <f t="shared" ref="J91:J101" si="14">H91*I91</f>
        <v>88000</v>
      </c>
      <c r="K91" s="401" t="s">
        <v>247</v>
      </c>
      <c r="L91" s="148"/>
      <c r="M91" s="148"/>
      <c r="N91" s="375">
        <f>VLOOKUP($B91,'Rate card'!$A$4:$J236,7,FALSE)</f>
        <v>1400</v>
      </c>
      <c r="O91" s="376">
        <f t="shared" ref="O91:O92" si="15">I91*N91</f>
        <v>56000</v>
      </c>
      <c r="P91" s="148"/>
      <c r="Q91" s="436"/>
      <c r="R91" s="355"/>
      <c r="S91" s="148"/>
      <c r="T91" s="148"/>
      <c r="U91" s="148"/>
      <c r="V91" s="148"/>
      <c r="W91" s="148"/>
      <c r="X91" s="148"/>
      <c r="Y91" s="148"/>
      <c r="Z91" s="148"/>
      <c r="AA91" s="148"/>
      <c r="AB91" s="148"/>
      <c r="AC91" s="148"/>
      <c r="AD91" s="148"/>
    </row>
    <row r="92">
      <c r="A92" s="382" t="s">
        <v>18</v>
      </c>
      <c r="B92" s="435" t="s">
        <v>230</v>
      </c>
      <c r="C92" s="151" t="str">
        <f>VLOOKUP($B92,'Rate card'!$A$4:$G236,2,FALSE)</f>
        <v>Carpentry</v>
      </c>
      <c r="D92" s="151" t="str">
        <f>VLOOKUP($B92,'Rate card'!$A$4:$G236,3,FALSE)</f>
        <v>Headboard</v>
      </c>
      <c r="E92" s="151" t="str">
        <f>VLOOKUP($B92,'Rate card'!$A$4:$G236,4,FALSE)</f>
        <v>Fabric Finish</v>
      </c>
      <c r="F92" s="151" t="str">
        <f>VLOOKUP($B92,'Rate card'!$A$4:$G236,5,FALSE)</f>
        <v>MR ply panelling + Foam material and labour. Excludes Fabric cost</v>
      </c>
      <c r="G92" s="151" t="str">
        <f>VLOOKUP($B92,'Rate card'!$A$4:$G236,6,FALSE)</f>
        <v>Sqft</v>
      </c>
      <c r="H92" s="151">
        <v>1300.0</v>
      </c>
      <c r="I92" s="356" t="s">
        <v>116</v>
      </c>
      <c r="J92" s="358">
        <f t="shared" si="14"/>
        <v>23400</v>
      </c>
      <c r="K92" s="437" t="s">
        <v>231</v>
      </c>
      <c r="L92" s="148"/>
      <c r="M92" s="148"/>
      <c r="N92" s="375">
        <f>VLOOKUP($B92,'Rate card'!$A$4:$J236,7,FALSE)</f>
        <v>950</v>
      </c>
      <c r="O92" s="376">
        <f t="shared" si="15"/>
        <v>17100</v>
      </c>
      <c r="P92" s="148"/>
      <c r="Q92" s="436"/>
      <c r="R92" s="355"/>
      <c r="S92" s="148"/>
      <c r="T92" s="148"/>
      <c r="U92" s="148"/>
      <c r="V92" s="148"/>
      <c r="W92" s="148"/>
      <c r="X92" s="148"/>
      <c r="Y92" s="148"/>
      <c r="Z92" s="148"/>
      <c r="AA92" s="148"/>
      <c r="AB92" s="148"/>
      <c r="AC92" s="148"/>
      <c r="AD92" s="148"/>
    </row>
    <row r="93">
      <c r="A93" s="382" t="s">
        <v>24</v>
      </c>
      <c r="B93" s="419" t="s">
        <v>232</v>
      </c>
      <c r="C93" s="420" t="str">
        <f>VLOOKUP($B93,'Rate card'!$A$4:$G236,2,FALSE)</f>
        <v>Carpentry</v>
      </c>
      <c r="D93" s="413" t="s">
        <v>233</v>
      </c>
      <c r="E93" s="420" t="str">
        <f>VLOOKUP($B93,'Rate card'!$A$4:$G236,4,FALSE)</f>
        <v>Laminate Finish</v>
      </c>
      <c r="F93" s="420" t="str">
        <f>VLOOKUP($B93,'Rate card'!$A$4:$G236,5,FALSE)</f>
        <v>MR ply + Inside laminate + finish laminate (1 Drawer)</v>
      </c>
      <c r="G93" s="420" t="str">
        <f>VLOOKUP($B93,'Rate card'!$A$4:$G236,6,FALSE)</f>
        <v>Nos</v>
      </c>
      <c r="H93" s="413">
        <v>13000.0</v>
      </c>
      <c r="I93" s="438" t="s">
        <v>16</v>
      </c>
      <c r="J93" s="415">
        <f t="shared" si="14"/>
        <v>13000</v>
      </c>
      <c r="K93" s="411" t="s">
        <v>233</v>
      </c>
      <c r="L93" s="281"/>
      <c r="M93" s="281"/>
      <c r="N93" s="416"/>
      <c r="O93" s="281"/>
      <c r="P93" s="281"/>
      <c r="Q93" s="281"/>
      <c r="R93" s="281"/>
      <c r="S93" s="281"/>
      <c r="T93" s="281"/>
      <c r="U93" s="281"/>
      <c r="V93" s="281"/>
      <c r="W93" s="281"/>
      <c r="X93" s="281"/>
      <c r="Y93" s="281"/>
      <c r="Z93" s="281"/>
      <c r="AA93" s="281"/>
      <c r="AB93" s="281"/>
      <c r="AC93" s="281"/>
      <c r="AD93" s="281"/>
    </row>
    <row r="94">
      <c r="A94" s="382" t="s">
        <v>27</v>
      </c>
      <c r="B94" s="419" t="s">
        <v>248</v>
      </c>
      <c r="C94" s="420" t="str">
        <f>VLOOKUP($B94,'Rate card'!$A$4:$G236,2,FALSE)</f>
        <v>Carpentry</v>
      </c>
      <c r="D94" s="420" t="str">
        <f>VLOOKUP($B94,'Rate card'!$A$4:$G236,3,FALSE)</f>
        <v>Study Table</v>
      </c>
      <c r="E94" s="420" t="str">
        <f>VLOOKUP($B94,'Rate card'!$A$4:$G236,4,FALSE)</f>
        <v>Laminate Finish</v>
      </c>
      <c r="F94" s="420" t="str">
        <f>VLOOKUP($B94,'Rate card'!$A$4:$G236,5,FALSE)</f>
        <v>MR ply + Inside laminate + finish laminate (2 pencil drawers)</v>
      </c>
      <c r="G94" s="420" t="str">
        <f>VLOOKUP($B94,'Rate card'!$A$4:$G236,6,FALSE)</f>
        <v>Rft</v>
      </c>
      <c r="H94" s="413">
        <v>4500.0</v>
      </c>
      <c r="I94" s="438" t="s">
        <v>27</v>
      </c>
      <c r="J94" s="415">
        <f t="shared" si="14"/>
        <v>18000</v>
      </c>
      <c r="K94" s="411" t="s">
        <v>249</v>
      </c>
      <c r="L94" s="281"/>
      <c r="M94" s="281"/>
      <c r="N94" s="416"/>
      <c r="O94" s="281"/>
      <c r="P94" s="281"/>
      <c r="Q94" s="439"/>
      <c r="R94" s="2"/>
      <c r="S94" s="281"/>
      <c r="T94" s="281"/>
      <c r="U94" s="281"/>
      <c r="V94" s="281"/>
      <c r="W94" s="281"/>
      <c r="X94" s="281"/>
      <c r="Y94" s="281"/>
      <c r="Z94" s="281"/>
      <c r="AA94" s="281"/>
      <c r="AB94" s="281"/>
      <c r="AC94" s="281"/>
      <c r="AD94" s="281"/>
    </row>
    <row r="95">
      <c r="A95" s="382" t="s">
        <v>30</v>
      </c>
      <c r="B95" s="419" t="s">
        <v>170</v>
      </c>
      <c r="C95" s="420" t="str">
        <f>VLOOKUP($B95,'Rate card'!$A$4:$G236,2,FALSE)</f>
        <v>Carpentry</v>
      </c>
      <c r="D95" s="420" t="str">
        <f>VLOOKUP($B95,'Rate card'!$A$4:$G236,3,FALSE)</f>
        <v>Carcass Storage</v>
      </c>
      <c r="E95" s="420" t="str">
        <f>VLOOKUP($B95,'Rate card'!$A$4:$G236,4,FALSE)</f>
        <v>Laminate Finish</v>
      </c>
      <c r="F95" s="420" t="str">
        <f>VLOOKUP($B95,'Rate card'!$A$4:$G236,5,FALSE)</f>
        <v>MR ply + Inside laminate + finish laminate</v>
      </c>
      <c r="G95" s="420" t="str">
        <f>VLOOKUP($B95,'Rate card'!$A$4:$G236,6,FALSE)</f>
        <v>Sqft</v>
      </c>
      <c r="H95" s="420">
        <f>VLOOKUP($B95,'Rate card'!$A$4:$J236,8,FALSE)</f>
        <v>1800</v>
      </c>
      <c r="I95" s="438" t="s">
        <v>121</v>
      </c>
      <c r="J95" s="415">
        <f t="shared" si="14"/>
        <v>36000</v>
      </c>
      <c r="K95" s="411" t="s">
        <v>250</v>
      </c>
      <c r="L95" s="281"/>
      <c r="M95" s="281"/>
      <c r="N95" s="416"/>
      <c r="O95" s="281"/>
      <c r="P95" s="281"/>
      <c r="Q95" s="439"/>
      <c r="R95" s="2"/>
      <c r="S95" s="281"/>
      <c r="T95" s="281"/>
      <c r="U95" s="281"/>
      <c r="V95" s="281"/>
      <c r="W95" s="281"/>
      <c r="X95" s="281"/>
      <c r="Y95" s="281"/>
      <c r="Z95" s="281"/>
      <c r="AA95" s="281"/>
      <c r="AB95" s="281"/>
      <c r="AC95" s="281"/>
      <c r="AD95" s="281"/>
    </row>
    <row r="96">
      <c r="A96" s="382" t="s">
        <v>32</v>
      </c>
      <c r="B96" s="419" t="s">
        <v>170</v>
      </c>
      <c r="C96" s="420" t="str">
        <f>VLOOKUP($B96,'Rate card'!$A$4:$G236,2,FALSE)</f>
        <v>Carpentry</v>
      </c>
      <c r="D96" s="420" t="str">
        <f>VLOOKUP($B96,'Rate card'!$A$4:$G236,3,FALSE)</f>
        <v>Carcass Storage</v>
      </c>
      <c r="E96" s="420" t="str">
        <f>VLOOKUP($B96,'Rate card'!$A$4:$G236,4,FALSE)</f>
        <v>Laminate Finish</v>
      </c>
      <c r="F96" s="420" t="str">
        <f>VLOOKUP($B96,'Rate card'!$A$4:$G236,5,FALSE)</f>
        <v>MR ply + Inside laminate + finish laminate</v>
      </c>
      <c r="G96" s="420" t="str">
        <f>VLOOKUP($B96,'Rate card'!$A$4:$G236,6,FALSE)</f>
        <v>Sqft</v>
      </c>
      <c r="H96" s="420">
        <f>VLOOKUP($B96,'Rate card'!$A$4:$J236,8,FALSE)</f>
        <v>1800</v>
      </c>
      <c r="I96" s="438" t="s">
        <v>116</v>
      </c>
      <c r="J96" s="415">
        <f t="shared" si="14"/>
        <v>32400</v>
      </c>
      <c r="K96" s="411" t="s">
        <v>251</v>
      </c>
      <c r="L96" s="281"/>
      <c r="M96" s="281"/>
      <c r="N96" s="416"/>
      <c r="O96" s="281"/>
      <c r="P96" s="281"/>
      <c r="Q96" s="439"/>
      <c r="R96" s="2"/>
      <c r="S96" s="281"/>
      <c r="T96" s="281"/>
      <c r="U96" s="281"/>
      <c r="V96" s="281"/>
      <c r="W96" s="281"/>
      <c r="X96" s="281"/>
      <c r="Y96" s="281"/>
      <c r="Z96" s="281"/>
      <c r="AA96" s="281"/>
      <c r="AB96" s="281"/>
      <c r="AC96" s="281"/>
      <c r="AD96" s="281"/>
    </row>
    <row r="97">
      <c r="A97" s="382" t="s">
        <v>34</v>
      </c>
      <c r="B97" s="419" t="s">
        <v>236</v>
      </c>
      <c r="C97" s="420" t="str">
        <f>VLOOKUP($B97,'Rate card'!$A$4:$G236,2,FALSE)</f>
        <v>Carpentry</v>
      </c>
      <c r="D97" s="420" t="str">
        <f>VLOOKUP($B97,'Rate card'!$A$4:$G236,3,FALSE)</f>
        <v>Panelling with framing</v>
      </c>
      <c r="E97" s="420" t="str">
        <f>VLOOKUP($B97,'Rate card'!$A$4:$G236,4,FALSE)</f>
        <v>Mirror Finish</v>
      </c>
      <c r="F97" s="420" t="str">
        <f>VLOOKUP($B97,'Rate card'!$A$4:$G236,5,FALSE)</f>
        <v>MR ply + ply framing + 5mm clear mirror</v>
      </c>
      <c r="G97" s="420" t="str">
        <f>VLOOKUP($B97,'Rate card'!$A$4:$G236,6,FALSE)</f>
        <v>Sqft</v>
      </c>
      <c r="H97" s="420">
        <f>VLOOKUP($B97,'Rate card'!$A$4:$J236,8,FALSE)</f>
        <v>750</v>
      </c>
      <c r="I97" s="438">
        <f>2*5</f>
        <v>10</v>
      </c>
      <c r="J97" s="415">
        <f t="shared" si="14"/>
        <v>7500</v>
      </c>
      <c r="K97" s="411" t="s">
        <v>237</v>
      </c>
      <c r="L97" s="281"/>
      <c r="M97" s="281"/>
      <c r="N97" s="416"/>
      <c r="O97" s="281"/>
      <c r="P97" s="281"/>
      <c r="Q97" s="281"/>
      <c r="R97" s="281"/>
      <c r="S97" s="281"/>
      <c r="T97" s="281"/>
      <c r="U97" s="281"/>
      <c r="V97" s="281"/>
      <c r="W97" s="281"/>
      <c r="X97" s="281"/>
      <c r="Y97" s="281"/>
      <c r="Z97" s="281"/>
      <c r="AA97" s="281"/>
      <c r="AB97" s="281"/>
      <c r="AC97" s="281"/>
      <c r="AD97" s="281"/>
    </row>
    <row r="98">
      <c r="A98" s="382" t="s">
        <v>36</v>
      </c>
      <c r="B98" s="419" t="s">
        <v>252</v>
      </c>
      <c r="C98" s="420" t="str">
        <f>VLOOKUP($B98,'Rate card'!$A$4:$G236,2,FALSE)</f>
        <v>Carpentry</v>
      </c>
      <c r="D98" s="420" t="str">
        <f>VLOOKUP($B98,'Rate card'!$A$4:$G236,3,FALSE)</f>
        <v>Dresser</v>
      </c>
      <c r="E98" s="433" t="str">
        <f>VLOOKUP($B98,'Rate card'!$A$4:$G236,4,FALSE)</f>
        <v>Laminate Finish</v>
      </c>
      <c r="F98" s="433" t="str">
        <f>VLOOKUP($B98,'Rate card'!$A$4:$G236,5,FALSE)</f>
        <v>MRply + Inside laminate + finish laminate </v>
      </c>
      <c r="G98" s="420" t="str">
        <f>VLOOKUP($B98,'Rate card'!$A$4:$G236,6,FALSE)</f>
        <v>Sqft</v>
      </c>
      <c r="H98" s="413">
        <v>1800.0</v>
      </c>
      <c r="I98" s="414" t="s">
        <v>32</v>
      </c>
      <c r="J98" s="415">
        <f t="shared" si="14"/>
        <v>10800</v>
      </c>
      <c r="K98" s="411" t="s">
        <v>234</v>
      </c>
      <c r="L98" s="281"/>
      <c r="M98" s="281"/>
      <c r="N98" s="443">
        <f>VLOOKUP($B98,'Rate card'!$A$4:$J236,7,FALSE)</f>
        <v>1400</v>
      </c>
      <c r="O98" s="444">
        <f>I98*N98</f>
        <v>8400</v>
      </c>
      <c r="P98" s="281"/>
      <c r="Q98" s="281"/>
      <c r="R98" s="281"/>
      <c r="S98" s="281"/>
      <c r="T98" s="281"/>
      <c r="U98" s="281"/>
      <c r="V98" s="281"/>
      <c r="W98" s="281"/>
      <c r="X98" s="281"/>
      <c r="Y98" s="281"/>
      <c r="Z98" s="281"/>
      <c r="AA98" s="281"/>
      <c r="AB98" s="281"/>
      <c r="AC98" s="281"/>
      <c r="AD98" s="281"/>
    </row>
    <row r="99">
      <c r="A99" s="382" t="s">
        <v>92</v>
      </c>
      <c r="B99" s="440" t="s">
        <v>238</v>
      </c>
      <c r="C99" s="395" t="s">
        <v>31</v>
      </c>
      <c r="D99" s="343" t="s">
        <v>180</v>
      </c>
      <c r="E99" s="395" t="str">
        <f>VLOOKUP($B99,'Rate card'!$A$4:$G236,4,FALSE)</f>
        <v>Laminate Finish</v>
      </c>
      <c r="F99" s="441" t="s">
        <v>239</v>
      </c>
      <c r="G99" s="420" t="str">
        <f>VLOOKUP($B99,'Rate card'!$A$4:$G236,6,FALSE)</f>
        <v>Sqft</v>
      </c>
      <c r="H99" s="420">
        <f>VLOOKUP($B99,'Rate card'!$A$4:$J236,8,FALSE)</f>
        <v>650</v>
      </c>
      <c r="I99" s="438" t="s">
        <v>64</v>
      </c>
      <c r="J99" s="415">
        <f t="shared" si="14"/>
        <v>26000</v>
      </c>
      <c r="K99" s="333" t="s">
        <v>241</v>
      </c>
      <c r="L99" s="346"/>
      <c r="M99" s="346"/>
      <c r="N99" s="371"/>
      <c r="O99" s="346"/>
      <c r="P99" s="346"/>
      <c r="Q99" s="346"/>
      <c r="R99" s="346"/>
      <c r="S99" s="346"/>
      <c r="T99" s="346"/>
      <c r="U99" s="346"/>
      <c r="V99" s="346"/>
      <c r="W99" s="346"/>
      <c r="X99" s="346"/>
      <c r="Y99" s="346"/>
      <c r="Z99" s="346"/>
      <c r="AA99" s="346"/>
      <c r="AB99" s="346"/>
      <c r="AC99" s="281"/>
      <c r="AD99" s="281"/>
    </row>
    <row r="100">
      <c r="A100" s="382" t="s">
        <v>95</v>
      </c>
      <c r="B100" s="419" t="s">
        <v>243</v>
      </c>
      <c r="C100" s="420" t="str">
        <f>VLOOKUP($B100,'Rate card'!$A$4:$G236,2,FALSE)</f>
        <v>Carpentry</v>
      </c>
      <c r="D100" s="420" t="str">
        <f>VLOOKUP($B100,'Rate card'!$A$4:$G236,3,FALSE)</f>
        <v>Wardrobe</v>
      </c>
      <c r="E100" s="420" t="str">
        <f>VLOOKUP($B100,'Rate card'!$A$4:$G236,4,FALSE)</f>
        <v>Laminate Finish</v>
      </c>
      <c r="F100" s="420" t="str">
        <f>VLOOKUP($B100,'Rate card'!$A$4:$G236,5,FALSE)</f>
        <v>MR ply + Inside laminate + finish laminate. (Includes 4 pencil drawers, Handles of base rate Rs.1000/pc)</v>
      </c>
      <c r="G100" s="420" t="str">
        <f>VLOOKUP($B100,'Rate card'!$A$4:$G236,6,FALSE)</f>
        <v>Sqft</v>
      </c>
      <c r="H100" s="413">
        <v>1800.0</v>
      </c>
      <c r="I100" s="438" t="s">
        <v>625</v>
      </c>
      <c r="J100" s="415">
        <f t="shared" si="14"/>
        <v>154800</v>
      </c>
      <c r="K100" s="411" t="s">
        <v>626</v>
      </c>
      <c r="L100" s="281"/>
      <c r="M100" s="281"/>
      <c r="N100" s="416"/>
      <c r="O100" s="281"/>
      <c r="P100" s="281"/>
      <c r="Q100" s="442"/>
      <c r="R100" s="2"/>
      <c r="S100" s="281"/>
      <c r="T100" s="281"/>
      <c r="U100" s="281"/>
      <c r="V100" s="281"/>
      <c r="W100" s="281"/>
      <c r="X100" s="281"/>
      <c r="Y100" s="281"/>
      <c r="Z100" s="281"/>
      <c r="AA100" s="281"/>
      <c r="AB100" s="281"/>
      <c r="AC100" s="281"/>
      <c r="AD100" s="281"/>
    </row>
    <row r="101">
      <c r="A101" s="382" t="s">
        <v>97</v>
      </c>
      <c r="B101" s="419" t="s">
        <v>179</v>
      </c>
      <c r="C101" s="420" t="str">
        <f>VLOOKUP($B101,'Rate card'!$A$4:$G236,2,FALSE)</f>
        <v>Carpentry</v>
      </c>
      <c r="D101" s="420" t="str">
        <f>VLOOKUP($B101,'Rate card'!$A$4:$G236,3,FALSE)</f>
        <v>Panelling with framing</v>
      </c>
      <c r="E101" s="420" t="str">
        <f>VLOOKUP($B101,'Rate card'!$A$4:$G236,4,FALSE)</f>
        <v>MDF</v>
      </c>
      <c r="F101" s="420" t="str">
        <f>VLOOKUP($B101,'Rate card'!$A$4:$G236,5,FALSE)</f>
        <v>MR ply + ply framing + 12mm MDF</v>
      </c>
      <c r="G101" s="420" t="str">
        <f>VLOOKUP($B101,'Rate card'!$A$4:$G236,6,FALSE)</f>
        <v>Sqft</v>
      </c>
      <c r="H101" s="413">
        <v>600.0</v>
      </c>
      <c r="I101" s="438" t="s">
        <v>224</v>
      </c>
      <c r="J101" s="415">
        <f t="shared" si="14"/>
        <v>13200</v>
      </c>
      <c r="K101" s="411" t="s">
        <v>245</v>
      </c>
      <c r="L101" s="281"/>
      <c r="M101" s="281"/>
      <c r="N101" s="416"/>
      <c r="O101" s="281"/>
      <c r="P101" s="281"/>
      <c r="Q101" s="281"/>
      <c r="R101" s="281"/>
      <c r="S101" s="281"/>
      <c r="T101" s="281"/>
      <c r="U101" s="281"/>
      <c r="V101" s="281"/>
      <c r="W101" s="281"/>
      <c r="X101" s="281"/>
      <c r="Y101" s="281"/>
      <c r="Z101" s="281"/>
      <c r="AA101" s="281"/>
      <c r="AB101" s="281"/>
      <c r="AC101" s="281"/>
      <c r="AD101" s="281"/>
    </row>
    <row r="102">
      <c r="A102" s="432" t="s">
        <v>627</v>
      </c>
      <c r="B102" s="323"/>
      <c r="C102" s="323"/>
      <c r="D102" s="323"/>
      <c r="E102" s="323"/>
      <c r="F102" s="323"/>
      <c r="G102" s="323"/>
      <c r="H102" s="324"/>
      <c r="I102" s="322"/>
      <c r="J102" s="324"/>
      <c r="K102" s="294"/>
      <c r="L102" s="281"/>
      <c r="M102" s="281"/>
      <c r="N102" s="416"/>
      <c r="O102" s="281"/>
      <c r="P102" s="281"/>
      <c r="Q102" s="281"/>
      <c r="R102" s="281"/>
      <c r="S102" s="281"/>
      <c r="T102" s="281"/>
      <c r="U102" s="281"/>
      <c r="V102" s="281"/>
      <c r="W102" s="281"/>
      <c r="X102" s="281"/>
      <c r="Y102" s="281"/>
      <c r="Z102" s="281"/>
      <c r="AA102" s="281"/>
      <c r="AB102" s="281"/>
      <c r="AC102" s="281"/>
      <c r="AD102" s="281"/>
    </row>
    <row r="103">
      <c r="A103" s="408" t="s">
        <v>16</v>
      </c>
      <c r="B103" s="419" t="s">
        <v>227</v>
      </c>
      <c r="C103" s="420" t="str">
        <f>VLOOKUP($B103,'Rate card'!$A$4:$G236,2,FALSE)</f>
        <v>Carpentry</v>
      </c>
      <c r="D103" s="420" t="str">
        <f>VLOOKUP($B103,'Rate card'!$A$4:$G236,3,FALSE)</f>
        <v>Bed</v>
      </c>
      <c r="E103" s="420" t="str">
        <f>VLOOKUP($B103,'Rate card'!$A$4:$G236,4,FALSE)</f>
        <v>Laminate Finish</v>
      </c>
      <c r="F103" s="420" t="str">
        <f>VLOOKUP($B103,'Rate card'!$A$4:$G236,5,FALSE)</f>
        <v>MR ply + Inside laminate + finish laminate</v>
      </c>
      <c r="G103" s="420" t="str">
        <f>VLOOKUP($B103,'Rate card'!$A$4:$G236,6,FALSE)</f>
        <v>Sqft</v>
      </c>
      <c r="H103" s="413">
        <v>2200.0</v>
      </c>
      <c r="I103" s="414" t="s">
        <v>64</v>
      </c>
      <c r="J103" s="415">
        <f t="shared" ref="J103:J113" si="16">H103*I103</f>
        <v>88000</v>
      </c>
      <c r="K103" s="72" t="s">
        <v>247</v>
      </c>
      <c r="L103" s="281"/>
      <c r="M103" s="281"/>
      <c r="N103" s="416">
        <f>VLOOKUP($B103,'Rate card'!$A$4:$J236,7,FALSE)</f>
        <v>1400</v>
      </c>
      <c r="O103" s="281">
        <f t="shared" ref="O103:O104" si="17">I103*N103</f>
        <v>56000</v>
      </c>
      <c r="P103" s="281"/>
      <c r="Q103" s="281"/>
      <c r="R103" s="281"/>
      <c r="S103" s="281"/>
      <c r="T103" s="281"/>
      <c r="U103" s="281"/>
      <c r="V103" s="281"/>
      <c r="W103" s="281"/>
      <c r="X103" s="281"/>
      <c r="Y103" s="281"/>
      <c r="Z103" s="281"/>
      <c r="AA103" s="281"/>
      <c r="AB103" s="281"/>
      <c r="AC103" s="281"/>
      <c r="AD103" s="281"/>
    </row>
    <row r="104">
      <c r="A104" s="408" t="s">
        <v>18</v>
      </c>
      <c r="B104" s="419" t="s">
        <v>230</v>
      </c>
      <c r="C104" s="420" t="str">
        <f>VLOOKUP($B104,'Rate card'!$A$4:$G236,2,FALSE)</f>
        <v>Carpentry</v>
      </c>
      <c r="D104" s="420" t="str">
        <f>VLOOKUP($B104,'Rate card'!$A$4:$G236,3,FALSE)</f>
        <v>Headboard</v>
      </c>
      <c r="E104" s="420" t="str">
        <f>VLOOKUP($B104,'Rate card'!$A$4:$G236,4,FALSE)</f>
        <v>Fabric Finish</v>
      </c>
      <c r="F104" s="420" t="str">
        <f>VLOOKUP($B104,'Rate card'!$A$4:$G236,5,FALSE)</f>
        <v>MR ply panelling + Foam material and labour. Excludes Fabric cost</v>
      </c>
      <c r="G104" s="420" t="str">
        <f>VLOOKUP($B104,'Rate card'!$A$4:$G236,6,FALSE)</f>
        <v>Sqft</v>
      </c>
      <c r="H104" s="413">
        <v>1300.0</v>
      </c>
      <c r="I104" s="414" t="s">
        <v>116</v>
      </c>
      <c r="J104" s="415">
        <f t="shared" si="16"/>
        <v>23400</v>
      </c>
      <c r="K104" s="411" t="s">
        <v>231</v>
      </c>
      <c r="L104" s="281"/>
      <c r="M104" s="281"/>
      <c r="N104" s="416">
        <f>VLOOKUP($B104,'Rate card'!$A$4:$J236,7,FALSE)</f>
        <v>950</v>
      </c>
      <c r="O104" s="281">
        <f t="shared" si="17"/>
        <v>17100</v>
      </c>
      <c r="P104" s="281"/>
      <c r="Q104" s="281"/>
      <c r="R104" s="281"/>
      <c r="S104" s="281"/>
      <c r="T104" s="281"/>
      <c r="U104" s="281"/>
      <c r="V104" s="281"/>
      <c r="W104" s="281"/>
      <c r="X104" s="281"/>
      <c r="Y104" s="281"/>
      <c r="Z104" s="281"/>
      <c r="AA104" s="281"/>
      <c r="AB104" s="281"/>
      <c r="AC104" s="281"/>
      <c r="AD104" s="281"/>
    </row>
    <row r="105">
      <c r="A105" s="408" t="s">
        <v>24</v>
      </c>
      <c r="B105" s="419" t="s">
        <v>232</v>
      </c>
      <c r="C105" s="420" t="str">
        <f>VLOOKUP($B105,'Rate card'!$A$4:$G236,2,FALSE)</f>
        <v>Carpentry</v>
      </c>
      <c r="D105" s="413" t="s">
        <v>233</v>
      </c>
      <c r="E105" s="420" t="str">
        <f>VLOOKUP($B105,'Rate card'!$A$4:$G236,4,FALSE)</f>
        <v>Laminate Finish</v>
      </c>
      <c r="F105" s="420" t="str">
        <f>VLOOKUP($B105,'Rate card'!$A$4:$G236,5,FALSE)</f>
        <v>MR ply + Inside laminate + finish laminate (1 Drawer)</v>
      </c>
      <c r="G105" s="420" t="str">
        <f>VLOOKUP($B105,'Rate card'!$A$4:$G236,6,FALSE)</f>
        <v>Nos</v>
      </c>
      <c r="H105" s="413">
        <v>13000.0</v>
      </c>
      <c r="I105" s="438" t="s">
        <v>18</v>
      </c>
      <c r="J105" s="415">
        <f t="shared" si="16"/>
        <v>26000</v>
      </c>
      <c r="K105" s="411" t="s">
        <v>233</v>
      </c>
      <c r="L105" s="281"/>
      <c r="M105" s="281"/>
      <c r="N105" s="416"/>
      <c r="O105" s="281"/>
      <c r="P105" s="281"/>
      <c r="Q105" s="281"/>
      <c r="R105" s="281"/>
      <c r="S105" s="281"/>
      <c r="T105" s="281"/>
      <c r="U105" s="281"/>
      <c r="V105" s="281"/>
      <c r="W105" s="281"/>
      <c r="X105" s="281"/>
      <c r="Y105" s="281"/>
      <c r="Z105" s="281"/>
      <c r="AA105" s="281"/>
      <c r="AB105" s="281"/>
      <c r="AC105" s="281"/>
      <c r="AD105" s="281"/>
    </row>
    <row r="106">
      <c r="A106" s="408" t="s">
        <v>27</v>
      </c>
      <c r="B106" s="419" t="s">
        <v>248</v>
      </c>
      <c r="C106" s="420" t="str">
        <f>VLOOKUP($B106,'Rate card'!$A$4:$G236,2,FALSE)</f>
        <v>Carpentry</v>
      </c>
      <c r="D106" s="420" t="str">
        <f>VLOOKUP($B106,'Rate card'!$A$4:$G236,3,FALSE)</f>
        <v>Study Table</v>
      </c>
      <c r="E106" s="420" t="str">
        <f>VLOOKUP($B106,'Rate card'!$A$4:$G236,4,FALSE)</f>
        <v>Laminate Finish</v>
      </c>
      <c r="F106" s="420" t="str">
        <f>VLOOKUP($B106,'Rate card'!$A$4:$G236,5,FALSE)</f>
        <v>MR ply + Inside laminate + finish laminate (2 pencil drawers)</v>
      </c>
      <c r="G106" s="420" t="str">
        <f>VLOOKUP($B106,'Rate card'!$A$4:$G236,6,FALSE)</f>
        <v>Rft</v>
      </c>
      <c r="H106" s="413">
        <v>4500.0</v>
      </c>
      <c r="I106" s="438" t="s">
        <v>24</v>
      </c>
      <c r="J106" s="415">
        <f t="shared" si="16"/>
        <v>13500</v>
      </c>
      <c r="K106" s="411" t="s">
        <v>249</v>
      </c>
      <c r="L106" s="281"/>
      <c r="M106" s="281"/>
      <c r="N106" s="416"/>
      <c r="O106" s="281"/>
      <c r="P106" s="281"/>
      <c r="Q106" s="439"/>
      <c r="R106" s="2"/>
      <c r="S106" s="281"/>
      <c r="T106" s="281"/>
      <c r="U106" s="281"/>
      <c r="V106" s="281"/>
      <c r="W106" s="281"/>
      <c r="X106" s="281"/>
      <c r="Y106" s="281"/>
      <c r="Z106" s="281"/>
      <c r="AA106" s="281"/>
      <c r="AB106" s="281"/>
      <c r="AC106" s="281"/>
      <c r="AD106" s="281"/>
    </row>
    <row r="107">
      <c r="A107" s="408" t="s">
        <v>30</v>
      </c>
      <c r="B107" s="419" t="s">
        <v>170</v>
      </c>
      <c r="C107" s="420" t="str">
        <f>VLOOKUP($B107,'Rate card'!$A$4:$G236,2,FALSE)</f>
        <v>Carpentry</v>
      </c>
      <c r="D107" s="420" t="str">
        <f>VLOOKUP($B107,'Rate card'!$A$4:$G236,3,FALSE)</f>
        <v>Carcass Storage</v>
      </c>
      <c r="E107" s="420" t="str">
        <f>VLOOKUP($B107,'Rate card'!$A$4:$G236,4,FALSE)</f>
        <v>Laminate Finish</v>
      </c>
      <c r="F107" s="420" t="str">
        <f>VLOOKUP($B107,'Rate card'!$A$4:$G236,5,FALSE)</f>
        <v>MR ply + Inside laminate + finish laminate</v>
      </c>
      <c r="G107" s="420" t="str">
        <f>VLOOKUP($B107,'Rate card'!$A$4:$G236,6,FALSE)</f>
        <v>Sqft</v>
      </c>
      <c r="H107" s="420">
        <f>VLOOKUP($B107,'Rate card'!$A$4:$J236,8,FALSE)</f>
        <v>1800</v>
      </c>
      <c r="I107" s="438" t="s">
        <v>107</v>
      </c>
      <c r="J107" s="415">
        <f t="shared" si="16"/>
        <v>27000</v>
      </c>
      <c r="K107" s="411" t="s">
        <v>250</v>
      </c>
      <c r="L107" s="281"/>
      <c r="M107" s="281"/>
      <c r="N107" s="416"/>
      <c r="O107" s="281"/>
      <c r="P107" s="281"/>
      <c r="Q107" s="439"/>
      <c r="R107" s="2"/>
      <c r="S107" s="281"/>
      <c r="T107" s="281"/>
      <c r="U107" s="281"/>
      <c r="V107" s="281"/>
      <c r="W107" s="281"/>
      <c r="X107" s="281"/>
      <c r="Y107" s="281"/>
      <c r="Z107" s="281"/>
      <c r="AA107" s="281"/>
      <c r="AB107" s="281"/>
      <c r="AC107" s="281"/>
      <c r="AD107" s="281"/>
    </row>
    <row r="108">
      <c r="A108" s="408" t="s">
        <v>32</v>
      </c>
      <c r="B108" s="419" t="s">
        <v>170</v>
      </c>
      <c r="C108" s="420" t="str">
        <f>VLOOKUP($B108,'Rate card'!$A$4:$G236,2,FALSE)</f>
        <v>Carpentry</v>
      </c>
      <c r="D108" s="420" t="str">
        <f>VLOOKUP($B108,'Rate card'!$A$4:$G236,3,FALSE)</f>
        <v>Carcass Storage</v>
      </c>
      <c r="E108" s="420" t="str">
        <f>VLOOKUP($B108,'Rate card'!$A$4:$G236,4,FALSE)</f>
        <v>Laminate Finish</v>
      </c>
      <c r="F108" s="420" t="str">
        <f>VLOOKUP($B108,'Rate card'!$A$4:$G236,5,FALSE)</f>
        <v>MR ply + Inside laminate + finish laminate</v>
      </c>
      <c r="G108" s="413" t="s">
        <v>188</v>
      </c>
      <c r="H108" s="413">
        <v>4500.0</v>
      </c>
      <c r="I108" s="421" t="s">
        <v>30</v>
      </c>
      <c r="J108" s="415">
        <f t="shared" si="16"/>
        <v>22500</v>
      </c>
      <c r="K108" s="422" t="s">
        <v>190</v>
      </c>
      <c r="L108" s="281"/>
      <c r="M108" s="281"/>
      <c r="N108" s="416">
        <f>VLOOKUP($B108,'Rate card'!$A$4:$J236,7,FALSE)</f>
        <v>1350</v>
      </c>
      <c r="O108" s="281">
        <f>I108*N108</f>
        <v>6750</v>
      </c>
      <c r="P108" s="281"/>
      <c r="Q108" s="281"/>
      <c r="R108" s="281"/>
      <c r="S108" s="281"/>
      <c r="T108" s="281"/>
      <c r="U108" s="281"/>
      <c r="V108" s="281"/>
      <c r="W108" s="281"/>
      <c r="X108" s="281"/>
      <c r="Y108" s="281"/>
      <c r="Z108" s="281"/>
      <c r="AA108" s="281"/>
      <c r="AB108" s="281"/>
      <c r="AC108" s="281"/>
      <c r="AD108" s="281"/>
    </row>
    <row r="109">
      <c r="A109" s="408" t="s">
        <v>34</v>
      </c>
      <c r="B109" s="419" t="s">
        <v>236</v>
      </c>
      <c r="C109" s="420" t="str">
        <f>VLOOKUP($B109,'Rate card'!$A$4:$G236,2,FALSE)</f>
        <v>Carpentry</v>
      </c>
      <c r="D109" s="420" t="str">
        <f>VLOOKUP($B109,'Rate card'!$A$4:$G236,3,FALSE)</f>
        <v>Panelling with framing</v>
      </c>
      <c r="E109" s="420" t="str">
        <f>VLOOKUP($B109,'Rate card'!$A$4:$G236,4,FALSE)</f>
        <v>Mirror Finish</v>
      </c>
      <c r="F109" s="420" t="str">
        <f>VLOOKUP($B109,'Rate card'!$A$4:$G236,5,FALSE)</f>
        <v>MR ply + ply framing + 5mm clear mirror</v>
      </c>
      <c r="G109" s="420" t="str">
        <f>VLOOKUP($B109,'Rate card'!$A$4:$G236,6,FALSE)</f>
        <v>Sqft</v>
      </c>
      <c r="H109" s="420">
        <f>VLOOKUP($B109,'Rate card'!$A$4:$J236,8,FALSE)</f>
        <v>750</v>
      </c>
      <c r="I109" s="438">
        <f>2*5</f>
        <v>10</v>
      </c>
      <c r="J109" s="415">
        <f t="shared" si="16"/>
        <v>7500</v>
      </c>
      <c r="K109" s="411" t="s">
        <v>237</v>
      </c>
      <c r="L109" s="281"/>
      <c r="M109" s="281"/>
      <c r="N109" s="416"/>
      <c r="O109" s="281"/>
      <c r="P109" s="281"/>
      <c r="Q109" s="281"/>
      <c r="R109" s="281"/>
      <c r="S109" s="281"/>
      <c r="T109" s="281"/>
      <c r="U109" s="281"/>
      <c r="V109" s="281"/>
      <c r="W109" s="281"/>
      <c r="X109" s="281"/>
      <c r="Y109" s="281"/>
      <c r="Z109" s="281"/>
      <c r="AA109" s="281"/>
      <c r="AB109" s="281"/>
      <c r="AC109" s="281"/>
      <c r="AD109" s="281"/>
    </row>
    <row r="110">
      <c r="A110" s="408" t="s">
        <v>36</v>
      </c>
      <c r="B110" s="419" t="s">
        <v>252</v>
      </c>
      <c r="C110" s="420" t="str">
        <f>VLOOKUP($B110,'Rate card'!$A$4:$G236,2,FALSE)</f>
        <v>Carpentry</v>
      </c>
      <c r="D110" s="420" t="str">
        <f>VLOOKUP($B110,'Rate card'!$A$4:$G236,3,FALSE)</f>
        <v>Dresser</v>
      </c>
      <c r="E110" s="433" t="str">
        <f>VLOOKUP($B110,'Rate card'!$A$4:$G236,4,FALSE)</f>
        <v>Laminate Finish</v>
      </c>
      <c r="F110" s="433" t="str">
        <f>VLOOKUP($B110,'Rate card'!$A$4:$G236,5,FALSE)</f>
        <v>MRply + Inside laminate + finish laminate </v>
      </c>
      <c r="G110" s="420" t="str">
        <f>VLOOKUP($B110,'Rate card'!$A$4:$G236,6,FALSE)</f>
        <v>Sqft</v>
      </c>
      <c r="H110" s="413">
        <v>1800.0</v>
      </c>
      <c r="I110" s="414" t="s">
        <v>32</v>
      </c>
      <c r="J110" s="415">
        <f t="shared" si="16"/>
        <v>10800</v>
      </c>
      <c r="K110" s="411" t="s">
        <v>234</v>
      </c>
      <c r="L110" s="281"/>
      <c r="M110" s="281"/>
      <c r="N110" s="443">
        <f>VLOOKUP($B110,'Rate card'!$A$4:$J236,7,FALSE)</f>
        <v>1400</v>
      </c>
      <c r="O110" s="444">
        <f>I110*N110</f>
        <v>8400</v>
      </c>
      <c r="P110" s="281"/>
      <c r="Q110" s="281"/>
      <c r="R110" s="281"/>
      <c r="S110" s="281"/>
      <c r="T110" s="281"/>
      <c r="U110" s="281"/>
      <c r="V110" s="281"/>
      <c r="W110" s="281"/>
      <c r="X110" s="281"/>
      <c r="Y110" s="281"/>
      <c r="Z110" s="281"/>
      <c r="AA110" s="281"/>
      <c r="AB110" s="281"/>
      <c r="AC110" s="281"/>
      <c r="AD110" s="281"/>
    </row>
    <row r="111">
      <c r="A111" s="408" t="s">
        <v>92</v>
      </c>
      <c r="B111" s="440" t="s">
        <v>238</v>
      </c>
      <c r="C111" s="395" t="s">
        <v>31</v>
      </c>
      <c r="D111" s="343" t="s">
        <v>180</v>
      </c>
      <c r="E111" s="395" t="str">
        <f>VLOOKUP($B111,'Rate card'!$A$4:$G236,4,FALSE)</f>
        <v>Laminate Finish</v>
      </c>
      <c r="F111" s="441" t="s">
        <v>239</v>
      </c>
      <c r="G111" s="420" t="str">
        <f>VLOOKUP($B111,'Rate card'!$A$4:$G236,6,FALSE)</f>
        <v>Sqft</v>
      </c>
      <c r="H111" s="420">
        <f>VLOOKUP($B111,'Rate card'!$A$4:$J236,8,FALSE)</f>
        <v>650</v>
      </c>
      <c r="I111" s="438" t="s">
        <v>262</v>
      </c>
      <c r="J111" s="415">
        <f t="shared" si="16"/>
        <v>58500</v>
      </c>
      <c r="K111" s="333" t="s">
        <v>241</v>
      </c>
      <c r="L111" s="346"/>
      <c r="M111" s="346"/>
      <c r="N111" s="371"/>
      <c r="O111" s="346"/>
      <c r="P111" s="346"/>
      <c r="Q111" s="346"/>
      <c r="R111" s="346"/>
      <c r="S111" s="346"/>
      <c r="T111" s="346"/>
      <c r="U111" s="346"/>
      <c r="V111" s="346"/>
      <c r="W111" s="346"/>
      <c r="X111" s="346"/>
      <c r="Y111" s="346"/>
      <c r="Z111" s="346"/>
      <c r="AA111" s="346"/>
      <c r="AB111" s="346"/>
      <c r="AC111" s="281"/>
      <c r="AD111" s="281"/>
    </row>
    <row r="112">
      <c r="A112" s="408" t="s">
        <v>95</v>
      </c>
      <c r="B112" s="419" t="s">
        <v>263</v>
      </c>
      <c r="C112" s="420" t="str">
        <f>VLOOKUP($B112,'Rate card'!$A$4:$G236,2,FALSE)</f>
        <v>Carpentry</v>
      </c>
      <c r="D112" s="420" t="str">
        <f>VLOOKUP($B112,'Rate card'!$A$4:$G236,3,FALSE)</f>
        <v>Wardrobe</v>
      </c>
      <c r="E112" s="420" t="str">
        <f>VLOOKUP($B112,'Rate card'!$A$4:$G236,4,FALSE)</f>
        <v>Backpainted glass</v>
      </c>
      <c r="F112" s="420" t="str">
        <f>VLOOKUP($B112,'Rate card'!$A$4:$G236,5,FALSE)</f>
        <v>MR ply + Inside laminate + Profile section for glass+ 5mm toughned backpainted extra clear glass(Includes 4 pencil drawers, Handles of base rate Rs.1000/pc)</v>
      </c>
      <c r="G112" s="420" t="str">
        <f>VLOOKUP($B112,'Rate card'!$A$4:$G236,6,FALSE)</f>
        <v>Sqft</v>
      </c>
      <c r="H112" s="413">
        <v>2800.0</v>
      </c>
      <c r="I112" s="438" t="s">
        <v>628</v>
      </c>
      <c r="J112" s="415">
        <f t="shared" si="16"/>
        <v>162400</v>
      </c>
      <c r="K112" s="411" t="s">
        <v>244</v>
      </c>
      <c r="L112" s="281"/>
      <c r="M112" s="281"/>
      <c r="N112" s="416">
        <f>VLOOKUP($B112,'Rate card'!$A$4:$J236,7,FALSE)</f>
        <v>1800</v>
      </c>
      <c r="O112" s="281">
        <f>I112*N112</f>
        <v>104400</v>
      </c>
      <c r="P112" s="281"/>
      <c r="Q112" s="281"/>
      <c r="R112" s="281"/>
      <c r="S112" s="281"/>
      <c r="T112" s="281"/>
      <c r="U112" s="281"/>
      <c r="V112" s="281"/>
      <c r="W112" s="281"/>
      <c r="X112" s="281"/>
      <c r="Y112" s="281"/>
      <c r="Z112" s="281"/>
      <c r="AA112" s="281"/>
      <c r="AB112" s="281"/>
      <c r="AC112" s="281"/>
      <c r="AD112" s="281"/>
    </row>
    <row r="113">
      <c r="A113" s="408" t="s">
        <v>97</v>
      </c>
      <c r="B113" s="419" t="s">
        <v>179</v>
      </c>
      <c r="C113" s="420" t="str">
        <f>VLOOKUP($B113,'Rate card'!$A$4:$G236,2,FALSE)</f>
        <v>Carpentry</v>
      </c>
      <c r="D113" s="420" t="str">
        <f>VLOOKUP($B113,'Rate card'!$A$4:$G236,3,FALSE)</f>
        <v>Panelling with framing</v>
      </c>
      <c r="E113" s="420" t="str">
        <f>VLOOKUP($B113,'Rate card'!$A$4:$G236,4,FALSE)</f>
        <v>MDF</v>
      </c>
      <c r="F113" s="420" t="str">
        <f>VLOOKUP($B113,'Rate card'!$A$4:$G236,5,FALSE)</f>
        <v>MR ply + ply framing + 12mm MDF</v>
      </c>
      <c r="G113" s="420" t="str">
        <f>VLOOKUP($B113,'Rate card'!$A$4:$G236,6,FALSE)</f>
        <v>Sqft</v>
      </c>
      <c r="H113" s="413">
        <v>600.0</v>
      </c>
      <c r="I113" s="438" t="s">
        <v>224</v>
      </c>
      <c r="J113" s="415">
        <f t="shared" si="16"/>
        <v>13200</v>
      </c>
      <c r="K113" s="411" t="s">
        <v>245</v>
      </c>
      <c r="L113" s="281"/>
      <c r="M113" s="281"/>
      <c r="N113" s="416"/>
      <c r="O113" s="281"/>
      <c r="P113" s="281"/>
      <c r="Q113" s="281"/>
      <c r="R113" s="281"/>
      <c r="S113" s="281"/>
      <c r="T113" s="281"/>
      <c r="U113" s="281"/>
      <c r="V113" s="281"/>
      <c r="W113" s="281"/>
      <c r="X113" s="281"/>
      <c r="Y113" s="281"/>
      <c r="Z113" s="281"/>
      <c r="AA113" s="281"/>
      <c r="AB113" s="281"/>
      <c r="AC113" s="281"/>
      <c r="AD113" s="281"/>
    </row>
    <row r="114">
      <c r="A114" s="432" t="s">
        <v>265</v>
      </c>
      <c r="B114" s="323"/>
      <c r="C114" s="323"/>
      <c r="D114" s="323"/>
      <c r="E114" s="323"/>
      <c r="F114" s="323"/>
      <c r="G114" s="323"/>
      <c r="H114" s="324"/>
      <c r="I114" s="322"/>
      <c r="J114" s="324"/>
      <c r="K114" s="294"/>
      <c r="L114" s="281"/>
      <c r="M114" s="281"/>
      <c r="N114" s="416"/>
      <c r="O114" s="281"/>
      <c r="P114" s="281"/>
      <c r="Q114" s="281"/>
      <c r="R114" s="281"/>
      <c r="S114" s="281"/>
      <c r="T114" s="281"/>
      <c r="U114" s="281"/>
      <c r="V114" s="281"/>
      <c r="W114" s="281"/>
      <c r="X114" s="281"/>
      <c r="Y114" s="281"/>
      <c r="Z114" s="281"/>
      <c r="AA114" s="281"/>
      <c r="AB114" s="281"/>
      <c r="AC114" s="281"/>
      <c r="AD114" s="281"/>
    </row>
    <row r="115">
      <c r="A115" s="408" t="s">
        <v>16</v>
      </c>
      <c r="B115" s="419" t="s">
        <v>227</v>
      </c>
      <c r="C115" s="420" t="str">
        <f>VLOOKUP($B115,'Rate card'!$A$4:$G236,2,FALSE)</f>
        <v>Carpentry</v>
      </c>
      <c r="D115" s="420" t="str">
        <f>VLOOKUP($B115,'Rate card'!$A$4:$G236,3,FALSE)</f>
        <v>Bed</v>
      </c>
      <c r="E115" s="420" t="str">
        <f>VLOOKUP($B115,'Rate card'!$A$4:$G236,4,FALSE)</f>
        <v>Laminate Finish</v>
      </c>
      <c r="F115" s="420" t="str">
        <f>VLOOKUP($B115,'Rate card'!$A$4:$G236,5,FALSE)</f>
        <v>MR ply + Inside laminate + finish laminate</v>
      </c>
      <c r="G115" s="420" t="str">
        <f>VLOOKUP($B115,'Rate card'!$A$4:$G236,6,FALSE)</f>
        <v>Sqft</v>
      </c>
      <c r="H115" s="413">
        <v>2200.0</v>
      </c>
      <c r="I115" s="414" t="s">
        <v>64</v>
      </c>
      <c r="J115" s="415">
        <f t="shared" ref="J115:J124" si="18">H115*I115</f>
        <v>88000</v>
      </c>
      <c r="K115" s="72" t="s">
        <v>247</v>
      </c>
      <c r="L115" s="281"/>
      <c r="M115" s="281"/>
      <c r="N115" s="416">
        <f>VLOOKUP($B115,'Rate card'!$A$4:$J236,7,FALSE)</f>
        <v>1400</v>
      </c>
      <c r="O115" s="281">
        <f t="shared" ref="O115:O116" si="19">I115*N115</f>
        <v>56000</v>
      </c>
      <c r="P115" s="281"/>
      <c r="Q115" s="281"/>
      <c r="R115" s="281"/>
      <c r="S115" s="281"/>
      <c r="T115" s="281"/>
      <c r="U115" s="281"/>
      <c r="V115" s="281"/>
      <c r="W115" s="281"/>
      <c r="X115" s="281"/>
      <c r="Y115" s="281"/>
      <c r="Z115" s="281"/>
      <c r="AA115" s="281"/>
      <c r="AB115" s="281"/>
      <c r="AC115" s="281"/>
      <c r="AD115" s="281"/>
    </row>
    <row r="116">
      <c r="A116" s="408" t="s">
        <v>18</v>
      </c>
      <c r="B116" s="419" t="s">
        <v>230</v>
      </c>
      <c r="C116" s="420" t="str">
        <f>VLOOKUP($B116,'Rate card'!$A$4:$G236,2,FALSE)</f>
        <v>Carpentry</v>
      </c>
      <c r="D116" s="420" t="str">
        <f>VLOOKUP($B116,'Rate card'!$A$4:$G236,3,FALSE)</f>
        <v>Headboard</v>
      </c>
      <c r="E116" s="420" t="str">
        <f>VLOOKUP($B116,'Rate card'!$A$4:$G236,4,FALSE)</f>
        <v>Fabric Finish</v>
      </c>
      <c r="F116" s="420" t="str">
        <f>VLOOKUP($B116,'Rate card'!$A$4:$G236,5,FALSE)</f>
        <v>MR ply panelling + Foam material and labour. Excludes Fabric cost</v>
      </c>
      <c r="G116" s="420" t="str">
        <f>VLOOKUP($B116,'Rate card'!$A$4:$G236,6,FALSE)</f>
        <v>Sqft</v>
      </c>
      <c r="H116" s="413">
        <v>1300.0</v>
      </c>
      <c r="I116" s="414" t="s">
        <v>116</v>
      </c>
      <c r="J116" s="415">
        <f t="shared" si="18"/>
        <v>23400</v>
      </c>
      <c r="K116" s="411" t="s">
        <v>231</v>
      </c>
      <c r="L116" s="281"/>
      <c r="M116" s="281"/>
      <c r="N116" s="416">
        <f>VLOOKUP($B116,'Rate card'!$A$4:$J236,7,FALSE)</f>
        <v>950</v>
      </c>
      <c r="O116" s="281">
        <f t="shared" si="19"/>
        <v>17100</v>
      </c>
      <c r="P116" s="281"/>
      <c r="Q116" s="281"/>
      <c r="R116" s="281"/>
      <c r="S116" s="281"/>
      <c r="T116" s="281"/>
      <c r="U116" s="281"/>
      <c r="V116" s="281"/>
      <c r="W116" s="281"/>
      <c r="X116" s="281"/>
      <c r="Y116" s="281"/>
      <c r="Z116" s="281"/>
      <c r="AA116" s="281"/>
      <c r="AB116" s="281"/>
      <c r="AC116" s="281"/>
      <c r="AD116" s="281"/>
    </row>
    <row r="117">
      <c r="A117" s="408" t="s">
        <v>24</v>
      </c>
      <c r="B117" s="419" t="s">
        <v>232</v>
      </c>
      <c r="C117" s="420" t="str">
        <f>VLOOKUP($B117,'Rate card'!$A$4:$G236,2,FALSE)</f>
        <v>Carpentry</v>
      </c>
      <c r="D117" s="413" t="s">
        <v>233</v>
      </c>
      <c r="E117" s="420" t="str">
        <f>VLOOKUP($B117,'Rate card'!$A$4:$G236,4,FALSE)</f>
        <v>Laminate Finish</v>
      </c>
      <c r="F117" s="420" t="str">
        <f>VLOOKUP($B117,'Rate card'!$A$4:$G236,5,FALSE)</f>
        <v>MR ply + Inside laminate + finish laminate (1 Drawer)</v>
      </c>
      <c r="G117" s="420" t="str">
        <f>VLOOKUP($B117,'Rate card'!$A$4:$G236,6,FALSE)</f>
        <v>Nos</v>
      </c>
      <c r="H117" s="413">
        <v>13000.0</v>
      </c>
      <c r="I117" s="438" t="s">
        <v>16</v>
      </c>
      <c r="J117" s="415">
        <f t="shared" si="18"/>
        <v>13000</v>
      </c>
      <c r="K117" s="411" t="s">
        <v>233</v>
      </c>
      <c r="L117" s="281"/>
      <c r="M117" s="281"/>
      <c r="N117" s="416"/>
      <c r="O117" s="281"/>
      <c r="P117" s="281"/>
      <c r="Q117" s="281"/>
      <c r="R117" s="281"/>
      <c r="S117" s="281"/>
      <c r="T117" s="281"/>
      <c r="U117" s="281"/>
      <c r="V117" s="281"/>
      <c r="W117" s="281"/>
      <c r="X117" s="281"/>
      <c r="Y117" s="281"/>
      <c r="Z117" s="281"/>
      <c r="AA117" s="281"/>
      <c r="AB117" s="281"/>
      <c r="AC117" s="281"/>
      <c r="AD117" s="281"/>
    </row>
    <row r="118">
      <c r="A118" s="408" t="s">
        <v>27</v>
      </c>
      <c r="B118" s="419" t="s">
        <v>236</v>
      </c>
      <c r="C118" s="420" t="str">
        <f>VLOOKUP($B118,'Rate card'!$A$4:$G236,2,FALSE)</f>
        <v>Carpentry</v>
      </c>
      <c r="D118" s="420" t="str">
        <f>VLOOKUP($B118,'Rate card'!$A$4:$G236,3,FALSE)</f>
        <v>Panelling with framing</v>
      </c>
      <c r="E118" s="420" t="str">
        <f>VLOOKUP($B118,'Rate card'!$A$4:$G236,4,FALSE)</f>
        <v>Mirror Finish</v>
      </c>
      <c r="F118" s="420" t="str">
        <f>VLOOKUP($B118,'Rate card'!$A$4:$G236,5,FALSE)</f>
        <v>MR ply + ply framing + 5mm clear mirror</v>
      </c>
      <c r="G118" s="420" t="str">
        <f>VLOOKUP($B118,'Rate card'!$A$4:$G236,6,FALSE)</f>
        <v>Sqft</v>
      </c>
      <c r="H118" s="420">
        <f>VLOOKUP($B118,'Rate card'!$A$4:$J236,8,FALSE)</f>
        <v>750</v>
      </c>
      <c r="I118" s="438">
        <f>2*5</f>
        <v>10</v>
      </c>
      <c r="J118" s="415">
        <f t="shared" si="18"/>
        <v>7500</v>
      </c>
      <c r="K118" s="411" t="s">
        <v>237</v>
      </c>
      <c r="L118" s="281"/>
      <c r="M118" s="281"/>
      <c r="N118" s="416"/>
      <c r="O118" s="281"/>
      <c r="P118" s="281"/>
      <c r="Q118" s="281"/>
      <c r="R118" s="281"/>
      <c r="S118" s="281"/>
      <c r="T118" s="281"/>
      <c r="U118" s="281"/>
      <c r="V118" s="281"/>
      <c r="W118" s="281"/>
      <c r="X118" s="281"/>
      <c r="Y118" s="281"/>
      <c r="Z118" s="281"/>
      <c r="AA118" s="281"/>
      <c r="AB118" s="281"/>
      <c r="AC118" s="281"/>
      <c r="AD118" s="281"/>
    </row>
    <row r="119">
      <c r="A119" s="408" t="s">
        <v>30</v>
      </c>
      <c r="B119" s="419" t="s">
        <v>252</v>
      </c>
      <c r="C119" s="420" t="str">
        <f>VLOOKUP($B119,'Rate card'!$A$4:$G236,2,FALSE)</f>
        <v>Carpentry</v>
      </c>
      <c r="D119" s="420" t="str">
        <f>VLOOKUP($B119,'Rate card'!$A$4:$G236,3,FALSE)</f>
        <v>Dresser</v>
      </c>
      <c r="E119" s="433" t="str">
        <f>VLOOKUP($B119,'Rate card'!$A$4:$G236,4,FALSE)</f>
        <v>Laminate Finish</v>
      </c>
      <c r="F119" s="433" t="str">
        <f>VLOOKUP($B119,'Rate card'!$A$4:$G236,5,FALSE)</f>
        <v>MRply + Inside laminate + finish laminate </v>
      </c>
      <c r="G119" s="420" t="str">
        <f>VLOOKUP($B119,'Rate card'!$A$4:$G236,6,FALSE)</f>
        <v>Sqft</v>
      </c>
      <c r="H119" s="413">
        <v>1800.0</v>
      </c>
      <c r="I119" s="414" t="s">
        <v>32</v>
      </c>
      <c r="J119" s="415">
        <f t="shared" si="18"/>
        <v>10800</v>
      </c>
      <c r="K119" s="411" t="s">
        <v>234</v>
      </c>
      <c r="L119" s="281"/>
      <c r="M119" s="281"/>
      <c r="N119" s="443">
        <f>VLOOKUP($B119,'Rate card'!$A$4:$J236,7,FALSE)</f>
        <v>1400</v>
      </c>
      <c r="O119" s="444">
        <f>I119*N119</f>
        <v>8400</v>
      </c>
      <c r="P119" s="281"/>
      <c r="Q119" s="281"/>
      <c r="R119" s="281"/>
      <c r="S119" s="281"/>
      <c r="T119" s="281"/>
      <c r="U119" s="281"/>
      <c r="V119" s="281"/>
      <c r="W119" s="281"/>
      <c r="X119" s="281"/>
      <c r="Y119" s="281"/>
      <c r="Z119" s="281"/>
      <c r="AA119" s="281"/>
      <c r="AB119" s="281"/>
      <c r="AC119" s="281"/>
      <c r="AD119" s="281"/>
    </row>
    <row r="120">
      <c r="A120" s="408" t="s">
        <v>32</v>
      </c>
      <c r="B120" s="440" t="s">
        <v>238</v>
      </c>
      <c r="C120" s="395" t="s">
        <v>31</v>
      </c>
      <c r="D120" s="343" t="s">
        <v>180</v>
      </c>
      <c r="E120" s="395" t="str">
        <f>VLOOKUP($B120,'Rate card'!$A$4:$G236,4,FALSE)</f>
        <v>Laminate Finish</v>
      </c>
      <c r="F120" s="441" t="s">
        <v>239</v>
      </c>
      <c r="G120" s="420" t="str">
        <f>VLOOKUP($B120,'Rate card'!$A$4:$G236,6,FALSE)</f>
        <v>Sqft</v>
      </c>
      <c r="H120" s="420">
        <f>VLOOKUP($B120,'Rate card'!$A$4:$J236,8,FALSE)</f>
        <v>650</v>
      </c>
      <c r="I120" s="438" t="s">
        <v>270</v>
      </c>
      <c r="J120" s="415">
        <f t="shared" si="18"/>
        <v>32500</v>
      </c>
      <c r="K120" s="333" t="s">
        <v>241</v>
      </c>
      <c r="L120" s="346"/>
      <c r="M120" s="346"/>
      <c r="N120" s="371"/>
      <c r="O120" s="346"/>
      <c r="P120" s="346"/>
      <c r="Q120" s="346"/>
      <c r="R120" s="346"/>
      <c r="S120" s="346"/>
      <c r="T120" s="346"/>
      <c r="U120" s="346"/>
      <c r="V120" s="346"/>
      <c r="W120" s="346"/>
      <c r="X120" s="346"/>
      <c r="Y120" s="346"/>
      <c r="Z120" s="346"/>
      <c r="AA120" s="346"/>
      <c r="AB120" s="346"/>
      <c r="AC120" s="281"/>
      <c r="AD120" s="281"/>
    </row>
    <row r="121">
      <c r="A121" s="408" t="s">
        <v>30</v>
      </c>
      <c r="B121" s="419" t="s">
        <v>170</v>
      </c>
      <c r="C121" s="420" t="str">
        <f>VLOOKUP($B121,'Rate card'!$A$4:$G236,2,FALSE)</f>
        <v>Carpentry</v>
      </c>
      <c r="D121" s="420" t="str">
        <f>VLOOKUP($B121,'Rate card'!$A$4:$G236,3,FALSE)</f>
        <v>Carcass Storage</v>
      </c>
      <c r="E121" s="420" t="str">
        <f>VLOOKUP($B121,'Rate card'!$A$4:$G236,4,FALSE)</f>
        <v>Laminate Finish</v>
      </c>
      <c r="F121" s="420" t="str">
        <f>VLOOKUP($B121,'Rate card'!$A$4:$G236,5,FALSE)</f>
        <v>MR ply + Inside laminate + finish laminate</v>
      </c>
      <c r="G121" s="420" t="str">
        <f>VLOOKUP($B121,'Rate card'!$A$4:$G236,6,FALSE)</f>
        <v>Sqft</v>
      </c>
      <c r="H121" s="420">
        <f>VLOOKUP($B121,'Rate card'!$A$4:$J236,8,FALSE)</f>
        <v>1800</v>
      </c>
      <c r="I121" s="421" t="s">
        <v>116</v>
      </c>
      <c r="J121" s="415">
        <f t="shared" si="18"/>
        <v>32400</v>
      </c>
      <c r="K121" s="422" t="s">
        <v>183</v>
      </c>
      <c r="L121" s="281"/>
      <c r="M121" s="281"/>
      <c r="N121" s="416">
        <f>VLOOKUP($B121,'Rate card'!$A$4:$J236,7,FALSE)</f>
        <v>1350</v>
      </c>
      <c r="O121" s="281">
        <f t="shared" ref="O121:O145" si="20">I121*N121</f>
        <v>24300</v>
      </c>
      <c r="P121" s="281"/>
      <c r="Q121" s="281"/>
      <c r="R121" s="281"/>
      <c r="S121" s="281"/>
      <c r="T121" s="281"/>
      <c r="U121" s="281"/>
      <c r="V121" s="281"/>
      <c r="W121" s="281"/>
      <c r="X121" s="281"/>
      <c r="Y121" s="281"/>
      <c r="Z121" s="281"/>
      <c r="AA121" s="281"/>
      <c r="AB121" s="281"/>
      <c r="AC121" s="281"/>
      <c r="AD121" s="281"/>
    </row>
    <row r="122">
      <c r="A122" s="445" t="s">
        <v>27</v>
      </c>
      <c r="B122" s="419" t="s">
        <v>170</v>
      </c>
      <c r="C122" s="420" t="str">
        <f>VLOOKUP($B122,'Rate card'!$A$4:$G236,2,FALSE)</f>
        <v>Carpentry</v>
      </c>
      <c r="D122" s="420" t="str">
        <f>VLOOKUP($B122,'Rate card'!$A$4:$G236,3,FALSE)</f>
        <v>Carcass Storage</v>
      </c>
      <c r="E122" s="420" t="str">
        <f>VLOOKUP($B122,'Rate card'!$A$4:$G236,4,FALSE)</f>
        <v>Laminate Finish</v>
      </c>
      <c r="F122" s="420" t="str">
        <f>VLOOKUP($B122,'Rate card'!$A$4:$G236,5,FALSE)</f>
        <v>MR ply + Inside laminate + finish laminate</v>
      </c>
      <c r="G122" s="413" t="s">
        <v>188</v>
      </c>
      <c r="H122" s="413">
        <v>4500.0</v>
      </c>
      <c r="I122" s="421" t="s">
        <v>30</v>
      </c>
      <c r="J122" s="415">
        <f t="shared" si="18"/>
        <v>22500</v>
      </c>
      <c r="K122" s="422" t="s">
        <v>190</v>
      </c>
      <c r="L122" s="281"/>
      <c r="M122" s="281"/>
      <c r="N122" s="416">
        <f>VLOOKUP($B122,'Rate card'!$A$4:$J236,7,FALSE)</f>
        <v>1350</v>
      </c>
      <c r="O122" s="281">
        <f t="shared" si="20"/>
        <v>6750</v>
      </c>
      <c r="P122" s="281"/>
      <c r="Q122" s="281"/>
      <c r="R122" s="281"/>
      <c r="S122" s="281"/>
      <c r="T122" s="281"/>
      <c r="U122" s="281"/>
      <c r="V122" s="281"/>
      <c r="W122" s="281"/>
      <c r="X122" s="281"/>
      <c r="Y122" s="281"/>
      <c r="Z122" s="281"/>
      <c r="AA122" s="281"/>
      <c r="AB122" s="281"/>
      <c r="AC122" s="281"/>
      <c r="AD122" s="281"/>
    </row>
    <row r="123">
      <c r="A123" s="408" t="s">
        <v>92</v>
      </c>
      <c r="B123" s="419" t="s">
        <v>263</v>
      </c>
      <c r="C123" s="420" t="str">
        <f>VLOOKUP($B123,'Rate card'!$A$4:$G236,2,FALSE)</f>
        <v>Carpentry</v>
      </c>
      <c r="D123" s="420" t="str">
        <f>VLOOKUP($B123,'Rate card'!$A$4:$G236,3,FALSE)</f>
        <v>Wardrobe</v>
      </c>
      <c r="E123" s="420" t="str">
        <f>VLOOKUP($B123,'Rate card'!$A$4:$G236,4,FALSE)</f>
        <v>Backpainted glass</v>
      </c>
      <c r="F123" s="420" t="str">
        <f>VLOOKUP($B123,'Rate card'!$A$4:$G236,5,FALSE)</f>
        <v>MR ply + Inside laminate + Profile section for glass+ 5mm toughned backpainted extra clear glass(Includes 4 pencil drawers, Handles of base rate Rs.1000/pc)</v>
      </c>
      <c r="G123" s="420" t="str">
        <f>VLOOKUP($B123,'Rate card'!$A$4:$G236,6,FALSE)</f>
        <v>Sqft</v>
      </c>
      <c r="H123" s="413">
        <v>2800.0</v>
      </c>
      <c r="I123" s="438" t="s">
        <v>240</v>
      </c>
      <c r="J123" s="415">
        <f t="shared" si="18"/>
        <v>224000</v>
      </c>
      <c r="K123" s="411" t="s">
        <v>244</v>
      </c>
      <c r="L123" s="281"/>
      <c r="M123" s="281"/>
      <c r="N123" s="416">
        <f>VLOOKUP($B123,'Rate card'!$A$4:$J236,7,FALSE)</f>
        <v>1800</v>
      </c>
      <c r="O123" s="281">
        <f t="shared" si="20"/>
        <v>144000</v>
      </c>
      <c r="P123" s="281"/>
      <c r="Q123" s="281"/>
      <c r="R123" s="281"/>
      <c r="S123" s="281"/>
      <c r="T123" s="281"/>
      <c r="U123" s="281"/>
      <c r="V123" s="281"/>
      <c r="W123" s="281"/>
      <c r="X123" s="281"/>
      <c r="Y123" s="281"/>
      <c r="Z123" s="281"/>
      <c r="AA123" s="281"/>
      <c r="AB123" s="281"/>
      <c r="AC123" s="281"/>
      <c r="AD123" s="281"/>
    </row>
    <row r="124">
      <c r="A124" s="408" t="s">
        <v>95</v>
      </c>
      <c r="B124" s="419" t="s">
        <v>179</v>
      </c>
      <c r="C124" s="420" t="str">
        <f>VLOOKUP($B124,'Rate card'!$A$4:$G236,2,FALSE)</f>
        <v>Carpentry</v>
      </c>
      <c r="D124" s="420" t="str">
        <f>VLOOKUP($B124,'Rate card'!$A$4:$G236,3,FALSE)</f>
        <v>Panelling with framing</v>
      </c>
      <c r="E124" s="420" t="str">
        <f>VLOOKUP($B124,'Rate card'!$A$4:$G236,4,FALSE)</f>
        <v>MDF</v>
      </c>
      <c r="F124" s="420" t="str">
        <f>VLOOKUP($B124,'Rate card'!$A$4:$G236,5,FALSE)</f>
        <v>MR ply + ply framing + 12mm MDF</v>
      </c>
      <c r="G124" s="420" t="str">
        <f>VLOOKUP($B124,'Rate card'!$A$4:$G236,6,FALSE)</f>
        <v>Sqft</v>
      </c>
      <c r="H124" s="413">
        <v>600.0</v>
      </c>
      <c r="I124" s="438" t="s">
        <v>224</v>
      </c>
      <c r="J124" s="415">
        <f t="shared" si="18"/>
        <v>13200</v>
      </c>
      <c r="K124" s="411" t="s">
        <v>245</v>
      </c>
      <c r="L124" s="281"/>
      <c r="M124" s="281"/>
      <c r="N124" s="416">
        <f>VLOOKUP($B124,'Rate card'!$A$4:$J236,7,FALSE)</f>
        <v>450</v>
      </c>
      <c r="O124" s="281">
        <f t="shared" si="20"/>
        <v>9900</v>
      </c>
      <c r="P124" s="281"/>
      <c r="Q124" s="281"/>
      <c r="R124" s="281"/>
      <c r="S124" s="281"/>
      <c r="T124" s="281"/>
      <c r="U124" s="281"/>
      <c r="V124" s="281"/>
      <c r="W124" s="281"/>
      <c r="X124" s="281"/>
      <c r="Y124" s="281"/>
      <c r="Z124" s="281"/>
      <c r="AA124" s="281"/>
      <c r="AB124" s="281"/>
      <c r="AC124" s="281"/>
      <c r="AD124" s="281"/>
    </row>
    <row r="125">
      <c r="A125" s="432" t="s">
        <v>278</v>
      </c>
      <c r="B125" s="323"/>
      <c r="C125" s="323"/>
      <c r="D125" s="323"/>
      <c r="E125" s="323"/>
      <c r="F125" s="323"/>
      <c r="G125" s="323"/>
      <c r="H125" s="324"/>
      <c r="I125" s="322"/>
      <c r="J125" s="324"/>
      <c r="K125" s="294"/>
      <c r="L125" s="281"/>
      <c r="M125" s="281"/>
      <c r="N125" s="416">
        <f>VLOOKUP($B125,'Rate card'!$A$4:$J236,7,FALSE)</f>
        <v>0</v>
      </c>
      <c r="O125" s="281">
        <f t="shared" si="20"/>
        <v>0</v>
      </c>
      <c r="P125" s="281"/>
      <c r="Q125" s="281"/>
      <c r="R125" s="281"/>
      <c r="S125" s="281"/>
      <c r="T125" s="281"/>
      <c r="U125" s="281"/>
      <c r="V125" s="281"/>
      <c r="W125" s="281"/>
      <c r="X125" s="281"/>
      <c r="Y125" s="281"/>
      <c r="Z125" s="281"/>
      <c r="AA125" s="281"/>
      <c r="AB125" s="281"/>
      <c r="AC125" s="281"/>
      <c r="AD125" s="281"/>
    </row>
    <row r="126">
      <c r="A126" s="408" t="s">
        <v>16</v>
      </c>
      <c r="B126" s="419" t="s">
        <v>170</v>
      </c>
      <c r="C126" s="420" t="str">
        <f>VLOOKUP($B126,'Rate card'!$A$4:$G236,2,FALSE)</f>
        <v>Carpentry</v>
      </c>
      <c r="D126" s="420" t="str">
        <f>VLOOKUP($B126,'Rate card'!$A$4:$G236,3,FALSE)</f>
        <v>Carcass Storage</v>
      </c>
      <c r="E126" s="420" t="str">
        <f>VLOOKUP($B126,'Rate card'!$A$4:$G236,4,FALSE)</f>
        <v>Laminate Finish</v>
      </c>
      <c r="F126" s="420" t="str">
        <f>VLOOKUP($B126,'Rate card'!$A$4:$G236,5,FALSE)</f>
        <v>MR ply + Inside laminate + finish laminate</v>
      </c>
      <c r="G126" s="420" t="str">
        <f>VLOOKUP($B126,'Rate card'!$A$4:$G236,6,FALSE)</f>
        <v>Sqft</v>
      </c>
      <c r="H126" s="420">
        <f>VLOOKUP($B126,'Rate card'!$A$4:$J236,8,FALSE)</f>
        <v>1800</v>
      </c>
      <c r="I126" s="446" t="s">
        <v>95</v>
      </c>
      <c r="J126" s="415">
        <f t="shared" ref="J126:J128" si="21">H126*I126</f>
        <v>18000</v>
      </c>
      <c r="K126" s="62" t="s">
        <v>279</v>
      </c>
      <c r="L126" s="281"/>
      <c r="M126" s="281"/>
      <c r="N126" s="416">
        <f>VLOOKUP($B126,'Rate card'!$A$4:$J236,7,FALSE)</f>
        <v>1350</v>
      </c>
      <c r="O126" s="281">
        <f t="shared" si="20"/>
        <v>13500</v>
      </c>
      <c r="P126" s="281"/>
      <c r="Q126" s="281"/>
      <c r="R126" s="281"/>
      <c r="S126" s="281"/>
      <c r="T126" s="281"/>
      <c r="U126" s="281"/>
      <c r="V126" s="281"/>
      <c r="W126" s="281"/>
      <c r="X126" s="281"/>
      <c r="Y126" s="281"/>
      <c r="Z126" s="281"/>
      <c r="AA126" s="281"/>
      <c r="AB126" s="281"/>
      <c r="AC126" s="281"/>
      <c r="AD126" s="281"/>
    </row>
    <row r="127">
      <c r="A127" s="408">
        <f t="shared" ref="A127:A128" si="22">A126+1</f>
        <v>2</v>
      </c>
      <c r="B127" s="419" t="s">
        <v>280</v>
      </c>
      <c r="C127" s="410" t="str">
        <f>VLOOKUP($B127,'Rate card'!$A$4:$G236,2,FALSE)</f>
        <v>Carpentry</v>
      </c>
      <c r="D127" s="412" t="str">
        <f>VLOOKUP($B127,'Rate card'!$A$4:$G236,3,FALSE)</f>
        <v>Mirror panelling</v>
      </c>
      <c r="E127" s="412" t="str">
        <f>VLOOKUP($B127,'Rate card'!$A$4:$G236,4,FALSE)</f>
        <v>Mirror finish</v>
      </c>
      <c r="F127" s="412" t="str">
        <f>VLOOKUP($B127,'Rate card'!$A$4:$G236,5,FALSE)</f>
        <v>MRply + ply framing + finish mirror</v>
      </c>
      <c r="G127" s="410" t="str">
        <f>VLOOKUP($B127,'Rate card'!$A$4:$G236,6,FALSE)</f>
        <v>Ls</v>
      </c>
      <c r="H127" s="420">
        <f>VLOOKUP($B127,'Rate card'!$A$4:$J236,8,FALSE)</f>
        <v>7000</v>
      </c>
      <c r="I127" s="438" t="s">
        <v>16</v>
      </c>
      <c r="J127" s="447">
        <f t="shared" si="21"/>
        <v>7000</v>
      </c>
      <c r="K127" s="62" t="s">
        <v>281</v>
      </c>
      <c r="L127" s="281"/>
      <c r="M127" s="281"/>
      <c r="N127" s="443">
        <f>VLOOKUP($B127,'Rate card'!$A$4:$J236,7,FALSE)</f>
        <v>5500</v>
      </c>
      <c r="O127" s="444">
        <f t="shared" si="20"/>
        <v>5500</v>
      </c>
      <c r="P127" s="281"/>
      <c r="Q127" s="281"/>
      <c r="R127" s="281"/>
      <c r="S127" s="281"/>
      <c r="T127" s="281"/>
      <c r="U127" s="281"/>
      <c r="V127" s="281"/>
      <c r="W127" s="281"/>
      <c r="X127" s="281"/>
      <c r="Y127" s="281"/>
      <c r="Z127" s="281"/>
      <c r="AA127" s="281"/>
      <c r="AB127" s="281"/>
      <c r="AC127" s="281"/>
      <c r="AD127" s="281"/>
    </row>
    <row r="128">
      <c r="A128" s="408">
        <f t="shared" si="22"/>
        <v>3</v>
      </c>
      <c r="B128" s="419" t="s">
        <v>282</v>
      </c>
      <c r="C128" s="410" t="str">
        <f>VLOOKUP($B128,'Rate card'!$A$4:$G236,2,FALSE)</f>
        <v>Carpentry</v>
      </c>
      <c r="D128" s="410" t="str">
        <f>VLOOKUP($B128,'Rate card'!$A$4:$G236,3,FALSE)</f>
        <v>Glass Partiton</v>
      </c>
      <c r="E128" s="410" t="str">
        <f>VLOOKUP($B128,'Rate card'!$A$4:$G236,4,FALSE)</f>
        <v>12mm toughned glass</v>
      </c>
      <c r="F128" s="410" t="str">
        <f>VLOOKUP($B128,'Rate card'!$A$4:$G236,5,FALSE)</f>
        <v>12mm toughned glass + Fitting labour + loading, unloading + All fitting hardware + Silicon etc</v>
      </c>
      <c r="G128" s="410" t="str">
        <f>VLOOKUP($B128,'Rate card'!$A$4:$G236,6,FALSE)</f>
        <v>Sqft</v>
      </c>
      <c r="H128" s="420">
        <f>VLOOKUP($B128,'Rate card'!$A$4:$J236,8,FALSE)</f>
        <v>750</v>
      </c>
      <c r="I128" s="438" t="s">
        <v>629</v>
      </c>
      <c r="J128" s="447">
        <f t="shared" si="21"/>
        <v>35250</v>
      </c>
      <c r="K128" s="62" t="s">
        <v>283</v>
      </c>
      <c r="L128" s="281"/>
      <c r="M128" s="281"/>
      <c r="N128" s="416">
        <f>VLOOKUP($B128,'Rate card'!$A$4:$J236,7,FALSE)</f>
        <v>450</v>
      </c>
      <c r="O128" s="281">
        <f t="shared" si="20"/>
        <v>21150</v>
      </c>
      <c r="P128" s="281"/>
      <c r="Q128" s="281"/>
      <c r="R128" s="281"/>
      <c r="S128" s="281"/>
      <c r="T128" s="281"/>
      <c r="U128" s="281"/>
      <c r="V128" s="281"/>
      <c r="W128" s="281"/>
      <c r="X128" s="281"/>
      <c r="Y128" s="281"/>
      <c r="Z128" s="281"/>
      <c r="AA128" s="281"/>
      <c r="AB128" s="281"/>
      <c r="AC128" s="281"/>
      <c r="AD128" s="281"/>
    </row>
    <row r="129">
      <c r="A129" s="432" t="s">
        <v>630</v>
      </c>
      <c r="B129" s="323"/>
      <c r="C129" s="323"/>
      <c r="D129" s="323"/>
      <c r="E129" s="323"/>
      <c r="F129" s="323"/>
      <c r="G129" s="323"/>
      <c r="H129" s="324"/>
      <c r="I129" s="322"/>
      <c r="J129" s="324"/>
      <c r="K129" s="294"/>
      <c r="L129" s="281"/>
      <c r="M129" s="281"/>
      <c r="N129" s="416">
        <f>VLOOKUP($B129,'Rate card'!$A$4:$J236,7,FALSE)</f>
        <v>0</v>
      </c>
      <c r="O129" s="281">
        <f t="shared" si="20"/>
        <v>0</v>
      </c>
      <c r="P129" s="281"/>
      <c r="Q129" s="281"/>
      <c r="R129" s="281"/>
      <c r="S129" s="281"/>
      <c r="T129" s="281"/>
      <c r="U129" s="281"/>
      <c r="V129" s="281"/>
      <c r="W129" s="281"/>
      <c r="X129" s="281"/>
      <c r="Y129" s="281"/>
      <c r="Z129" s="281"/>
      <c r="AA129" s="281"/>
      <c r="AB129" s="281"/>
      <c r="AC129" s="281"/>
      <c r="AD129" s="281"/>
    </row>
    <row r="130">
      <c r="A130" s="408" t="s">
        <v>16</v>
      </c>
      <c r="B130" s="419" t="s">
        <v>170</v>
      </c>
      <c r="C130" s="420" t="str">
        <f>VLOOKUP($B130,'Rate card'!$A$4:$G236,2,FALSE)</f>
        <v>Carpentry</v>
      </c>
      <c r="D130" s="420" t="str">
        <f>VLOOKUP($B130,'Rate card'!$A$4:$G236,3,FALSE)</f>
        <v>Carcass Storage</v>
      </c>
      <c r="E130" s="420" t="str">
        <f>VLOOKUP($B130,'Rate card'!$A$4:$G236,4,FALSE)</f>
        <v>Laminate Finish</v>
      </c>
      <c r="F130" s="420" t="str">
        <f>VLOOKUP($B130,'Rate card'!$A$4:$G236,5,FALSE)</f>
        <v>MR ply + Inside laminate + finish laminate</v>
      </c>
      <c r="G130" s="420" t="str">
        <f>VLOOKUP($B130,'Rate card'!$A$4:$G236,6,FALSE)</f>
        <v>Sqft</v>
      </c>
      <c r="H130" s="420">
        <f>VLOOKUP($B130,'Rate card'!$A$4:$J236,8,FALSE)</f>
        <v>1800</v>
      </c>
      <c r="I130" s="446" t="s">
        <v>32</v>
      </c>
      <c r="J130" s="415">
        <f t="shared" ref="J130:J132" si="23">H130*I130</f>
        <v>10800</v>
      </c>
      <c r="K130" s="62" t="s">
        <v>279</v>
      </c>
      <c r="L130" s="281"/>
      <c r="M130" s="281"/>
      <c r="N130" s="416">
        <f>VLOOKUP($B130,'Rate card'!$A$4:$J236,7,FALSE)</f>
        <v>1350</v>
      </c>
      <c r="O130" s="281">
        <f t="shared" si="20"/>
        <v>8100</v>
      </c>
      <c r="P130" s="281"/>
      <c r="Q130" s="281"/>
      <c r="R130" s="281"/>
      <c r="S130" s="281"/>
      <c r="T130" s="281"/>
      <c r="U130" s="281"/>
      <c r="V130" s="281"/>
      <c r="W130" s="281"/>
      <c r="X130" s="281"/>
      <c r="Y130" s="281"/>
      <c r="Z130" s="281"/>
      <c r="AA130" s="281"/>
      <c r="AB130" s="281"/>
      <c r="AC130" s="281"/>
      <c r="AD130" s="281"/>
    </row>
    <row r="131">
      <c r="A131" s="408">
        <f t="shared" ref="A131:A132" si="24">A130+1</f>
        <v>2</v>
      </c>
      <c r="B131" s="419" t="s">
        <v>280</v>
      </c>
      <c r="C131" s="410" t="str">
        <f>VLOOKUP($B131,'Rate card'!$A$4:$G236,2,FALSE)</f>
        <v>Carpentry</v>
      </c>
      <c r="D131" s="412" t="str">
        <f>VLOOKUP($B131,'Rate card'!$A$4:$G236,3,FALSE)</f>
        <v>Mirror panelling</v>
      </c>
      <c r="E131" s="412" t="str">
        <f>VLOOKUP($B131,'Rate card'!$A$4:$G236,4,FALSE)</f>
        <v>Mirror finish</v>
      </c>
      <c r="F131" s="412" t="str">
        <f>VLOOKUP($B131,'Rate card'!$A$4:$G236,5,FALSE)</f>
        <v>MRply + ply framing + finish mirror</v>
      </c>
      <c r="G131" s="410" t="str">
        <f>VLOOKUP($B131,'Rate card'!$A$4:$G236,6,FALSE)</f>
        <v>Ls</v>
      </c>
      <c r="H131" s="420">
        <f>VLOOKUP($B131,'Rate card'!$A$4:$J236,8,FALSE)</f>
        <v>7000</v>
      </c>
      <c r="I131" s="438" t="s">
        <v>16</v>
      </c>
      <c r="J131" s="447">
        <f t="shared" si="23"/>
        <v>7000</v>
      </c>
      <c r="K131" s="62" t="s">
        <v>281</v>
      </c>
      <c r="L131" s="281"/>
      <c r="M131" s="281"/>
      <c r="N131" s="443">
        <f>VLOOKUP($B131,'Rate card'!$A$4:$J236,7,FALSE)</f>
        <v>5500</v>
      </c>
      <c r="O131" s="444">
        <f t="shared" si="20"/>
        <v>5500</v>
      </c>
      <c r="P131" s="281"/>
      <c r="Q131" s="281"/>
      <c r="R131" s="281"/>
      <c r="S131" s="281"/>
      <c r="T131" s="281"/>
      <c r="U131" s="281"/>
      <c r="V131" s="281"/>
      <c r="W131" s="281"/>
      <c r="X131" s="281"/>
      <c r="Y131" s="281"/>
      <c r="Z131" s="281"/>
      <c r="AA131" s="281"/>
      <c r="AB131" s="281"/>
      <c r="AC131" s="281"/>
      <c r="AD131" s="281"/>
    </row>
    <row r="132">
      <c r="A132" s="408">
        <f t="shared" si="24"/>
        <v>3</v>
      </c>
      <c r="B132" s="419" t="s">
        <v>282</v>
      </c>
      <c r="C132" s="410" t="str">
        <f>VLOOKUP($B132,'Rate card'!$A$4:$G236,2,FALSE)</f>
        <v>Carpentry</v>
      </c>
      <c r="D132" s="410" t="str">
        <f>VLOOKUP($B132,'Rate card'!$A$4:$G236,3,FALSE)</f>
        <v>Glass Partiton</v>
      </c>
      <c r="E132" s="410" t="str">
        <f>VLOOKUP($B132,'Rate card'!$A$4:$G236,4,FALSE)</f>
        <v>12mm toughned glass</v>
      </c>
      <c r="F132" s="410" t="str">
        <f>VLOOKUP($B132,'Rate card'!$A$4:$G236,5,FALSE)</f>
        <v>12mm toughned glass + Fitting labour + loading, unloading + All fitting hardware + Silicon etc</v>
      </c>
      <c r="G132" s="410" t="str">
        <f>VLOOKUP($B132,'Rate card'!$A$4:$G236,6,FALSE)</f>
        <v>Sqft</v>
      </c>
      <c r="H132" s="420">
        <f>VLOOKUP($B132,'Rate card'!$A$4:$J236,8,FALSE)</f>
        <v>750</v>
      </c>
      <c r="I132" s="438" t="s">
        <v>629</v>
      </c>
      <c r="J132" s="447">
        <f t="shared" si="23"/>
        <v>35250</v>
      </c>
      <c r="K132" s="62" t="s">
        <v>283</v>
      </c>
      <c r="L132" s="281"/>
      <c r="M132" s="281"/>
      <c r="N132" s="416">
        <f>VLOOKUP($B132,'Rate card'!$A$4:$J236,7,FALSE)</f>
        <v>450</v>
      </c>
      <c r="O132" s="281">
        <f t="shared" si="20"/>
        <v>21150</v>
      </c>
      <c r="P132" s="281"/>
      <c r="Q132" s="281"/>
      <c r="R132" s="281"/>
      <c r="S132" s="281"/>
      <c r="T132" s="281"/>
      <c r="U132" s="281"/>
      <c r="V132" s="281"/>
      <c r="W132" s="281"/>
      <c r="X132" s="281"/>
      <c r="Y132" s="281"/>
      <c r="Z132" s="281"/>
      <c r="AA132" s="281"/>
      <c r="AB132" s="281"/>
      <c r="AC132" s="281"/>
      <c r="AD132" s="281"/>
    </row>
    <row r="133">
      <c r="A133" s="432" t="s">
        <v>631</v>
      </c>
      <c r="B133" s="323"/>
      <c r="C133" s="323"/>
      <c r="D133" s="323"/>
      <c r="E133" s="323"/>
      <c r="F133" s="323"/>
      <c r="G133" s="323"/>
      <c r="H133" s="324"/>
      <c r="I133" s="322"/>
      <c r="J133" s="324"/>
      <c r="K133" s="294"/>
      <c r="L133" s="281"/>
      <c r="M133" s="281"/>
      <c r="N133" s="416">
        <f>VLOOKUP($B133,'Rate card'!$A$4:$J236,7,FALSE)</f>
        <v>0</v>
      </c>
      <c r="O133" s="281">
        <f t="shared" si="20"/>
        <v>0</v>
      </c>
      <c r="P133" s="281"/>
      <c r="Q133" s="281"/>
      <c r="R133" s="281"/>
      <c r="S133" s="281"/>
      <c r="T133" s="281"/>
      <c r="U133" s="281"/>
      <c r="V133" s="281"/>
      <c r="W133" s="281"/>
      <c r="X133" s="281"/>
      <c r="Y133" s="281"/>
      <c r="Z133" s="281"/>
      <c r="AA133" s="281"/>
      <c r="AB133" s="281"/>
      <c r="AC133" s="281"/>
      <c r="AD133" s="281"/>
    </row>
    <row r="134">
      <c r="A134" s="408" t="s">
        <v>16</v>
      </c>
      <c r="B134" s="419" t="s">
        <v>170</v>
      </c>
      <c r="C134" s="420" t="str">
        <f>VLOOKUP($B134,'Rate card'!$A$4:$G236,2,FALSE)</f>
        <v>Carpentry</v>
      </c>
      <c r="D134" s="420" t="str">
        <f>VLOOKUP($B134,'Rate card'!$A$4:$G236,3,FALSE)</f>
        <v>Carcass Storage</v>
      </c>
      <c r="E134" s="420" t="str">
        <f>VLOOKUP($B134,'Rate card'!$A$4:$G236,4,FALSE)</f>
        <v>Laminate Finish</v>
      </c>
      <c r="F134" s="420" t="str">
        <f>VLOOKUP($B134,'Rate card'!$A$4:$G236,5,FALSE)</f>
        <v>MR ply + Inside laminate + finish laminate</v>
      </c>
      <c r="G134" s="420" t="str">
        <f>VLOOKUP($B134,'Rate card'!$A$4:$G236,6,FALSE)</f>
        <v>Sqft</v>
      </c>
      <c r="H134" s="420">
        <f>VLOOKUP($B134,'Rate card'!$A$4:$J236,8,FALSE)</f>
        <v>1800</v>
      </c>
      <c r="I134" s="446" t="s">
        <v>32</v>
      </c>
      <c r="J134" s="415">
        <f t="shared" ref="J134:J136" si="25">H134*I134</f>
        <v>10800</v>
      </c>
      <c r="K134" s="62" t="s">
        <v>279</v>
      </c>
      <c r="L134" s="281"/>
      <c r="M134" s="281"/>
      <c r="N134" s="416">
        <f>VLOOKUP($B134,'Rate card'!$A$4:$J236,7,FALSE)</f>
        <v>1350</v>
      </c>
      <c r="O134" s="281">
        <f t="shared" si="20"/>
        <v>8100</v>
      </c>
      <c r="P134" s="281"/>
      <c r="Q134" s="281"/>
      <c r="R134" s="281"/>
      <c r="S134" s="281"/>
      <c r="T134" s="281"/>
      <c r="U134" s="281"/>
      <c r="V134" s="281"/>
      <c r="W134" s="281"/>
      <c r="X134" s="281"/>
      <c r="Y134" s="281"/>
      <c r="Z134" s="281"/>
      <c r="AA134" s="281"/>
      <c r="AB134" s="281"/>
      <c r="AC134" s="281"/>
      <c r="AD134" s="281"/>
    </row>
    <row r="135">
      <c r="A135" s="408">
        <f t="shared" ref="A135:A136" si="26">A134+1</f>
        <v>2</v>
      </c>
      <c r="B135" s="419" t="s">
        <v>280</v>
      </c>
      <c r="C135" s="410" t="str">
        <f>VLOOKUP($B135,'Rate card'!$A$4:$G236,2,FALSE)</f>
        <v>Carpentry</v>
      </c>
      <c r="D135" s="412" t="str">
        <f>VLOOKUP($B135,'Rate card'!$A$4:$G236,3,FALSE)</f>
        <v>Mirror panelling</v>
      </c>
      <c r="E135" s="412" t="str">
        <f>VLOOKUP($B135,'Rate card'!$A$4:$G236,4,FALSE)</f>
        <v>Mirror finish</v>
      </c>
      <c r="F135" s="412" t="str">
        <f>VLOOKUP($B135,'Rate card'!$A$4:$G236,5,FALSE)</f>
        <v>MRply + ply framing + finish mirror</v>
      </c>
      <c r="G135" s="410" t="str">
        <f>VLOOKUP($B135,'Rate card'!$A$4:$G236,6,FALSE)</f>
        <v>Ls</v>
      </c>
      <c r="H135" s="420">
        <f>VLOOKUP($B135,'Rate card'!$A$4:$J236,8,FALSE)</f>
        <v>7000</v>
      </c>
      <c r="I135" s="438" t="s">
        <v>16</v>
      </c>
      <c r="J135" s="447">
        <f t="shared" si="25"/>
        <v>7000</v>
      </c>
      <c r="K135" s="62" t="s">
        <v>281</v>
      </c>
      <c r="L135" s="281"/>
      <c r="M135" s="281"/>
      <c r="N135" s="443">
        <f>VLOOKUP($B135,'Rate card'!$A$4:$J236,7,FALSE)</f>
        <v>5500</v>
      </c>
      <c r="O135" s="444">
        <f t="shared" si="20"/>
        <v>5500</v>
      </c>
      <c r="P135" s="281"/>
      <c r="Q135" s="281"/>
      <c r="R135" s="281"/>
      <c r="S135" s="281"/>
      <c r="T135" s="281"/>
      <c r="U135" s="281"/>
      <c r="V135" s="281"/>
      <c r="W135" s="281"/>
      <c r="X135" s="281"/>
      <c r="Y135" s="281"/>
      <c r="Z135" s="281"/>
      <c r="AA135" s="281"/>
      <c r="AB135" s="281"/>
      <c r="AC135" s="281"/>
      <c r="AD135" s="281"/>
    </row>
    <row r="136">
      <c r="A136" s="408">
        <f t="shared" si="26"/>
        <v>3</v>
      </c>
      <c r="B136" s="419" t="s">
        <v>282</v>
      </c>
      <c r="C136" s="410" t="str">
        <f>VLOOKUP($B136,'Rate card'!$A$4:$G236,2,FALSE)</f>
        <v>Carpentry</v>
      </c>
      <c r="D136" s="410" t="str">
        <f>VLOOKUP($B136,'Rate card'!$A$4:$G236,3,FALSE)</f>
        <v>Glass Partiton</v>
      </c>
      <c r="E136" s="410" t="str">
        <f>VLOOKUP($B136,'Rate card'!$A$4:$G236,4,FALSE)</f>
        <v>12mm toughned glass</v>
      </c>
      <c r="F136" s="410" t="str">
        <f>VLOOKUP($B136,'Rate card'!$A$4:$G236,5,FALSE)</f>
        <v>12mm toughned glass + Fitting labour + loading, unloading + All fitting hardware + Silicon etc</v>
      </c>
      <c r="G136" s="410" t="str">
        <f>VLOOKUP($B136,'Rate card'!$A$4:$G236,6,FALSE)</f>
        <v>Sqft</v>
      </c>
      <c r="H136" s="420">
        <f>VLOOKUP($B136,'Rate card'!$A$4:$J236,8,FALSE)</f>
        <v>750</v>
      </c>
      <c r="I136" s="438" t="s">
        <v>629</v>
      </c>
      <c r="J136" s="447">
        <f t="shared" si="25"/>
        <v>35250</v>
      </c>
      <c r="K136" s="62" t="s">
        <v>283</v>
      </c>
      <c r="L136" s="281"/>
      <c r="M136" s="281"/>
      <c r="N136" s="416">
        <f>VLOOKUP($B136,'Rate card'!$A$4:$J236,7,FALSE)</f>
        <v>450</v>
      </c>
      <c r="O136" s="281">
        <f t="shared" si="20"/>
        <v>21150</v>
      </c>
      <c r="P136" s="281"/>
      <c r="Q136" s="281"/>
      <c r="R136" s="281"/>
      <c r="S136" s="281"/>
      <c r="T136" s="281"/>
      <c r="U136" s="281"/>
      <c r="V136" s="281"/>
      <c r="W136" s="281"/>
      <c r="X136" s="281"/>
      <c r="Y136" s="281"/>
      <c r="Z136" s="281"/>
      <c r="AA136" s="281"/>
      <c r="AB136" s="281"/>
      <c r="AC136" s="281"/>
      <c r="AD136" s="281"/>
    </row>
    <row r="137">
      <c r="A137" s="432" t="s">
        <v>632</v>
      </c>
      <c r="B137" s="323"/>
      <c r="C137" s="323"/>
      <c r="D137" s="323"/>
      <c r="E137" s="323"/>
      <c r="F137" s="323"/>
      <c r="G137" s="323"/>
      <c r="H137" s="324"/>
      <c r="I137" s="322"/>
      <c r="J137" s="324"/>
      <c r="K137" s="294"/>
      <c r="L137" s="281"/>
      <c r="M137" s="281"/>
      <c r="N137" s="416">
        <f>VLOOKUP($B137,'Rate card'!$A$4:$J236,7,FALSE)</f>
        <v>0</v>
      </c>
      <c r="O137" s="281">
        <f t="shared" si="20"/>
        <v>0</v>
      </c>
      <c r="P137" s="281"/>
      <c r="Q137" s="281"/>
      <c r="R137" s="281"/>
      <c r="S137" s="281"/>
      <c r="T137" s="281"/>
      <c r="U137" s="281"/>
      <c r="V137" s="281"/>
      <c r="W137" s="281"/>
      <c r="X137" s="281"/>
      <c r="Y137" s="281"/>
      <c r="Z137" s="281"/>
      <c r="AA137" s="281"/>
      <c r="AB137" s="281"/>
      <c r="AC137" s="281"/>
      <c r="AD137" s="281"/>
    </row>
    <row r="138">
      <c r="A138" s="408" t="s">
        <v>16</v>
      </c>
      <c r="B138" s="419" t="s">
        <v>170</v>
      </c>
      <c r="C138" s="420" t="str">
        <f>VLOOKUP($B138,'Rate card'!$A$4:$G236,2,FALSE)</f>
        <v>Carpentry</v>
      </c>
      <c r="D138" s="420" t="str">
        <f>VLOOKUP($B138,'Rate card'!$A$4:$G236,3,FALSE)</f>
        <v>Carcass Storage</v>
      </c>
      <c r="E138" s="420" t="str">
        <f>VLOOKUP($B138,'Rate card'!$A$4:$G236,4,FALSE)</f>
        <v>Laminate Finish</v>
      </c>
      <c r="F138" s="420" t="str">
        <f>VLOOKUP($B138,'Rate card'!$A$4:$G236,5,FALSE)</f>
        <v>MR ply + Inside laminate + finish laminate</v>
      </c>
      <c r="G138" s="420" t="str">
        <f>VLOOKUP($B138,'Rate card'!$A$4:$G236,6,FALSE)</f>
        <v>Sqft</v>
      </c>
      <c r="H138" s="420">
        <f>VLOOKUP($B138,'Rate card'!$A$4:$J236,8,FALSE)</f>
        <v>1800</v>
      </c>
      <c r="I138" s="446" t="s">
        <v>32</v>
      </c>
      <c r="J138" s="415">
        <f t="shared" ref="J138:J139" si="27">H138*I138</f>
        <v>10800</v>
      </c>
      <c r="K138" s="62" t="s">
        <v>279</v>
      </c>
      <c r="L138" s="281"/>
      <c r="M138" s="281"/>
      <c r="N138" s="416">
        <f>VLOOKUP($B138,'Rate card'!$A$4:$J236,7,FALSE)</f>
        <v>1350</v>
      </c>
      <c r="O138" s="281">
        <f t="shared" si="20"/>
        <v>8100</v>
      </c>
      <c r="P138" s="281"/>
      <c r="Q138" s="281"/>
      <c r="R138" s="281"/>
      <c r="S138" s="281"/>
      <c r="T138" s="281"/>
      <c r="U138" s="281"/>
      <c r="V138" s="281"/>
      <c r="W138" s="281"/>
      <c r="X138" s="281"/>
      <c r="Y138" s="281"/>
      <c r="Z138" s="281"/>
      <c r="AA138" s="281"/>
      <c r="AB138" s="281"/>
      <c r="AC138" s="281"/>
      <c r="AD138" s="281"/>
    </row>
    <row r="139">
      <c r="A139" s="408">
        <f>A138+1</f>
        <v>2</v>
      </c>
      <c r="B139" s="419" t="s">
        <v>280</v>
      </c>
      <c r="C139" s="410" t="str">
        <f>VLOOKUP($B139,'Rate card'!$A$4:$G236,2,FALSE)</f>
        <v>Carpentry</v>
      </c>
      <c r="D139" s="412" t="str">
        <f>VLOOKUP($B139,'Rate card'!$A$4:$G236,3,FALSE)</f>
        <v>Mirror panelling</v>
      </c>
      <c r="E139" s="412" t="str">
        <f>VLOOKUP($B139,'Rate card'!$A$4:$G236,4,FALSE)</f>
        <v>Mirror finish</v>
      </c>
      <c r="F139" s="412" t="str">
        <f>VLOOKUP($B139,'Rate card'!$A$4:$G236,5,FALSE)</f>
        <v>MRply + ply framing + finish mirror</v>
      </c>
      <c r="G139" s="410" t="str">
        <f>VLOOKUP($B139,'Rate card'!$A$4:$G236,6,FALSE)</f>
        <v>Ls</v>
      </c>
      <c r="H139" s="420">
        <f>VLOOKUP($B139,'Rate card'!$A$4:$J236,8,FALSE)</f>
        <v>7000</v>
      </c>
      <c r="I139" s="438" t="s">
        <v>16</v>
      </c>
      <c r="J139" s="447">
        <f t="shared" si="27"/>
        <v>7000</v>
      </c>
      <c r="K139" s="62" t="s">
        <v>281</v>
      </c>
      <c r="L139" s="281"/>
      <c r="M139" s="281"/>
      <c r="N139" s="443">
        <f>VLOOKUP($B139,'Rate card'!$A$4:$J236,7,FALSE)</f>
        <v>5500</v>
      </c>
      <c r="O139" s="444">
        <f t="shared" si="20"/>
        <v>5500</v>
      </c>
      <c r="P139" s="281"/>
      <c r="Q139" s="281"/>
      <c r="R139" s="281"/>
      <c r="S139" s="281"/>
      <c r="T139" s="281"/>
      <c r="U139" s="281"/>
      <c r="V139" s="281"/>
      <c r="W139" s="281"/>
      <c r="X139" s="281"/>
      <c r="Y139" s="281"/>
      <c r="Z139" s="281"/>
      <c r="AA139" s="281"/>
      <c r="AB139" s="281"/>
      <c r="AC139" s="281"/>
      <c r="AD139" s="281"/>
    </row>
    <row r="140">
      <c r="A140" s="432" t="s">
        <v>633</v>
      </c>
      <c r="B140" s="323"/>
      <c r="C140" s="323"/>
      <c r="D140" s="323"/>
      <c r="E140" s="323"/>
      <c r="F140" s="323"/>
      <c r="G140" s="323"/>
      <c r="H140" s="324"/>
      <c r="I140" s="322"/>
      <c r="J140" s="324"/>
      <c r="K140" s="294"/>
      <c r="L140" s="281"/>
      <c r="M140" s="281"/>
      <c r="N140" s="416">
        <f>VLOOKUP($B140,'Rate card'!$A$4:$J236,7,FALSE)</f>
        <v>0</v>
      </c>
      <c r="O140" s="281">
        <f t="shared" si="20"/>
        <v>0</v>
      </c>
      <c r="P140" s="281"/>
      <c r="Q140" s="281"/>
      <c r="R140" s="281"/>
      <c r="S140" s="281"/>
      <c r="T140" s="281"/>
      <c r="U140" s="281"/>
      <c r="V140" s="281"/>
      <c r="W140" s="281"/>
      <c r="X140" s="281"/>
      <c r="Y140" s="281"/>
      <c r="Z140" s="281"/>
      <c r="AA140" s="281"/>
      <c r="AB140" s="281"/>
      <c r="AC140" s="281"/>
      <c r="AD140" s="281"/>
    </row>
    <row r="141">
      <c r="A141" s="408" t="s">
        <v>16</v>
      </c>
      <c r="B141" s="419" t="s">
        <v>170</v>
      </c>
      <c r="C141" s="420" t="str">
        <f>VLOOKUP($B141,'Rate card'!$A$4:$G236,2,FALSE)</f>
        <v>Carpentry</v>
      </c>
      <c r="D141" s="420" t="str">
        <f>VLOOKUP($B141,'Rate card'!$A$4:$G236,3,FALSE)</f>
        <v>Carcass Storage</v>
      </c>
      <c r="E141" s="420" t="str">
        <f>VLOOKUP($B141,'Rate card'!$A$4:$G236,4,FALSE)</f>
        <v>Laminate Finish</v>
      </c>
      <c r="F141" s="420" t="str">
        <f>VLOOKUP($B141,'Rate card'!$A$4:$G236,5,FALSE)</f>
        <v>MR ply + Inside laminate + finish laminate</v>
      </c>
      <c r="G141" s="420" t="str">
        <f>VLOOKUP($B141,'Rate card'!$A$4:$G236,6,FALSE)</f>
        <v>Sqft</v>
      </c>
      <c r="H141" s="420">
        <f>VLOOKUP($B141,'Rate card'!$A$4:$J236,8,FALSE)</f>
        <v>1800</v>
      </c>
      <c r="I141" s="446" t="s">
        <v>32</v>
      </c>
      <c r="J141" s="415">
        <f t="shared" ref="J141:J142" si="28">H141*I141</f>
        <v>10800</v>
      </c>
      <c r="K141" s="62" t="s">
        <v>279</v>
      </c>
      <c r="L141" s="281"/>
      <c r="M141" s="281"/>
      <c r="N141" s="416">
        <f>VLOOKUP($B141,'Rate card'!$A$4:$J236,7,FALSE)</f>
        <v>1350</v>
      </c>
      <c r="O141" s="281">
        <f t="shared" si="20"/>
        <v>8100</v>
      </c>
      <c r="P141" s="281"/>
      <c r="Q141" s="281"/>
      <c r="R141" s="281"/>
      <c r="S141" s="281"/>
      <c r="T141" s="281"/>
      <c r="U141" s="281"/>
      <c r="V141" s="281"/>
      <c r="W141" s="281"/>
      <c r="X141" s="281"/>
      <c r="Y141" s="281"/>
      <c r="Z141" s="281"/>
      <c r="AA141" s="281"/>
      <c r="AB141" s="281"/>
      <c r="AC141" s="281"/>
      <c r="AD141" s="281"/>
    </row>
    <row r="142">
      <c r="A142" s="408">
        <f>A141+1</f>
        <v>2</v>
      </c>
      <c r="B142" s="419" t="s">
        <v>280</v>
      </c>
      <c r="C142" s="410" t="str">
        <f>VLOOKUP($B142,'Rate card'!$A$4:$G236,2,FALSE)</f>
        <v>Carpentry</v>
      </c>
      <c r="D142" s="412" t="str">
        <f>VLOOKUP($B142,'Rate card'!$A$4:$G236,3,FALSE)</f>
        <v>Mirror panelling</v>
      </c>
      <c r="E142" s="412" t="str">
        <f>VLOOKUP($B142,'Rate card'!$A$4:$G236,4,FALSE)</f>
        <v>Mirror finish</v>
      </c>
      <c r="F142" s="412" t="str">
        <f>VLOOKUP($B142,'Rate card'!$A$4:$G236,5,FALSE)</f>
        <v>MRply + ply framing + finish mirror</v>
      </c>
      <c r="G142" s="410" t="str">
        <f>VLOOKUP($B142,'Rate card'!$A$4:$G236,6,FALSE)</f>
        <v>Ls</v>
      </c>
      <c r="H142" s="420">
        <f>VLOOKUP($B142,'Rate card'!$A$4:$J236,8,FALSE)</f>
        <v>7000</v>
      </c>
      <c r="I142" s="438" t="s">
        <v>16</v>
      </c>
      <c r="J142" s="447">
        <f t="shared" si="28"/>
        <v>7000</v>
      </c>
      <c r="K142" s="62" t="s">
        <v>281</v>
      </c>
      <c r="L142" s="281"/>
      <c r="M142" s="281"/>
      <c r="N142" s="443">
        <f>VLOOKUP($B142,'Rate card'!$A$4:$J236,7,FALSE)</f>
        <v>5500</v>
      </c>
      <c r="O142" s="444">
        <f t="shared" si="20"/>
        <v>5500</v>
      </c>
      <c r="P142" s="281"/>
      <c r="Q142" s="281"/>
      <c r="R142" s="281"/>
      <c r="S142" s="281"/>
      <c r="T142" s="281"/>
      <c r="U142" s="281"/>
      <c r="V142" s="281"/>
      <c r="W142" s="281"/>
      <c r="X142" s="281"/>
      <c r="Y142" s="281"/>
      <c r="Z142" s="281"/>
      <c r="AA142" s="281"/>
      <c r="AB142" s="281"/>
      <c r="AC142" s="281"/>
      <c r="AD142" s="281"/>
    </row>
    <row r="143">
      <c r="A143" s="432" t="s">
        <v>634</v>
      </c>
      <c r="B143" s="323"/>
      <c r="C143" s="323"/>
      <c r="D143" s="323"/>
      <c r="E143" s="323"/>
      <c r="F143" s="323"/>
      <c r="G143" s="323"/>
      <c r="H143" s="324"/>
      <c r="I143" s="322"/>
      <c r="J143" s="324"/>
      <c r="K143" s="294"/>
      <c r="L143" s="281"/>
      <c r="M143" s="281"/>
      <c r="N143" s="416">
        <f>VLOOKUP($B143,'Rate card'!$A$4:$J236,7,FALSE)</f>
        <v>0</v>
      </c>
      <c r="O143" s="281">
        <f t="shared" si="20"/>
        <v>0</v>
      </c>
      <c r="P143" s="281"/>
      <c r="Q143" s="281"/>
      <c r="R143" s="281"/>
      <c r="S143" s="281"/>
      <c r="T143" s="281"/>
      <c r="U143" s="281"/>
      <c r="V143" s="281"/>
      <c r="W143" s="281"/>
      <c r="X143" s="281"/>
      <c r="Y143" s="281"/>
      <c r="Z143" s="281"/>
      <c r="AA143" s="281"/>
      <c r="AB143" s="281"/>
      <c r="AC143" s="281"/>
      <c r="AD143" s="281"/>
    </row>
    <row r="144">
      <c r="A144" s="408" t="s">
        <v>16</v>
      </c>
      <c r="B144" s="419" t="s">
        <v>170</v>
      </c>
      <c r="C144" s="420" t="str">
        <f>VLOOKUP($B144,'Rate card'!$A$4:$G236,2,FALSE)</f>
        <v>Carpentry</v>
      </c>
      <c r="D144" s="413" t="s">
        <v>635</v>
      </c>
      <c r="E144" s="420" t="str">
        <f>VLOOKUP($B144,'Rate card'!$A$4:$G236,4,FALSE)</f>
        <v>Laminate Finish</v>
      </c>
      <c r="F144" s="413" t="s">
        <v>636</v>
      </c>
      <c r="G144" s="413" t="s">
        <v>289</v>
      </c>
      <c r="H144" s="413">
        <v>600.0</v>
      </c>
      <c r="I144" s="446" t="s">
        <v>637</v>
      </c>
      <c r="J144" s="415">
        <f t="shared" ref="J144:J145" si="29">H144*I144</f>
        <v>108000</v>
      </c>
      <c r="K144" s="62" t="s">
        <v>638</v>
      </c>
      <c r="L144" s="281"/>
      <c r="M144" s="281"/>
      <c r="N144" s="416">
        <f>VLOOKUP($B144,'Rate card'!$A$4:$J236,7,FALSE)</f>
        <v>1350</v>
      </c>
      <c r="O144" s="281">
        <f t="shared" si="20"/>
        <v>243000</v>
      </c>
      <c r="P144" s="281"/>
      <c r="Q144" s="281"/>
      <c r="R144" s="281"/>
      <c r="S144" s="281"/>
      <c r="T144" s="281"/>
      <c r="U144" s="281"/>
      <c r="V144" s="281"/>
      <c r="W144" s="281"/>
      <c r="X144" s="281"/>
      <c r="Y144" s="281"/>
      <c r="Z144" s="281"/>
      <c r="AA144" s="281"/>
      <c r="AB144" s="281"/>
      <c r="AC144" s="281"/>
      <c r="AD144" s="281"/>
    </row>
    <row r="145">
      <c r="A145" s="408" t="s">
        <v>18</v>
      </c>
      <c r="B145" s="419" t="s">
        <v>170</v>
      </c>
      <c r="C145" s="420" t="str">
        <f>VLOOKUP($B145,'Rate card'!$A$4:$G236,2,FALSE)</f>
        <v>Carpentry</v>
      </c>
      <c r="D145" s="413" t="s">
        <v>639</v>
      </c>
      <c r="E145" s="420" t="str">
        <f>VLOOKUP($B145,'Rate card'!$A$4:$G236,4,FALSE)</f>
        <v>Laminate Finish</v>
      </c>
      <c r="F145" s="413" t="s">
        <v>636</v>
      </c>
      <c r="G145" s="413" t="s">
        <v>289</v>
      </c>
      <c r="H145" s="413">
        <v>25000.0</v>
      </c>
      <c r="I145" s="446" t="s">
        <v>100</v>
      </c>
      <c r="J145" s="415">
        <f t="shared" si="29"/>
        <v>300000</v>
      </c>
      <c r="K145" s="62" t="s">
        <v>638</v>
      </c>
      <c r="L145" s="281"/>
      <c r="M145" s="281"/>
      <c r="N145" s="416">
        <f>VLOOKUP($B145,'Rate card'!$A$4:$J236,7,FALSE)</f>
        <v>1350</v>
      </c>
      <c r="O145" s="281">
        <f t="shared" si="20"/>
        <v>16200</v>
      </c>
      <c r="P145" s="281"/>
      <c r="Q145" s="281"/>
      <c r="R145" s="281"/>
      <c r="S145" s="281"/>
      <c r="T145" s="281"/>
      <c r="U145" s="281"/>
      <c r="V145" s="281"/>
      <c r="W145" s="281"/>
      <c r="X145" s="281"/>
      <c r="Y145" s="281"/>
      <c r="Z145" s="281"/>
      <c r="AA145" s="281"/>
      <c r="AB145" s="281"/>
      <c r="AC145" s="281"/>
      <c r="AD145" s="281"/>
    </row>
    <row r="146">
      <c r="A146" s="448"/>
      <c r="B146" s="449"/>
      <c r="C146" s="449"/>
      <c r="D146" s="449"/>
      <c r="E146" s="449"/>
      <c r="F146" s="449"/>
      <c r="G146" s="449"/>
      <c r="H146" s="450"/>
      <c r="I146" s="369" t="s">
        <v>125</v>
      </c>
      <c r="J146" s="384">
        <f>SUM(J57:J145)</f>
        <v>3569150</v>
      </c>
      <c r="K146" s="451"/>
      <c r="L146" s="325"/>
      <c r="M146" s="325"/>
      <c r="N146" s="452"/>
      <c r="O146" s="325"/>
      <c r="P146" s="325"/>
      <c r="Q146" s="325"/>
      <c r="R146" s="325"/>
      <c r="S146" s="325"/>
      <c r="T146" s="325"/>
      <c r="U146" s="325"/>
      <c r="V146" s="325"/>
      <c r="W146" s="325"/>
      <c r="X146" s="325"/>
      <c r="Y146" s="325"/>
      <c r="Z146" s="325"/>
      <c r="AA146" s="325"/>
      <c r="AB146" s="325"/>
      <c r="AC146" s="325"/>
      <c r="AD146" s="325"/>
    </row>
    <row r="147">
      <c r="A147" s="424" t="s">
        <v>33</v>
      </c>
      <c r="B147" s="323"/>
      <c r="C147" s="323"/>
      <c r="D147" s="323"/>
      <c r="E147" s="323"/>
      <c r="F147" s="323"/>
      <c r="G147" s="323"/>
      <c r="H147" s="324"/>
      <c r="I147" s="322"/>
      <c r="J147" s="324"/>
      <c r="K147" s="294"/>
      <c r="L147" s="281"/>
      <c r="M147" s="281"/>
      <c r="N147" s="372"/>
      <c r="O147" s="373"/>
      <c r="P147" s="281"/>
      <c r="Q147" s="281"/>
      <c r="R147" s="281"/>
      <c r="S147" s="281"/>
      <c r="T147" s="281"/>
      <c r="U147" s="281"/>
      <c r="V147" s="281"/>
      <c r="W147" s="281"/>
      <c r="X147" s="281"/>
      <c r="Y147" s="281"/>
      <c r="Z147" s="281"/>
      <c r="AA147" s="281"/>
      <c r="AB147" s="281"/>
      <c r="AC147" s="281"/>
      <c r="AD147" s="281"/>
    </row>
    <row r="148">
      <c r="A148" s="408" t="s">
        <v>16</v>
      </c>
      <c r="B148" s="419" t="s">
        <v>297</v>
      </c>
      <c r="C148" s="433" t="str">
        <f>VLOOKUP($B148,'Rate card'!$A$4:$G236,2,FALSE)</f>
        <v>Paint</v>
      </c>
      <c r="D148" s="433" t="str">
        <f>VLOOKUP($B148,'Rate card'!$A$4:$G236,3,FALSE)</f>
        <v>Royal Shyne</v>
      </c>
      <c r="E148" s="433" t="str">
        <f>VLOOKUP($B148,'Rate card'!$A$4:$G236,4,FALSE)</f>
        <v>2 Primer + 1 Putty + 2 RLE</v>
      </c>
      <c r="F148" s="433" t="str">
        <f>VLOOKUP($B148,'Rate card'!$A$4:$G236,5,FALSE)</f>
        <v>Painting with royal Shyne on ceiling, to give an even shade – Two or more coats on new work including preparation of surface. (_putty+_primer+_paint) as per requirement</v>
      </c>
      <c r="G148" s="433" t="str">
        <f>VLOOKUP($B148,'Rate card'!$A$4:$G236,6,FALSE)</f>
        <v>Sqft</v>
      </c>
      <c r="H148" s="420">
        <f>VLOOKUP($B148,'Rate card'!$A$4:$J236,8,FALSE)</f>
        <v>42</v>
      </c>
      <c r="I148" s="453" t="s">
        <v>146</v>
      </c>
      <c r="J148" s="415">
        <f t="shared" ref="J148:J150" si="30">H148*I148</f>
        <v>70266</v>
      </c>
      <c r="K148" s="75" t="s">
        <v>294</v>
      </c>
      <c r="L148" s="281"/>
      <c r="M148" s="281"/>
      <c r="N148" s="416">
        <f>VLOOKUP($B148,'Rate card'!$A$4:$J236,7,FALSE)</f>
        <v>35</v>
      </c>
      <c r="O148" s="281">
        <f t="shared" ref="O148:O149" si="31">I148*N148</f>
        <v>58555</v>
      </c>
      <c r="P148" s="281"/>
      <c r="Q148" s="281"/>
      <c r="R148" s="281"/>
      <c r="S148" s="281"/>
      <c r="T148" s="281"/>
      <c r="U148" s="281"/>
      <c r="V148" s="281"/>
      <c r="W148" s="281"/>
      <c r="X148" s="281"/>
      <c r="Y148" s="281"/>
      <c r="Z148" s="281"/>
      <c r="AA148" s="281"/>
      <c r="AB148" s="281"/>
      <c r="AC148" s="281"/>
      <c r="AD148" s="281"/>
    </row>
    <row r="149">
      <c r="A149" s="408">
        <f t="shared" ref="A149:A150" si="32">A148+1</f>
        <v>2</v>
      </c>
      <c r="B149" s="419" t="s">
        <v>298</v>
      </c>
      <c r="C149" s="433" t="str">
        <f>VLOOKUP($B149,'Rate card'!$A$4:$G236,2,FALSE)</f>
        <v>Paint</v>
      </c>
      <c r="D149" s="433" t="str">
        <f>VLOOKUP($B149,'Rate card'!$A$4:$G236,3,FALSE)</f>
        <v>Royal Shyne</v>
      </c>
      <c r="E149" s="433" t="str">
        <f>VLOOKUP($B149,'Rate card'!$A$4:$G236,4,FALSE)</f>
        <v>2 Primer + 1 Putty + 2 RLE</v>
      </c>
      <c r="F149" s="433" t="str">
        <f>VLOOKUP($B149,'Rate card'!$A$4:$G236,5,FALSE)</f>
        <v>Painting with royal Shyne on walls, to give an even shade – Two or more coats on new work including preparation of surface. (_putty+_primer+_paint) as per requirement</v>
      </c>
      <c r="G149" s="433" t="str">
        <f>VLOOKUP($B149,'Rate card'!$A$4:$G236,6,FALSE)</f>
        <v>Sqft</v>
      </c>
      <c r="H149" s="420">
        <f>VLOOKUP($B149,'Rate card'!$A$4:$J236,8,FALSE)</f>
        <v>45</v>
      </c>
      <c r="I149" s="454">
        <f>1673*2.5</f>
        <v>4182.5</v>
      </c>
      <c r="J149" s="415">
        <f t="shared" si="30"/>
        <v>188212.5</v>
      </c>
      <c r="K149" s="75" t="s">
        <v>299</v>
      </c>
      <c r="L149" s="281"/>
      <c r="M149" s="281"/>
      <c r="N149" s="416">
        <f>VLOOKUP($B149,'Rate card'!$A$4:$J236,7,FALSE)</f>
        <v>35</v>
      </c>
      <c r="O149" s="281">
        <f t="shared" si="31"/>
        <v>146387.5</v>
      </c>
      <c r="P149" s="281"/>
      <c r="Q149" s="281"/>
      <c r="R149" s="281"/>
      <c r="S149" s="281"/>
      <c r="T149" s="281"/>
      <c r="U149" s="281"/>
      <c r="V149" s="281"/>
      <c r="W149" s="281"/>
      <c r="X149" s="281"/>
      <c r="Y149" s="281"/>
      <c r="Z149" s="281"/>
      <c r="AA149" s="281"/>
      <c r="AB149" s="281"/>
      <c r="AC149" s="281"/>
      <c r="AD149" s="281"/>
    </row>
    <row r="150">
      <c r="A150" s="382">
        <f t="shared" si="32"/>
        <v>3</v>
      </c>
      <c r="B150" s="435" t="s">
        <v>298</v>
      </c>
      <c r="C150" s="154" t="str">
        <f>VLOOKUP($B150,'Rate card'!$A$4:$G236,2,FALSE)</f>
        <v>Paint</v>
      </c>
      <c r="D150" s="151" t="s">
        <v>300</v>
      </c>
      <c r="E150" s="154" t="str">
        <f>VLOOKUP($B150,'Rate card'!$A$4:$G236,4,FALSE)</f>
        <v>2 Primer + 1 Putty + 2 RLE</v>
      </c>
      <c r="F150" s="154" t="str">
        <f>VLOOKUP($B150,'Rate card'!$A$4:$G236,5,FALSE)</f>
        <v>Painting with royal Shyne on walls, to give an even shade – Two or more coats on new work including preparation of surface. (_putty+_primer+_paint) as per requirement</v>
      </c>
      <c r="G150" s="151" t="s">
        <v>185</v>
      </c>
      <c r="H150" s="185">
        <v>50000.0</v>
      </c>
      <c r="I150" s="455">
        <v>1.0</v>
      </c>
      <c r="J150" s="358">
        <f t="shared" si="30"/>
        <v>50000</v>
      </c>
      <c r="K150" s="437" t="s">
        <v>299</v>
      </c>
      <c r="L150" s="148"/>
      <c r="M150" s="148"/>
      <c r="N150" s="456"/>
      <c r="O150" s="355"/>
      <c r="P150" s="148"/>
      <c r="Q150" s="148"/>
      <c r="R150" s="148"/>
      <c r="S150" s="148"/>
      <c r="T150" s="148"/>
      <c r="U150" s="148"/>
      <c r="V150" s="148"/>
      <c r="W150" s="148"/>
      <c r="X150" s="148"/>
      <c r="Y150" s="148"/>
      <c r="Z150" s="148"/>
      <c r="AA150" s="148"/>
      <c r="AB150" s="148"/>
      <c r="AC150" s="148"/>
      <c r="AD150" s="148"/>
    </row>
    <row r="151">
      <c r="A151" s="408"/>
      <c r="B151" s="457"/>
      <c r="C151" s="457"/>
      <c r="D151" s="457"/>
      <c r="E151" s="457"/>
      <c r="F151" s="457"/>
      <c r="G151" s="457"/>
      <c r="H151" s="415"/>
      <c r="I151" s="369" t="s">
        <v>125</v>
      </c>
      <c r="J151" s="384">
        <f>sum(J148:J150)</f>
        <v>308478.5</v>
      </c>
      <c r="K151" s="67"/>
      <c r="L151" s="281"/>
      <c r="M151" s="281"/>
      <c r="N151" s="416">
        <f>VLOOKUP($B151,'Rate card'!$A$4:$J236,7,FALSE)</f>
        <v>0</v>
      </c>
      <c r="O151" s="121">
        <f>SUM(O148:O149)</f>
        <v>204942.5</v>
      </c>
      <c r="P151" s="281"/>
      <c r="Q151" s="281"/>
      <c r="R151" s="281"/>
      <c r="S151" s="281"/>
      <c r="T151" s="281"/>
      <c r="U151" s="281"/>
      <c r="V151" s="281"/>
      <c r="W151" s="281"/>
      <c r="X151" s="281"/>
      <c r="Y151" s="281"/>
      <c r="Z151" s="281"/>
      <c r="AA151" s="281"/>
      <c r="AB151" s="281"/>
      <c r="AC151" s="281"/>
      <c r="AD151" s="281"/>
    </row>
    <row r="152">
      <c r="A152" s="424" t="s">
        <v>35</v>
      </c>
      <c r="B152" s="323"/>
      <c r="C152" s="323"/>
      <c r="D152" s="323"/>
      <c r="E152" s="323"/>
      <c r="F152" s="323"/>
      <c r="G152" s="323"/>
      <c r="H152" s="324"/>
      <c r="I152" s="322"/>
      <c r="J152" s="324"/>
      <c r="K152" s="294"/>
      <c r="L152" s="281"/>
      <c r="M152" s="281"/>
      <c r="N152" s="372"/>
      <c r="O152" s="373"/>
      <c r="P152" s="281"/>
      <c r="Q152" s="281"/>
      <c r="R152" s="281"/>
      <c r="S152" s="281"/>
      <c r="T152" s="281"/>
      <c r="U152" s="281"/>
      <c r="V152" s="281"/>
      <c r="W152" s="281"/>
      <c r="X152" s="281"/>
      <c r="Y152" s="281"/>
      <c r="Z152" s="281"/>
      <c r="AA152" s="281"/>
      <c r="AB152" s="281"/>
      <c r="AC152" s="281"/>
      <c r="AD152" s="281"/>
    </row>
    <row r="153">
      <c r="A153" s="408" t="s">
        <v>16</v>
      </c>
      <c r="B153" s="419" t="s">
        <v>305</v>
      </c>
      <c r="C153" s="420" t="str">
        <f>VLOOKUP($B153,'Rate card'!$A$4:$G236,2,FALSE)</f>
        <v>CLEANING</v>
      </c>
      <c r="D153" s="420" t="str">
        <f>VLOOKUP($B153,'Rate card'!$A$4:$G236,3,FALSE)</f>
        <v>NA</v>
      </c>
      <c r="E153" s="420" t="str">
        <f>VLOOKUP($B153,'Rate card'!$A$4:$G236,4,FALSE)</f>
        <v>NA</v>
      </c>
      <c r="F153" s="420" t="str">
        <f>VLOOKUP($B153,'Rate card'!$A$4:$G236,5,FALSE)</f>
        <v>NA</v>
      </c>
      <c r="G153" s="420" t="str">
        <f>VLOOKUP($B153,'Rate card'!$A$4:$G236,6,FALSE)</f>
        <v>Ls</v>
      </c>
      <c r="H153" s="458">
        <v>40000.0</v>
      </c>
      <c r="I153" s="453" t="s">
        <v>16</v>
      </c>
      <c r="J153" s="415">
        <f t="shared" ref="J153:J155" si="33">H153*I153</f>
        <v>40000</v>
      </c>
      <c r="K153" s="62"/>
      <c r="L153" s="281"/>
      <c r="M153" s="281"/>
      <c r="N153" s="434">
        <f t="shared" ref="N153:N155" si="34">H153-5000</f>
        <v>35000</v>
      </c>
      <c r="O153" s="282">
        <f t="shared" ref="O153:O155" si="35">I153*N153</f>
        <v>35000</v>
      </c>
      <c r="P153" s="281"/>
      <c r="Q153" s="281"/>
      <c r="R153" s="281"/>
      <c r="S153" s="281"/>
      <c r="T153" s="281"/>
      <c r="U153" s="281"/>
      <c r="V153" s="281"/>
      <c r="W153" s="281"/>
      <c r="X153" s="281"/>
      <c r="Y153" s="281"/>
      <c r="Z153" s="281"/>
      <c r="AA153" s="281"/>
      <c r="AB153" s="281"/>
      <c r="AC153" s="281"/>
      <c r="AD153" s="281"/>
    </row>
    <row r="154">
      <c r="A154" s="408">
        <f t="shared" ref="A154:A155" si="36">A153+1</f>
        <v>2</v>
      </c>
      <c r="B154" s="419" t="s">
        <v>306</v>
      </c>
      <c r="C154" s="420" t="str">
        <f>VLOOKUP($B154,'Rate card'!$A$4:$G236,2,FALSE)</f>
        <v>DEBRIS REMOVAL</v>
      </c>
      <c r="D154" s="420" t="str">
        <f>VLOOKUP($B154,'Rate card'!$A$4:$G236,3,FALSE)</f>
        <v>NA</v>
      </c>
      <c r="E154" s="420" t="str">
        <f>VLOOKUP($B154,'Rate card'!$A$4:$G236,4,FALSE)</f>
        <v>NA</v>
      </c>
      <c r="F154" s="420" t="str">
        <f>VLOOKUP($B154,'Rate card'!$A$4:$G236,5,FALSE)</f>
        <v>NA</v>
      </c>
      <c r="G154" s="420" t="str">
        <f>VLOOKUP($B154,'Rate card'!$A$4:$G236,6,FALSE)</f>
        <v>Ls</v>
      </c>
      <c r="H154" s="458">
        <v>50000.0</v>
      </c>
      <c r="I154" s="421" t="s">
        <v>16</v>
      </c>
      <c r="J154" s="415">
        <f t="shared" si="33"/>
        <v>50000</v>
      </c>
      <c r="K154" s="62"/>
      <c r="L154" s="281"/>
      <c r="M154" s="281"/>
      <c r="N154" s="434">
        <f t="shared" si="34"/>
        <v>45000</v>
      </c>
      <c r="O154" s="282">
        <f t="shared" si="35"/>
        <v>45000</v>
      </c>
      <c r="P154" s="281"/>
      <c r="Q154" s="281"/>
      <c r="R154" s="281"/>
      <c r="S154" s="281"/>
      <c r="T154" s="281"/>
      <c r="U154" s="281"/>
      <c r="V154" s="281"/>
      <c r="W154" s="281"/>
      <c r="X154" s="281"/>
      <c r="Y154" s="281"/>
      <c r="Z154" s="281"/>
      <c r="AA154" s="281"/>
      <c r="AB154" s="281"/>
      <c r="AC154" s="281"/>
      <c r="AD154" s="281"/>
    </row>
    <row r="155">
      <c r="A155" s="408">
        <f t="shared" si="36"/>
        <v>3</v>
      </c>
      <c r="B155" s="419" t="s">
        <v>307</v>
      </c>
      <c r="C155" s="420" t="str">
        <f>VLOOKUP($B155,'Rate card'!$A$4:$G236,2,FALSE)</f>
        <v>MISCELLENIOUS</v>
      </c>
      <c r="D155" s="420" t="str">
        <f>VLOOKUP($B155,'Rate card'!$A$4:$G236,3,FALSE)</f>
        <v>NA</v>
      </c>
      <c r="E155" s="420" t="str">
        <f>VLOOKUP($B155,'Rate card'!$A$4:$G236,4,FALSE)</f>
        <v>NA</v>
      </c>
      <c r="F155" s="420" t="str">
        <f>VLOOKUP($B155,'Rate card'!$A$4:$G236,5,FALSE)</f>
        <v>Floor Covering, Doors and Windows Covering</v>
      </c>
      <c r="G155" s="420" t="str">
        <f>VLOOKUP($B155,'Rate card'!$A$4:$G236,6,FALSE)</f>
        <v>Ls</v>
      </c>
      <c r="H155" s="458">
        <v>30000.0</v>
      </c>
      <c r="I155" s="421" t="s">
        <v>16</v>
      </c>
      <c r="J155" s="415">
        <f t="shared" si="33"/>
        <v>30000</v>
      </c>
      <c r="K155" s="62"/>
      <c r="L155" s="281"/>
      <c r="M155" s="281"/>
      <c r="N155" s="434">
        <f t="shared" si="34"/>
        <v>25000</v>
      </c>
      <c r="O155" s="282">
        <f t="shared" si="35"/>
        <v>25000</v>
      </c>
      <c r="P155" s="281"/>
      <c r="Q155" s="281"/>
      <c r="R155" s="281"/>
      <c r="S155" s="281"/>
      <c r="T155" s="281"/>
      <c r="U155" s="281"/>
      <c r="V155" s="281"/>
      <c r="W155" s="281"/>
      <c r="X155" s="281"/>
      <c r="Y155" s="281"/>
      <c r="Z155" s="281"/>
      <c r="AA155" s="281"/>
      <c r="AB155" s="281"/>
      <c r="AC155" s="281"/>
      <c r="AD155" s="281"/>
    </row>
    <row r="156">
      <c r="A156" s="459"/>
      <c r="B156" s="457"/>
      <c r="C156" s="457"/>
      <c r="D156" s="457"/>
      <c r="E156" s="457"/>
      <c r="F156" s="457"/>
      <c r="G156" s="457"/>
      <c r="H156" s="415"/>
      <c r="I156" s="369" t="s">
        <v>125</v>
      </c>
      <c r="J156" s="384">
        <f>SUM(J153:J155)</f>
        <v>120000</v>
      </c>
      <c r="K156" s="67"/>
      <c r="L156" s="281"/>
      <c r="M156" s="281"/>
      <c r="N156" s="416" t="str">
        <f>VLOOKUP($B156,'Rate card'!$A$4:$J236,10,FALSE)</f>
        <v/>
      </c>
      <c r="O156" s="121">
        <f>SUM(O153:O155)</f>
        <v>105000</v>
      </c>
      <c r="P156" s="281"/>
      <c r="Q156" s="281"/>
      <c r="R156" s="281"/>
      <c r="S156" s="281"/>
      <c r="T156" s="281"/>
      <c r="U156" s="281"/>
      <c r="V156" s="281"/>
      <c r="W156" s="281"/>
      <c r="X156" s="281"/>
      <c r="Y156" s="281"/>
      <c r="Z156" s="281"/>
      <c r="AA156" s="281"/>
      <c r="AB156" s="281"/>
      <c r="AC156" s="281"/>
      <c r="AD156" s="281"/>
    </row>
    <row r="157">
      <c r="A157" s="424"/>
      <c r="B157" s="323"/>
      <c r="C157" s="323"/>
      <c r="D157" s="323"/>
      <c r="E157" s="323"/>
      <c r="F157" s="323"/>
      <c r="G157" s="323"/>
      <c r="H157" s="324"/>
      <c r="I157" s="460"/>
      <c r="J157" s="461"/>
      <c r="K157" s="294"/>
      <c r="L157" s="281"/>
      <c r="M157" s="281"/>
      <c r="N157" s="372"/>
      <c r="O157" s="373"/>
      <c r="P157" s="281"/>
      <c r="Q157" s="281"/>
      <c r="R157" s="281"/>
      <c r="S157" s="281"/>
      <c r="T157" s="281"/>
      <c r="U157" s="281"/>
      <c r="V157" s="281"/>
      <c r="W157" s="281"/>
      <c r="X157" s="281"/>
      <c r="Y157" s="281"/>
      <c r="Z157" s="281"/>
      <c r="AA157" s="281"/>
      <c r="AB157" s="281"/>
      <c r="AC157" s="281"/>
      <c r="AD157" s="281"/>
    </row>
    <row r="158">
      <c r="A158" s="281"/>
      <c r="B158" s="281"/>
      <c r="C158" s="281"/>
      <c r="D158" s="281"/>
      <c r="E158" s="281"/>
      <c r="F158" s="281"/>
      <c r="G158" s="281"/>
      <c r="H158" s="282"/>
      <c r="I158" s="283"/>
      <c r="J158" s="282"/>
      <c r="K158" s="281"/>
      <c r="L158" s="281"/>
      <c r="M158" s="281"/>
      <c r="N158" s="281"/>
      <c r="O158" s="281"/>
      <c r="P158" s="281"/>
      <c r="Q158" s="281"/>
      <c r="R158" s="281"/>
      <c r="S158" s="281"/>
      <c r="T158" s="281"/>
      <c r="U158" s="281"/>
      <c r="V158" s="281"/>
      <c r="W158" s="281"/>
      <c r="X158" s="281"/>
      <c r="Y158" s="281"/>
      <c r="Z158" s="281"/>
      <c r="AA158" s="281"/>
      <c r="AB158" s="281"/>
      <c r="AC158" s="281"/>
      <c r="AD158" s="281"/>
    </row>
    <row r="159" hidden="1">
      <c r="A159" s="281"/>
      <c r="B159" s="281"/>
      <c r="C159" s="281"/>
      <c r="D159" s="281"/>
      <c r="E159" s="281"/>
      <c r="F159" s="281"/>
      <c r="G159" s="281"/>
      <c r="H159" s="282"/>
      <c r="I159" s="283"/>
      <c r="J159" s="282"/>
      <c r="K159" s="281"/>
      <c r="L159" s="281"/>
      <c r="M159" s="281"/>
      <c r="N159" s="281"/>
      <c r="O159" s="281"/>
      <c r="P159" s="281"/>
      <c r="Q159" s="281"/>
      <c r="R159" s="281"/>
      <c r="S159" s="281"/>
      <c r="T159" s="281"/>
      <c r="U159" s="281"/>
      <c r="V159" s="281"/>
      <c r="W159" s="281"/>
      <c r="X159" s="281"/>
      <c r="Y159" s="281"/>
      <c r="Z159" s="281"/>
      <c r="AA159" s="281"/>
      <c r="AB159" s="281"/>
      <c r="AC159" s="281"/>
      <c r="AD159" s="281"/>
    </row>
    <row r="160" hidden="1">
      <c r="A160" s="281"/>
      <c r="B160" s="281"/>
      <c r="C160" s="281"/>
      <c r="D160" s="281"/>
      <c r="E160" s="281"/>
      <c r="F160" s="281"/>
      <c r="G160" s="281"/>
      <c r="H160" s="282"/>
      <c r="I160" s="283"/>
      <c r="J160" s="282"/>
      <c r="K160" s="281"/>
      <c r="L160" s="281"/>
      <c r="M160" s="281"/>
      <c r="N160" s="281"/>
      <c r="O160" s="281"/>
      <c r="P160" s="281"/>
      <c r="Q160" s="281"/>
      <c r="R160" s="281"/>
      <c r="S160" s="281"/>
      <c r="T160" s="281"/>
      <c r="U160" s="281"/>
      <c r="V160" s="281"/>
      <c r="W160" s="281"/>
      <c r="X160" s="281"/>
      <c r="Y160" s="281"/>
      <c r="Z160" s="281"/>
      <c r="AA160" s="281"/>
      <c r="AB160" s="281"/>
      <c r="AC160" s="281"/>
      <c r="AD160" s="281"/>
    </row>
    <row r="161" hidden="1">
      <c r="A161" s="281"/>
      <c r="B161" s="281"/>
      <c r="C161" s="281"/>
      <c r="D161" s="281"/>
      <c r="E161" s="281"/>
      <c r="F161" s="281"/>
      <c r="G161" s="281"/>
      <c r="H161" s="282"/>
      <c r="I161" s="283"/>
      <c r="J161" s="282"/>
      <c r="K161" s="281"/>
      <c r="L161" s="281"/>
      <c r="M161" s="281"/>
      <c r="N161" s="281"/>
      <c r="O161" s="281"/>
      <c r="P161" s="281"/>
      <c r="Q161" s="281"/>
      <c r="R161" s="281"/>
      <c r="S161" s="281"/>
      <c r="T161" s="281"/>
      <c r="U161" s="281"/>
      <c r="V161" s="281"/>
      <c r="W161" s="281"/>
      <c r="X161" s="281"/>
      <c r="Y161" s="281"/>
      <c r="Z161" s="281"/>
      <c r="AA161" s="281"/>
      <c r="AB161" s="281"/>
      <c r="AC161" s="281"/>
      <c r="AD161" s="281"/>
    </row>
    <row r="162" hidden="1">
      <c r="A162" s="281"/>
      <c r="B162" s="281"/>
      <c r="C162" s="281"/>
      <c r="D162" s="281"/>
      <c r="E162" s="281"/>
      <c r="F162" s="281"/>
      <c r="G162" s="281"/>
      <c r="H162" s="282"/>
      <c r="I162" s="283"/>
      <c r="J162" s="282"/>
      <c r="K162" s="281"/>
      <c r="L162" s="281"/>
      <c r="M162" s="281"/>
      <c r="N162" s="281"/>
      <c r="O162" s="281"/>
      <c r="P162" s="281"/>
      <c r="Q162" s="281"/>
      <c r="R162" s="281"/>
      <c r="S162" s="281"/>
      <c r="T162" s="281"/>
      <c r="U162" s="281"/>
      <c r="V162" s="281"/>
      <c r="W162" s="281"/>
      <c r="X162" s="281"/>
      <c r="Y162" s="281"/>
      <c r="Z162" s="281"/>
      <c r="AA162" s="281"/>
      <c r="AB162" s="281"/>
      <c r="AC162" s="281"/>
      <c r="AD162" s="281"/>
    </row>
    <row r="163" hidden="1">
      <c r="A163" s="281"/>
      <c r="B163" s="281"/>
      <c r="C163" s="281"/>
      <c r="D163" s="281"/>
      <c r="E163" s="281"/>
      <c r="F163" s="281"/>
      <c r="G163" s="281"/>
      <c r="H163" s="282"/>
      <c r="I163" s="283"/>
      <c r="J163" s="282"/>
      <c r="K163" s="281"/>
      <c r="L163" s="281"/>
      <c r="M163" s="281"/>
      <c r="N163" s="281"/>
      <c r="O163" s="281"/>
      <c r="P163" s="281"/>
      <c r="Q163" s="281"/>
      <c r="R163" s="281"/>
      <c r="S163" s="281"/>
      <c r="T163" s="281"/>
      <c r="U163" s="281"/>
      <c r="V163" s="281"/>
      <c r="W163" s="281"/>
      <c r="X163" s="281"/>
      <c r="Y163" s="281"/>
      <c r="Z163" s="281"/>
      <c r="AA163" s="281"/>
      <c r="AB163" s="281"/>
      <c r="AC163" s="281"/>
      <c r="AD163" s="281"/>
    </row>
    <row r="164" hidden="1">
      <c r="A164" s="281"/>
      <c r="B164" s="281"/>
      <c r="C164" s="281"/>
      <c r="D164" s="281"/>
      <c r="E164" s="281"/>
      <c r="F164" s="281"/>
      <c r="G164" s="281"/>
      <c r="H164" s="282"/>
      <c r="I164" s="283"/>
      <c r="J164" s="282"/>
      <c r="K164" s="281"/>
      <c r="L164" s="281"/>
      <c r="M164" s="281"/>
      <c r="N164" s="281"/>
      <c r="O164" s="281"/>
      <c r="P164" s="281"/>
      <c r="Q164" s="281"/>
      <c r="R164" s="281"/>
      <c r="S164" s="281"/>
      <c r="T164" s="281"/>
      <c r="U164" s="281"/>
      <c r="V164" s="281"/>
      <c r="W164" s="281"/>
      <c r="X164" s="281"/>
      <c r="Y164" s="281"/>
      <c r="Z164" s="281"/>
      <c r="AA164" s="281"/>
      <c r="AB164" s="281"/>
      <c r="AC164" s="281"/>
      <c r="AD164" s="281"/>
    </row>
    <row r="165" hidden="1">
      <c r="A165" s="281"/>
      <c r="B165" s="281"/>
      <c r="C165" s="281"/>
      <c r="D165" s="281"/>
      <c r="E165" s="281"/>
      <c r="F165" s="281"/>
      <c r="G165" s="281"/>
      <c r="H165" s="282"/>
      <c r="I165" s="283"/>
      <c r="J165" s="282"/>
      <c r="K165" s="281"/>
      <c r="L165" s="281"/>
      <c r="M165" s="281"/>
      <c r="N165" s="281"/>
      <c r="O165" s="281"/>
      <c r="P165" s="281"/>
      <c r="Q165" s="281"/>
      <c r="R165" s="281"/>
      <c r="S165" s="281"/>
      <c r="T165" s="281"/>
      <c r="U165" s="281"/>
      <c r="V165" s="281"/>
      <c r="W165" s="281"/>
      <c r="X165" s="281"/>
      <c r="Y165" s="281"/>
      <c r="Z165" s="281"/>
      <c r="AA165" s="281"/>
      <c r="AB165" s="281"/>
      <c r="AC165" s="281"/>
      <c r="AD165" s="281"/>
    </row>
    <row r="166" hidden="1">
      <c r="A166" s="281"/>
      <c r="B166" s="281"/>
      <c r="C166" s="281"/>
      <c r="D166" s="281"/>
      <c r="E166" s="281"/>
      <c r="F166" s="281"/>
      <c r="G166" s="281"/>
      <c r="H166" s="282"/>
      <c r="I166" s="283"/>
      <c r="J166" s="282"/>
      <c r="K166" s="281"/>
      <c r="L166" s="281"/>
      <c r="M166" s="281"/>
      <c r="N166" s="281"/>
      <c r="O166" s="281"/>
      <c r="P166" s="281"/>
      <c r="Q166" s="281"/>
      <c r="R166" s="281"/>
      <c r="S166" s="281"/>
      <c r="T166" s="281"/>
      <c r="U166" s="281"/>
      <c r="V166" s="281"/>
      <c r="W166" s="281"/>
      <c r="X166" s="281"/>
      <c r="Y166" s="281"/>
      <c r="Z166" s="281"/>
      <c r="AA166" s="281"/>
      <c r="AB166" s="281"/>
      <c r="AC166" s="281"/>
      <c r="AD166" s="281"/>
    </row>
    <row r="167" hidden="1">
      <c r="A167" s="281"/>
      <c r="B167" s="281"/>
      <c r="C167" s="281"/>
      <c r="D167" s="281"/>
      <c r="E167" s="281"/>
      <c r="F167" s="281"/>
      <c r="G167" s="281"/>
      <c r="H167" s="282"/>
      <c r="I167" s="283"/>
      <c r="J167" s="282"/>
      <c r="K167" s="281"/>
      <c r="L167" s="281"/>
      <c r="M167" s="281"/>
      <c r="N167" s="281"/>
      <c r="O167" s="281"/>
      <c r="P167" s="281"/>
      <c r="Q167" s="281"/>
      <c r="R167" s="281"/>
      <c r="S167" s="281"/>
      <c r="T167" s="281"/>
      <c r="U167" s="281"/>
      <c r="V167" s="281"/>
      <c r="W167" s="281"/>
      <c r="X167" s="281"/>
      <c r="Y167" s="281"/>
      <c r="Z167" s="281"/>
      <c r="AA167" s="281"/>
      <c r="AB167" s="281"/>
      <c r="AC167" s="281"/>
      <c r="AD167" s="281"/>
    </row>
    <row r="168" hidden="1">
      <c r="A168" s="281"/>
      <c r="B168" s="281"/>
      <c r="C168" s="281"/>
      <c r="D168" s="281"/>
      <c r="E168" s="281"/>
      <c r="F168" s="281"/>
      <c r="G168" s="281"/>
      <c r="H168" s="282"/>
      <c r="I168" s="283"/>
      <c r="J168" s="282"/>
      <c r="K168" s="281"/>
      <c r="L168" s="281"/>
      <c r="M168" s="281"/>
      <c r="N168" s="281"/>
      <c r="O168" s="281"/>
      <c r="P168" s="281"/>
      <c r="Q168" s="281"/>
      <c r="R168" s="281"/>
      <c r="S168" s="281"/>
      <c r="T168" s="281"/>
      <c r="U168" s="281"/>
      <c r="V168" s="281"/>
      <c r="W168" s="281"/>
      <c r="X168" s="281"/>
      <c r="Y168" s="281"/>
      <c r="Z168" s="281"/>
      <c r="AA168" s="281"/>
      <c r="AB168" s="281"/>
      <c r="AC168" s="281"/>
      <c r="AD168" s="281"/>
    </row>
    <row r="169" hidden="1">
      <c r="A169" s="281"/>
      <c r="B169" s="281"/>
      <c r="C169" s="281"/>
      <c r="D169" s="281"/>
      <c r="E169" s="281"/>
      <c r="F169" s="281"/>
      <c r="G169" s="281"/>
      <c r="H169" s="282"/>
      <c r="I169" s="283"/>
      <c r="J169" s="282"/>
      <c r="K169" s="281"/>
      <c r="L169" s="281"/>
      <c r="M169" s="281"/>
      <c r="N169" s="281"/>
      <c r="O169" s="281"/>
      <c r="P169" s="281"/>
      <c r="Q169" s="281"/>
      <c r="R169" s="281"/>
      <c r="S169" s="281"/>
      <c r="T169" s="281"/>
      <c r="U169" s="281"/>
      <c r="V169" s="281"/>
      <c r="W169" s="281"/>
      <c r="X169" s="281"/>
      <c r="Y169" s="281"/>
      <c r="Z169" s="281"/>
      <c r="AA169" s="281"/>
      <c r="AB169" s="281"/>
      <c r="AC169" s="281"/>
      <c r="AD169" s="281"/>
    </row>
    <row r="170" hidden="1">
      <c r="A170" s="281"/>
      <c r="B170" s="281"/>
      <c r="C170" s="281"/>
      <c r="D170" s="281"/>
      <c r="E170" s="281"/>
      <c r="F170" s="281"/>
      <c r="G170" s="281"/>
      <c r="H170" s="282"/>
      <c r="I170" s="283"/>
      <c r="J170" s="282"/>
      <c r="K170" s="281"/>
      <c r="L170" s="281"/>
      <c r="M170" s="281"/>
      <c r="N170" s="281"/>
      <c r="O170" s="281"/>
      <c r="P170" s="281"/>
      <c r="Q170" s="281"/>
      <c r="R170" s="281"/>
      <c r="S170" s="281"/>
      <c r="T170" s="281"/>
      <c r="U170" s="281"/>
      <c r="V170" s="281"/>
      <c r="W170" s="281"/>
      <c r="X170" s="281"/>
      <c r="Y170" s="281"/>
      <c r="Z170" s="281"/>
      <c r="AA170" s="281"/>
      <c r="AB170" s="281"/>
      <c r="AC170" s="281"/>
      <c r="AD170" s="281"/>
    </row>
    <row r="171" hidden="1">
      <c r="A171" s="281"/>
      <c r="B171" s="281"/>
      <c r="C171" s="281"/>
      <c r="D171" s="281"/>
      <c r="E171" s="281"/>
      <c r="F171" s="281"/>
      <c r="G171" s="281"/>
      <c r="H171" s="282"/>
      <c r="I171" s="283"/>
      <c r="J171" s="282"/>
      <c r="K171" s="281"/>
      <c r="L171" s="281"/>
      <c r="M171" s="281"/>
      <c r="N171" s="281"/>
      <c r="O171" s="281"/>
      <c r="P171" s="281"/>
      <c r="Q171" s="281"/>
      <c r="R171" s="281"/>
      <c r="S171" s="281"/>
      <c r="T171" s="281"/>
      <c r="U171" s="281"/>
      <c r="V171" s="281"/>
      <c r="W171" s="281"/>
      <c r="X171" s="281"/>
      <c r="Y171" s="281"/>
      <c r="Z171" s="281"/>
      <c r="AA171" s="281"/>
      <c r="AB171" s="281"/>
      <c r="AC171" s="281"/>
      <c r="AD171" s="281"/>
    </row>
    <row r="172" hidden="1">
      <c r="A172" s="281"/>
      <c r="B172" s="281"/>
      <c r="C172" s="281"/>
      <c r="D172" s="281"/>
      <c r="E172" s="281"/>
      <c r="F172" s="281"/>
      <c r="G172" s="281"/>
      <c r="H172" s="282"/>
      <c r="I172" s="283"/>
      <c r="J172" s="282"/>
      <c r="K172" s="281"/>
      <c r="L172" s="281"/>
      <c r="M172" s="281"/>
      <c r="N172" s="281"/>
      <c r="O172" s="281"/>
      <c r="P172" s="281"/>
      <c r="Q172" s="281"/>
      <c r="R172" s="281"/>
      <c r="S172" s="281"/>
      <c r="T172" s="281"/>
      <c r="U172" s="281"/>
      <c r="V172" s="281"/>
      <c r="W172" s="281"/>
      <c r="X172" s="281"/>
      <c r="Y172" s="281"/>
      <c r="Z172" s="281"/>
      <c r="AA172" s="281"/>
      <c r="AB172" s="281"/>
      <c r="AC172" s="281"/>
      <c r="AD172" s="281"/>
    </row>
    <row r="173" hidden="1">
      <c r="A173" s="281"/>
      <c r="B173" s="281"/>
      <c r="C173" s="281"/>
      <c r="D173" s="281"/>
      <c r="E173" s="281"/>
      <c r="F173" s="281"/>
      <c r="G173" s="281"/>
      <c r="H173" s="282"/>
      <c r="I173" s="283"/>
      <c r="J173" s="282"/>
      <c r="K173" s="281"/>
      <c r="L173" s="281"/>
      <c r="M173" s="281"/>
      <c r="N173" s="281"/>
      <c r="O173" s="281"/>
      <c r="P173" s="281"/>
      <c r="Q173" s="281"/>
      <c r="R173" s="281"/>
      <c r="S173" s="281"/>
      <c r="T173" s="281"/>
      <c r="U173" s="281"/>
      <c r="V173" s="281"/>
      <c r="W173" s="281"/>
      <c r="X173" s="281"/>
      <c r="Y173" s="281"/>
      <c r="Z173" s="281"/>
      <c r="AA173" s="281"/>
      <c r="AB173" s="281"/>
      <c r="AC173" s="281"/>
      <c r="AD173" s="281"/>
    </row>
    <row r="174" hidden="1">
      <c r="A174" s="281"/>
      <c r="B174" s="281"/>
      <c r="C174" s="281"/>
      <c r="D174" s="281"/>
      <c r="E174" s="281"/>
      <c r="F174" s="281"/>
      <c r="G174" s="281"/>
      <c r="H174" s="282"/>
      <c r="I174" s="283"/>
      <c r="J174" s="282"/>
      <c r="K174" s="281"/>
      <c r="L174" s="281"/>
      <c r="M174" s="281"/>
      <c r="N174" s="281"/>
      <c r="O174" s="281"/>
      <c r="P174" s="281"/>
      <c r="Q174" s="281"/>
      <c r="R174" s="281"/>
      <c r="S174" s="281"/>
      <c r="T174" s="281"/>
      <c r="U174" s="281"/>
      <c r="V174" s="281"/>
      <c r="W174" s="281"/>
      <c r="X174" s="281"/>
      <c r="Y174" s="281"/>
      <c r="Z174" s="281"/>
      <c r="AA174" s="281"/>
      <c r="AB174" s="281"/>
      <c r="AC174" s="281"/>
      <c r="AD174" s="281"/>
    </row>
    <row r="175" hidden="1">
      <c r="A175" s="281"/>
      <c r="B175" s="281"/>
      <c r="C175" s="281"/>
      <c r="D175" s="281"/>
      <c r="E175" s="281"/>
      <c r="F175" s="281"/>
      <c r="G175" s="281"/>
      <c r="H175" s="282"/>
      <c r="I175" s="283"/>
      <c r="J175" s="282"/>
      <c r="K175" s="281"/>
      <c r="L175" s="281"/>
      <c r="M175" s="281"/>
      <c r="N175" s="281"/>
      <c r="O175" s="281"/>
      <c r="P175" s="281"/>
      <c r="Q175" s="281"/>
      <c r="R175" s="281"/>
      <c r="S175" s="281"/>
      <c r="T175" s="281"/>
      <c r="U175" s="281"/>
      <c r="V175" s="281"/>
      <c r="W175" s="281"/>
      <c r="X175" s="281"/>
      <c r="Y175" s="281"/>
      <c r="Z175" s="281"/>
      <c r="AA175" s="281"/>
      <c r="AB175" s="281"/>
      <c r="AC175" s="281"/>
      <c r="AD175" s="281"/>
    </row>
    <row r="176" hidden="1">
      <c r="A176" s="281"/>
      <c r="B176" s="281"/>
      <c r="C176" s="281"/>
      <c r="D176" s="281"/>
      <c r="E176" s="281"/>
      <c r="F176" s="281"/>
      <c r="G176" s="281"/>
      <c r="H176" s="282"/>
      <c r="I176" s="283"/>
      <c r="J176" s="282"/>
      <c r="K176" s="281"/>
      <c r="L176" s="281"/>
      <c r="M176" s="281"/>
      <c r="N176" s="281"/>
      <c r="O176" s="281"/>
      <c r="P176" s="281"/>
      <c r="Q176" s="281"/>
      <c r="R176" s="281"/>
      <c r="S176" s="281"/>
      <c r="T176" s="281"/>
      <c r="U176" s="281"/>
      <c r="V176" s="281"/>
      <c r="W176" s="281"/>
      <c r="X176" s="281"/>
      <c r="Y176" s="281"/>
      <c r="Z176" s="281"/>
      <c r="AA176" s="281"/>
      <c r="AB176" s="281"/>
      <c r="AC176" s="281"/>
      <c r="AD176" s="281"/>
    </row>
    <row r="177" hidden="1">
      <c r="A177" s="281"/>
      <c r="B177" s="281"/>
      <c r="C177" s="281"/>
      <c r="D177" s="281"/>
      <c r="E177" s="281"/>
      <c r="F177" s="281"/>
      <c r="G177" s="281"/>
      <c r="H177" s="282"/>
      <c r="I177" s="283"/>
      <c r="J177" s="282"/>
      <c r="K177" s="281"/>
      <c r="L177" s="281"/>
      <c r="M177" s="281"/>
      <c r="N177" s="281"/>
      <c r="O177" s="281"/>
      <c r="P177" s="281"/>
      <c r="Q177" s="281"/>
      <c r="R177" s="281"/>
      <c r="S177" s="281"/>
      <c r="T177" s="281"/>
      <c r="U177" s="281"/>
      <c r="V177" s="281"/>
      <c r="W177" s="281"/>
      <c r="X177" s="281"/>
      <c r="Y177" s="281"/>
      <c r="Z177" s="281"/>
      <c r="AA177" s="281"/>
      <c r="AB177" s="281"/>
      <c r="AC177" s="281"/>
      <c r="AD177" s="281"/>
    </row>
    <row r="178" hidden="1">
      <c r="A178" s="281"/>
      <c r="B178" s="281"/>
      <c r="C178" s="281"/>
      <c r="D178" s="281"/>
      <c r="E178" s="281"/>
      <c r="F178" s="281"/>
      <c r="G178" s="281"/>
      <c r="H178" s="282"/>
      <c r="I178" s="283"/>
      <c r="J178" s="282"/>
      <c r="K178" s="281"/>
      <c r="L178" s="281"/>
      <c r="M178" s="281"/>
      <c r="N178" s="281"/>
      <c r="O178" s="281"/>
      <c r="P178" s="281"/>
      <c r="Q178" s="281"/>
      <c r="R178" s="281"/>
      <c r="S178" s="281"/>
      <c r="T178" s="281"/>
      <c r="U178" s="281"/>
      <c r="V178" s="281"/>
      <c r="W178" s="281"/>
      <c r="X178" s="281"/>
      <c r="Y178" s="281"/>
      <c r="Z178" s="281"/>
      <c r="AA178" s="281"/>
      <c r="AB178" s="281"/>
      <c r="AC178" s="281"/>
      <c r="AD178" s="281"/>
    </row>
    <row r="179" hidden="1">
      <c r="A179" s="281"/>
      <c r="B179" s="281"/>
      <c r="C179" s="281"/>
      <c r="D179" s="281"/>
      <c r="E179" s="281"/>
      <c r="F179" s="281"/>
      <c r="G179" s="281"/>
      <c r="H179" s="282"/>
      <c r="I179" s="283"/>
      <c r="J179" s="282"/>
      <c r="K179" s="281"/>
      <c r="L179" s="281"/>
      <c r="M179" s="281"/>
      <c r="N179" s="281"/>
      <c r="O179" s="281"/>
      <c r="P179" s="281"/>
      <c r="Q179" s="281"/>
      <c r="R179" s="281"/>
      <c r="S179" s="281"/>
      <c r="T179" s="281"/>
      <c r="U179" s="281"/>
      <c r="V179" s="281"/>
      <c r="W179" s="281"/>
      <c r="X179" s="281"/>
      <c r="Y179" s="281"/>
      <c r="Z179" s="281"/>
      <c r="AA179" s="281"/>
      <c r="AB179" s="281"/>
      <c r="AC179" s="281"/>
      <c r="AD179" s="281"/>
    </row>
    <row r="180">
      <c r="A180" s="281"/>
      <c r="B180" s="281"/>
      <c r="C180" s="281"/>
      <c r="D180" s="281"/>
      <c r="E180" s="281"/>
      <c r="F180" s="281"/>
      <c r="G180" s="281"/>
      <c r="H180" s="282"/>
      <c r="I180" s="283"/>
      <c r="J180" s="282"/>
      <c r="K180" s="281"/>
      <c r="L180" s="281"/>
      <c r="M180" s="281"/>
      <c r="N180" s="281"/>
      <c r="O180" s="281"/>
      <c r="P180" s="281"/>
      <c r="Q180" s="281"/>
      <c r="R180" s="281"/>
      <c r="S180" s="281"/>
      <c r="T180" s="281"/>
      <c r="U180" s="281"/>
      <c r="V180" s="281"/>
      <c r="W180" s="281"/>
      <c r="X180" s="281"/>
      <c r="Y180" s="281"/>
      <c r="Z180" s="281"/>
      <c r="AA180" s="281"/>
      <c r="AB180" s="281"/>
      <c r="AC180" s="281"/>
      <c r="AD180" s="281"/>
    </row>
    <row r="181">
      <c r="A181" s="281"/>
      <c r="B181" s="281"/>
      <c r="C181" s="281"/>
      <c r="D181" s="281"/>
      <c r="E181" s="281"/>
      <c r="F181" s="281"/>
      <c r="G181" s="281"/>
      <c r="H181" s="282"/>
      <c r="I181" s="283"/>
      <c r="J181" s="282"/>
      <c r="K181" s="281"/>
      <c r="L181" s="281"/>
      <c r="M181" s="281"/>
      <c r="N181" s="281"/>
      <c r="O181" s="281"/>
      <c r="P181" s="281"/>
      <c r="Q181" s="281"/>
      <c r="R181" s="281"/>
      <c r="S181" s="281"/>
      <c r="T181" s="281"/>
      <c r="U181" s="281"/>
      <c r="V181" s="281"/>
      <c r="W181" s="281"/>
      <c r="X181" s="281"/>
      <c r="Y181" s="281"/>
      <c r="Z181" s="281"/>
      <c r="AA181" s="281"/>
      <c r="AB181" s="281"/>
      <c r="AC181" s="281"/>
      <c r="AD181" s="281"/>
    </row>
    <row r="182">
      <c r="A182" s="462" t="s">
        <v>309</v>
      </c>
      <c r="B182" s="463"/>
      <c r="C182" s="463"/>
      <c r="D182" s="463"/>
      <c r="E182" s="463"/>
      <c r="F182" s="281"/>
      <c r="G182" s="281"/>
      <c r="H182" s="282"/>
      <c r="I182" s="283"/>
      <c r="J182" s="282"/>
      <c r="K182" s="281"/>
      <c r="L182" s="281"/>
      <c r="M182" s="281"/>
      <c r="N182" s="281"/>
      <c r="O182" s="281"/>
      <c r="P182" s="281"/>
      <c r="Q182" s="281"/>
      <c r="R182" s="281"/>
      <c r="S182" s="281"/>
      <c r="T182" s="281"/>
      <c r="U182" s="281"/>
      <c r="V182" s="281"/>
      <c r="W182" s="281"/>
      <c r="X182" s="281"/>
      <c r="Y182" s="281"/>
      <c r="Z182" s="281"/>
      <c r="AA182" s="281"/>
      <c r="AB182" s="281"/>
      <c r="AC182" s="281"/>
      <c r="AD182" s="281"/>
    </row>
    <row r="183">
      <c r="A183" s="464" t="s">
        <v>310</v>
      </c>
      <c r="B183" s="463"/>
      <c r="C183" s="463"/>
      <c r="D183" s="463"/>
      <c r="E183" s="463"/>
      <c r="F183" s="281"/>
      <c r="G183" s="281"/>
      <c r="H183" s="282"/>
      <c r="I183" s="283"/>
      <c r="J183" s="282"/>
      <c r="K183" s="281"/>
      <c r="L183" s="281"/>
      <c r="M183" s="281"/>
      <c r="N183" s="281"/>
      <c r="O183" s="281"/>
      <c r="P183" s="281"/>
      <c r="Q183" s="281"/>
      <c r="R183" s="281"/>
      <c r="S183" s="281"/>
      <c r="T183" s="281"/>
      <c r="U183" s="281"/>
      <c r="V183" s="281"/>
      <c r="W183" s="281"/>
      <c r="X183" s="281"/>
      <c r="Y183" s="281"/>
      <c r="Z183" s="281"/>
      <c r="AA183" s="281"/>
      <c r="AB183" s="281"/>
      <c r="AC183" s="281"/>
      <c r="AD183" s="281"/>
    </row>
    <row r="184">
      <c r="A184" s="464" t="s">
        <v>311</v>
      </c>
      <c r="B184" s="463"/>
      <c r="C184" s="463"/>
      <c r="D184" s="463"/>
      <c r="E184" s="463"/>
      <c r="F184" s="281"/>
      <c r="G184" s="281"/>
      <c r="H184" s="282"/>
      <c r="I184" s="283"/>
      <c r="J184" s="282"/>
      <c r="K184" s="281"/>
      <c r="L184" s="281"/>
      <c r="M184" s="281"/>
      <c r="N184" s="281"/>
      <c r="O184" s="281"/>
      <c r="P184" s="281"/>
      <c r="Q184" s="281"/>
      <c r="R184" s="281"/>
      <c r="S184" s="281"/>
      <c r="T184" s="281"/>
      <c r="U184" s="281"/>
      <c r="V184" s="281"/>
      <c r="W184" s="281"/>
      <c r="X184" s="281"/>
      <c r="Y184" s="281"/>
      <c r="Z184" s="281"/>
      <c r="AA184" s="281"/>
      <c r="AB184" s="281"/>
      <c r="AC184" s="281"/>
      <c r="AD184" s="281"/>
    </row>
    <row r="185">
      <c r="A185" s="464" t="s">
        <v>312</v>
      </c>
      <c r="B185" s="463"/>
      <c r="C185" s="463"/>
      <c r="D185" s="463"/>
      <c r="E185" s="463"/>
      <c r="F185" s="281"/>
      <c r="G185" s="281"/>
      <c r="H185" s="282"/>
      <c r="I185" s="283"/>
      <c r="J185" s="282"/>
      <c r="K185" s="281"/>
      <c r="L185" s="281"/>
      <c r="M185" s="281"/>
      <c r="N185" s="281"/>
      <c r="O185" s="281"/>
      <c r="P185" s="281"/>
      <c r="Q185" s="281"/>
      <c r="R185" s="281"/>
      <c r="S185" s="281"/>
      <c r="T185" s="281"/>
      <c r="U185" s="281"/>
      <c r="V185" s="281"/>
      <c r="W185" s="281"/>
      <c r="X185" s="281"/>
      <c r="Y185" s="281"/>
      <c r="Z185" s="281"/>
      <c r="AA185" s="281"/>
      <c r="AB185" s="281"/>
      <c r="AC185" s="281"/>
      <c r="AD185" s="281"/>
    </row>
    <row r="186">
      <c r="A186" s="464" t="s">
        <v>313</v>
      </c>
      <c r="B186" s="463"/>
      <c r="C186" s="463"/>
      <c r="D186" s="463"/>
      <c r="E186" s="463"/>
      <c r="F186" s="281"/>
      <c r="G186" s="281"/>
      <c r="H186" s="282"/>
      <c r="I186" s="283"/>
      <c r="J186" s="282"/>
      <c r="K186" s="281"/>
      <c r="L186" s="281"/>
      <c r="M186" s="281"/>
      <c r="N186" s="281"/>
      <c r="O186" s="281"/>
      <c r="P186" s="281"/>
      <c r="Q186" s="281"/>
      <c r="R186" s="281"/>
      <c r="S186" s="281"/>
      <c r="T186" s="281"/>
      <c r="U186" s="281"/>
      <c r="V186" s="281"/>
      <c r="W186" s="281"/>
      <c r="X186" s="281"/>
      <c r="Y186" s="281"/>
      <c r="Z186" s="281"/>
      <c r="AA186" s="281"/>
      <c r="AB186" s="281"/>
      <c r="AC186" s="281"/>
      <c r="AD186" s="281"/>
    </row>
    <row r="187">
      <c r="A187" s="464" t="s">
        <v>314</v>
      </c>
      <c r="B187" s="463"/>
      <c r="C187" s="463"/>
      <c r="D187" s="463"/>
      <c r="E187" s="463"/>
      <c r="F187" s="281"/>
      <c r="G187" s="281"/>
      <c r="H187" s="282"/>
      <c r="I187" s="283"/>
      <c r="J187" s="282"/>
      <c r="K187" s="281"/>
      <c r="L187" s="281"/>
      <c r="M187" s="281"/>
      <c r="N187" s="281"/>
      <c r="O187" s="281"/>
      <c r="P187" s="281"/>
      <c r="Q187" s="281"/>
      <c r="R187" s="281"/>
      <c r="S187" s="281"/>
      <c r="T187" s="281"/>
      <c r="U187" s="281"/>
      <c r="V187" s="281"/>
      <c r="W187" s="281"/>
      <c r="X187" s="281"/>
      <c r="Y187" s="281"/>
      <c r="Z187" s="281"/>
      <c r="AA187" s="281"/>
      <c r="AB187" s="281"/>
      <c r="AC187" s="281"/>
      <c r="AD187" s="281"/>
    </row>
    <row r="188">
      <c r="A188" s="464" t="s">
        <v>315</v>
      </c>
      <c r="B188" s="463"/>
      <c r="C188" s="463"/>
      <c r="D188" s="463"/>
      <c r="E188" s="463"/>
      <c r="F188" s="281"/>
      <c r="G188" s="281"/>
      <c r="H188" s="282"/>
      <c r="I188" s="283"/>
      <c r="J188" s="282"/>
      <c r="K188" s="281"/>
      <c r="L188" s="281"/>
      <c r="M188" s="281"/>
      <c r="N188" s="281"/>
      <c r="O188" s="281"/>
      <c r="P188" s="281"/>
      <c r="Q188" s="281"/>
      <c r="R188" s="281"/>
      <c r="S188" s="281"/>
      <c r="T188" s="281"/>
      <c r="U188" s="281"/>
      <c r="V188" s="281"/>
      <c r="W188" s="281"/>
      <c r="X188" s="281"/>
      <c r="Y188" s="281"/>
      <c r="Z188" s="281"/>
      <c r="AA188" s="281"/>
      <c r="AB188" s="281"/>
      <c r="AC188" s="281"/>
      <c r="AD188" s="281"/>
    </row>
    <row r="189">
      <c r="A189" s="464" t="s">
        <v>316</v>
      </c>
      <c r="B189" s="463"/>
      <c r="C189" s="463"/>
      <c r="D189" s="463"/>
      <c r="E189" s="463"/>
      <c r="F189" s="281"/>
      <c r="G189" s="281"/>
      <c r="H189" s="282"/>
      <c r="I189" s="283"/>
      <c r="J189" s="282"/>
      <c r="K189" s="281"/>
      <c r="L189" s="281"/>
      <c r="M189" s="281"/>
      <c r="N189" s="281"/>
      <c r="O189" s="281"/>
      <c r="P189" s="281"/>
      <c r="Q189" s="281"/>
      <c r="R189" s="281"/>
      <c r="S189" s="281"/>
      <c r="T189" s="281"/>
      <c r="U189" s="281"/>
      <c r="V189" s="281"/>
      <c r="W189" s="281"/>
      <c r="X189" s="281"/>
      <c r="Y189" s="281"/>
      <c r="Z189" s="281"/>
      <c r="AA189" s="281"/>
      <c r="AB189" s="281"/>
      <c r="AC189" s="281"/>
      <c r="AD189" s="281"/>
    </row>
    <row r="190">
      <c r="A190" s="464" t="s">
        <v>317</v>
      </c>
      <c r="B190" s="463"/>
      <c r="C190" s="463"/>
      <c r="D190" s="463"/>
      <c r="E190" s="463"/>
      <c r="F190" s="281"/>
      <c r="G190" s="281"/>
      <c r="H190" s="282"/>
      <c r="I190" s="283"/>
      <c r="J190" s="282"/>
      <c r="K190" s="281"/>
      <c r="L190" s="281"/>
      <c r="M190" s="281"/>
      <c r="N190" s="281"/>
      <c r="O190" s="281"/>
      <c r="P190" s="281"/>
      <c r="Q190" s="281"/>
      <c r="R190" s="281"/>
      <c r="S190" s="281"/>
      <c r="T190" s="281"/>
      <c r="U190" s="281"/>
      <c r="V190" s="281"/>
      <c r="W190" s="281"/>
      <c r="X190" s="281"/>
      <c r="Y190" s="281"/>
      <c r="Z190" s="281"/>
      <c r="AA190" s="281"/>
      <c r="AB190" s="281"/>
      <c r="AC190" s="281"/>
      <c r="AD190" s="281"/>
    </row>
    <row r="191">
      <c r="A191" s="464" t="s">
        <v>318</v>
      </c>
      <c r="B191" s="463"/>
      <c r="C191" s="463"/>
      <c r="D191" s="463"/>
      <c r="E191" s="463"/>
      <c r="F191" s="281"/>
      <c r="G191" s="281"/>
      <c r="H191" s="282"/>
      <c r="I191" s="283"/>
      <c r="J191" s="282"/>
      <c r="K191" s="281"/>
      <c r="L191" s="281"/>
      <c r="M191" s="281"/>
      <c r="N191" s="281"/>
      <c r="O191" s="281"/>
      <c r="P191" s="281"/>
      <c r="Q191" s="281"/>
      <c r="R191" s="281"/>
      <c r="S191" s="281"/>
      <c r="T191" s="281"/>
      <c r="U191" s="281"/>
      <c r="V191" s="281"/>
      <c r="W191" s="281"/>
      <c r="X191" s="281"/>
      <c r="Y191" s="281"/>
      <c r="Z191" s="281"/>
      <c r="AA191" s="281"/>
      <c r="AB191" s="281"/>
      <c r="AC191" s="281"/>
      <c r="AD191" s="281"/>
    </row>
    <row r="192">
      <c r="A192" s="464" t="s">
        <v>319</v>
      </c>
      <c r="B192" s="463"/>
      <c r="C192" s="463"/>
      <c r="D192" s="463"/>
      <c r="E192" s="463"/>
      <c r="F192" s="281"/>
      <c r="G192" s="281"/>
      <c r="H192" s="282"/>
      <c r="I192" s="283"/>
      <c r="J192" s="282"/>
      <c r="K192" s="281"/>
      <c r="L192" s="281"/>
      <c r="M192" s="281"/>
      <c r="N192" s="281"/>
      <c r="O192" s="281"/>
      <c r="P192" s="281"/>
      <c r="Q192" s="281"/>
      <c r="R192" s="281"/>
      <c r="S192" s="281"/>
      <c r="T192" s="281"/>
      <c r="U192" s="281"/>
      <c r="V192" s="281"/>
      <c r="W192" s="281"/>
      <c r="X192" s="281"/>
      <c r="Y192" s="281"/>
      <c r="Z192" s="281"/>
      <c r="AA192" s="281"/>
      <c r="AB192" s="281"/>
      <c r="AC192" s="281"/>
      <c r="AD192" s="281"/>
    </row>
    <row r="193">
      <c r="A193" s="464" t="s">
        <v>320</v>
      </c>
      <c r="B193" s="463"/>
      <c r="C193" s="463"/>
      <c r="D193" s="463"/>
      <c r="E193" s="463"/>
      <c r="F193" s="281"/>
      <c r="G193" s="281"/>
      <c r="H193" s="282"/>
      <c r="I193" s="283"/>
      <c r="J193" s="282"/>
      <c r="K193" s="281"/>
      <c r="L193" s="281"/>
      <c r="M193" s="281"/>
      <c r="N193" s="281"/>
      <c r="O193" s="281"/>
      <c r="P193" s="281"/>
      <c r="Q193" s="281"/>
      <c r="R193" s="281"/>
      <c r="S193" s="281"/>
      <c r="T193" s="281"/>
      <c r="U193" s="281"/>
      <c r="V193" s="281"/>
      <c r="W193" s="281"/>
      <c r="X193" s="281"/>
      <c r="Y193" s="281"/>
      <c r="Z193" s="281"/>
      <c r="AA193" s="281"/>
      <c r="AB193" s="281"/>
      <c r="AC193" s="281"/>
      <c r="AD193" s="281"/>
    </row>
    <row r="194">
      <c r="A194" s="464" t="s">
        <v>321</v>
      </c>
      <c r="B194" s="463"/>
      <c r="C194" s="463"/>
      <c r="D194" s="463"/>
      <c r="E194" s="463"/>
      <c r="F194" s="281"/>
      <c r="G194" s="281"/>
      <c r="H194" s="282"/>
      <c r="I194" s="283"/>
      <c r="J194" s="282"/>
      <c r="K194" s="281"/>
      <c r="L194" s="281"/>
      <c r="M194" s="281"/>
      <c r="N194" s="281"/>
      <c r="O194" s="281"/>
      <c r="P194" s="281"/>
      <c r="Q194" s="281"/>
      <c r="R194" s="281"/>
      <c r="S194" s="281"/>
      <c r="T194" s="281"/>
      <c r="U194" s="281"/>
      <c r="V194" s="281"/>
      <c r="W194" s="281"/>
      <c r="X194" s="281"/>
      <c r="Y194" s="281"/>
      <c r="Z194" s="281"/>
      <c r="AA194" s="281"/>
      <c r="AB194" s="281"/>
      <c r="AC194" s="281"/>
      <c r="AD194" s="281"/>
    </row>
    <row r="195">
      <c r="A195" s="465" t="s">
        <v>322</v>
      </c>
      <c r="B195" s="466"/>
      <c r="C195" s="466"/>
      <c r="D195" s="466"/>
      <c r="E195" s="466"/>
      <c r="F195" s="467"/>
      <c r="G195" s="467"/>
      <c r="H195" s="468"/>
      <c r="I195" s="469"/>
      <c r="J195" s="468"/>
      <c r="K195" s="467"/>
      <c r="L195" s="297"/>
      <c r="M195" s="297"/>
      <c r="N195" s="297"/>
      <c r="O195" s="297"/>
      <c r="P195" s="297"/>
      <c r="Q195" s="297"/>
      <c r="R195" s="297"/>
      <c r="S195" s="297"/>
      <c r="T195" s="297"/>
      <c r="U195" s="297"/>
      <c r="V195" s="297"/>
      <c r="W195" s="297"/>
      <c r="X195" s="297"/>
      <c r="Y195" s="297"/>
      <c r="Z195" s="281"/>
      <c r="AA195" s="281"/>
      <c r="AB195" s="281"/>
      <c r="AC195" s="281"/>
      <c r="AD195" s="281"/>
    </row>
    <row r="196">
      <c r="A196" s="470" t="s">
        <v>323</v>
      </c>
      <c r="B196" s="471"/>
      <c r="C196" s="471"/>
      <c r="D196" s="471"/>
      <c r="E196" s="471"/>
      <c r="F196" s="471"/>
      <c r="G196" s="471"/>
      <c r="H196" s="472"/>
      <c r="I196" s="473"/>
      <c r="J196" s="472"/>
      <c r="K196" s="471"/>
      <c r="L196" s="297"/>
      <c r="M196" s="297"/>
      <c r="N196" s="297"/>
      <c r="O196" s="297"/>
      <c r="P196" s="297"/>
      <c r="Q196" s="297"/>
      <c r="R196" s="297"/>
      <c r="S196" s="297"/>
      <c r="T196" s="297"/>
      <c r="U196" s="297"/>
      <c r="V196" s="297"/>
      <c r="W196" s="297"/>
      <c r="X196" s="297"/>
      <c r="Y196" s="297"/>
      <c r="Z196" s="297"/>
      <c r="AA196" s="297"/>
      <c r="AB196" s="297"/>
      <c r="AC196" s="297"/>
      <c r="AD196" s="297"/>
    </row>
    <row r="197">
      <c r="A197" s="413">
        <v>1.0</v>
      </c>
      <c r="B197" s="474"/>
      <c r="C197" s="475" t="s">
        <v>324</v>
      </c>
      <c r="D197" s="476" t="s">
        <v>325</v>
      </c>
      <c r="E197" s="474"/>
      <c r="F197" s="413" t="s">
        <v>326</v>
      </c>
      <c r="G197" s="476" t="s">
        <v>289</v>
      </c>
      <c r="H197" s="409">
        <v>125000.0</v>
      </c>
      <c r="I197" s="453" t="s">
        <v>16</v>
      </c>
      <c r="J197" s="415">
        <f t="shared" ref="J197:J205" si="37">H197*I197</f>
        <v>125000</v>
      </c>
      <c r="K197" s="409" t="s">
        <v>327</v>
      </c>
      <c r="L197" s="297"/>
      <c r="M197" s="297"/>
      <c r="N197" s="297"/>
      <c r="O197" s="297"/>
      <c r="P197" s="297"/>
      <c r="Q197" s="297"/>
      <c r="R197" s="297"/>
      <c r="S197" s="297"/>
      <c r="T197" s="297"/>
      <c r="U197" s="297"/>
      <c r="V197" s="297"/>
      <c r="W197" s="297"/>
      <c r="X197" s="297"/>
      <c r="Y197" s="297"/>
      <c r="Z197" s="297"/>
      <c r="AA197" s="297"/>
      <c r="AB197" s="297"/>
      <c r="AC197" s="297"/>
      <c r="AD197" s="297"/>
    </row>
    <row r="198">
      <c r="A198" s="413">
        <v>2.0</v>
      </c>
      <c r="B198" s="474"/>
      <c r="C198" s="475" t="s">
        <v>328</v>
      </c>
      <c r="D198" s="476"/>
      <c r="E198" s="474"/>
      <c r="F198" s="413" t="s">
        <v>326</v>
      </c>
      <c r="G198" s="476" t="s">
        <v>289</v>
      </c>
      <c r="H198" s="409">
        <v>25000.0</v>
      </c>
      <c r="I198" s="453" t="s">
        <v>18</v>
      </c>
      <c r="J198" s="415">
        <f t="shared" si="37"/>
        <v>50000</v>
      </c>
      <c r="K198" s="409" t="s">
        <v>327</v>
      </c>
      <c r="L198" s="297"/>
      <c r="M198" s="297"/>
      <c r="N198" s="297"/>
      <c r="O198" s="297"/>
      <c r="P198" s="297"/>
      <c r="Q198" s="297"/>
      <c r="R198" s="297"/>
      <c r="S198" s="297"/>
      <c r="T198" s="297"/>
      <c r="U198" s="297"/>
      <c r="V198" s="297"/>
      <c r="W198" s="297"/>
      <c r="X198" s="297"/>
      <c r="Y198" s="297"/>
      <c r="Z198" s="297"/>
      <c r="AA198" s="297"/>
      <c r="AB198" s="297"/>
      <c r="AC198" s="297"/>
      <c r="AD198" s="297"/>
    </row>
    <row r="199">
      <c r="A199" s="413">
        <v>2.0</v>
      </c>
      <c r="B199" s="474"/>
      <c r="C199" s="475" t="s">
        <v>640</v>
      </c>
      <c r="D199" s="476"/>
      <c r="E199" s="474"/>
      <c r="F199" s="413" t="s">
        <v>326</v>
      </c>
      <c r="G199" s="476" t="s">
        <v>289</v>
      </c>
      <c r="H199" s="409">
        <v>40000.0</v>
      </c>
      <c r="I199" s="453" t="s">
        <v>16</v>
      </c>
      <c r="J199" s="415">
        <f t="shared" si="37"/>
        <v>40000</v>
      </c>
      <c r="K199" s="409" t="s">
        <v>327</v>
      </c>
      <c r="L199" s="297"/>
      <c r="M199" s="297"/>
      <c r="N199" s="297"/>
      <c r="O199" s="297"/>
      <c r="P199" s="297"/>
      <c r="Q199" s="297"/>
      <c r="R199" s="297"/>
      <c r="S199" s="297"/>
      <c r="T199" s="297"/>
      <c r="U199" s="297"/>
      <c r="V199" s="297"/>
      <c r="W199" s="297"/>
      <c r="X199" s="297"/>
      <c r="Y199" s="297"/>
      <c r="Z199" s="297"/>
      <c r="AA199" s="297"/>
      <c r="AB199" s="297"/>
      <c r="AC199" s="297"/>
      <c r="AD199" s="297"/>
    </row>
    <row r="200">
      <c r="A200" s="413">
        <v>4.0</v>
      </c>
      <c r="B200" s="474"/>
      <c r="C200" s="411" t="s">
        <v>329</v>
      </c>
      <c r="D200" s="476"/>
      <c r="E200" s="474"/>
      <c r="F200" s="413" t="s">
        <v>326</v>
      </c>
      <c r="G200" s="476" t="s">
        <v>641</v>
      </c>
      <c r="H200" s="409">
        <v>20000.0</v>
      </c>
      <c r="I200" s="446" t="s">
        <v>16</v>
      </c>
      <c r="J200" s="415">
        <f t="shared" si="37"/>
        <v>20000</v>
      </c>
      <c r="K200" s="409" t="s">
        <v>330</v>
      </c>
      <c r="L200" s="297"/>
      <c r="M200" s="297"/>
      <c r="N200" s="297"/>
      <c r="O200" s="297"/>
      <c r="P200" s="297"/>
      <c r="Q200" s="297"/>
      <c r="R200" s="297"/>
      <c r="S200" s="297"/>
      <c r="T200" s="297"/>
      <c r="U200" s="297"/>
      <c r="V200" s="297"/>
      <c r="W200" s="297"/>
      <c r="X200" s="297"/>
      <c r="Y200" s="297"/>
      <c r="Z200" s="297"/>
      <c r="AA200" s="297"/>
      <c r="AB200" s="297"/>
      <c r="AC200" s="297"/>
      <c r="AD200" s="297"/>
    </row>
    <row r="201">
      <c r="A201" s="413">
        <v>4.0</v>
      </c>
      <c r="B201" s="474"/>
      <c r="C201" s="411" t="s">
        <v>331</v>
      </c>
      <c r="D201" s="476"/>
      <c r="E201" s="474"/>
      <c r="F201" s="413" t="s">
        <v>326</v>
      </c>
      <c r="G201" s="476" t="s">
        <v>641</v>
      </c>
      <c r="H201" s="409">
        <v>10000.0</v>
      </c>
      <c r="I201" s="446" t="s">
        <v>27</v>
      </c>
      <c r="J201" s="415">
        <f t="shared" si="37"/>
        <v>40000</v>
      </c>
      <c r="K201" s="409" t="s">
        <v>330</v>
      </c>
      <c r="L201" s="297"/>
      <c r="M201" s="297"/>
      <c r="N201" s="297"/>
      <c r="O201" s="297"/>
      <c r="P201" s="297"/>
      <c r="Q201" s="297"/>
      <c r="R201" s="297"/>
      <c r="S201" s="297"/>
      <c r="T201" s="297"/>
      <c r="U201" s="297"/>
      <c r="V201" s="297"/>
      <c r="W201" s="297"/>
      <c r="X201" s="297"/>
      <c r="Y201" s="297"/>
      <c r="Z201" s="297"/>
      <c r="AA201" s="297"/>
      <c r="AB201" s="297"/>
      <c r="AC201" s="297"/>
      <c r="AD201" s="297"/>
    </row>
    <row r="202">
      <c r="A202" s="413">
        <v>5.0</v>
      </c>
      <c r="B202" s="474"/>
      <c r="C202" s="475" t="s">
        <v>332</v>
      </c>
      <c r="D202" s="476" t="s">
        <v>333</v>
      </c>
      <c r="E202" s="474"/>
      <c r="F202" s="413" t="s">
        <v>326</v>
      </c>
      <c r="G202" s="476" t="s">
        <v>641</v>
      </c>
      <c r="H202" s="409">
        <v>80000.0</v>
      </c>
      <c r="I202" s="453" t="s">
        <v>16</v>
      </c>
      <c r="J202" s="415">
        <f t="shared" si="37"/>
        <v>80000</v>
      </c>
      <c r="K202" s="409" t="s">
        <v>330</v>
      </c>
      <c r="L202" s="297"/>
      <c r="M202" s="297"/>
      <c r="N202" s="297"/>
      <c r="O202" s="297"/>
      <c r="P202" s="297"/>
      <c r="Q202" s="297"/>
      <c r="R202" s="297"/>
      <c r="S202" s="297"/>
      <c r="T202" s="297"/>
      <c r="U202" s="297"/>
      <c r="V202" s="297"/>
      <c r="W202" s="297"/>
      <c r="X202" s="297"/>
      <c r="Y202" s="297"/>
      <c r="Z202" s="297"/>
      <c r="AA202" s="297"/>
      <c r="AB202" s="297"/>
      <c r="AC202" s="297"/>
      <c r="AD202" s="297"/>
    </row>
    <row r="203">
      <c r="A203" s="413">
        <v>6.0</v>
      </c>
      <c r="B203" s="474"/>
      <c r="C203" s="413" t="s">
        <v>334</v>
      </c>
      <c r="D203" s="413" t="s">
        <v>335</v>
      </c>
      <c r="E203" s="474"/>
      <c r="F203" s="413" t="s">
        <v>326</v>
      </c>
      <c r="G203" s="476" t="s">
        <v>641</v>
      </c>
      <c r="H203" s="409">
        <v>10000.0</v>
      </c>
      <c r="I203" s="422" t="s">
        <v>18</v>
      </c>
      <c r="J203" s="415">
        <f t="shared" si="37"/>
        <v>20000</v>
      </c>
      <c r="K203" s="409" t="s">
        <v>642</v>
      </c>
      <c r="L203" s="297"/>
      <c r="M203" s="297"/>
      <c r="N203" s="297"/>
      <c r="O203" s="297"/>
      <c r="P203" s="297"/>
      <c r="Q203" s="297"/>
      <c r="R203" s="297"/>
      <c r="S203" s="297"/>
      <c r="T203" s="297"/>
      <c r="U203" s="297"/>
      <c r="V203" s="297"/>
      <c r="W203" s="297"/>
      <c r="X203" s="297"/>
      <c r="Y203" s="297"/>
      <c r="Z203" s="297"/>
      <c r="AA203" s="297"/>
      <c r="AB203" s="297"/>
      <c r="AC203" s="297"/>
      <c r="AD203" s="297"/>
    </row>
    <row r="204">
      <c r="A204" s="413">
        <v>4.0</v>
      </c>
      <c r="B204" s="474"/>
      <c r="C204" s="411" t="s">
        <v>643</v>
      </c>
      <c r="D204" s="476"/>
      <c r="E204" s="474"/>
      <c r="F204" s="413" t="s">
        <v>326</v>
      </c>
      <c r="G204" s="476" t="s">
        <v>641</v>
      </c>
      <c r="H204" s="409">
        <v>10000.0</v>
      </c>
      <c r="I204" s="446" t="s">
        <v>16</v>
      </c>
      <c r="J204" s="415">
        <f t="shared" si="37"/>
        <v>10000</v>
      </c>
      <c r="K204" s="409" t="s">
        <v>644</v>
      </c>
      <c r="L204" s="297"/>
      <c r="M204" s="297"/>
      <c r="N204" s="297"/>
      <c r="O204" s="297"/>
      <c r="P204" s="297"/>
      <c r="Q204" s="297"/>
      <c r="R204" s="297"/>
      <c r="S204" s="297"/>
      <c r="T204" s="297"/>
      <c r="U204" s="297"/>
      <c r="V204" s="297"/>
      <c r="W204" s="297"/>
      <c r="X204" s="297"/>
      <c r="Y204" s="297"/>
      <c r="Z204" s="297"/>
      <c r="AA204" s="297"/>
      <c r="AB204" s="297"/>
      <c r="AC204" s="297"/>
      <c r="AD204" s="297"/>
    </row>
    <row r="205">
      <c r="A205" s="413">
        <v>6.0</v>
      </c>
      <c r="B205" s="474"/>
      <c r="C205" s="413" t="s">
        <v>645</v>
      </c>
      <c r="D205" s="413"/>
      <c r="E205" s="474"/>
      <c r="F205" s="413" t="s">
        <v>326</v>
      </c>
      <c r="G205" s="476" t="s">
        <v>641</v>
      </c>
      <c r="H205" s="409">
        <v>15000.0</v>
      </c>
      <c r="I205" s="422" t="s">
        <v>18</v>
      </c>
      <c r="J205" s="415">
        <f t="shared" si="37"/>
        <v>30000</v>
      </c>
      <c r="K205" s="409" t="s">
        <v>646</v>
      </c>
      <c r="L205" s="297"/>
      <c r="M205" s="297"/>
      <c r="N205" s="297"/>
      <c r="O205" s="297"/>
      <c r="P205" s="297"/>
      <c r="Q205" s="297"/>
      <c r="R205" s="297"/>
      <c r="S205" s="297"/>
      <c r="T205" s="297"/>
      <c r="U205" s="297"/>
      <c r="V205" s="297"/>
      <c r="W205" s="297"/>
      <c r="X205" s="297"/>
      <c r="Y205" s="297"/>
      <c r="Z205" s="297"/>
      <c r="AA205" s="297"/>
      <c r="AB205" s="297"/>
      <c r="AC205" s="297"/>
      <c r="AD205" s="297"/>
    </row>
    <row r="206">
      <c r="A206" s="477"/>
      <c r="B206" s="474"/>
      <c r="C206" s="474"/>
      <c r="D206" s="474"/>
      <c r="E206" s="474"/>
      <c r="F206" s="474"/>
      <c r="G206" s="474"/>
      <c r="H206" s="409"/>
      <c r="I206" s="478" t="s">
        <v>125</v>
      </c>
      <c r="J206" s="479">
        <f>SUM(J197:J205)</f>
        <v>415000</v>
      </c>
      <c r="K206" s="474"/>
      <c r="L206" s="297"/>
      <c r="M206" s="297"/>
      <c r="N206" s="297"/>
      <c r="O206" s="297"/>
      <c r="P206" s="297"/>
      <c r="Q206" s="297"/>
      <c r="R206" s="297"/>
      <c r="S206" s="297"/>
      <c r="T206" s="297"/>
      <c r="U206" s="297"/>
      <c r="V206" s="297"/>
      <c r="W206" s="297"/>
      <c r="X206" s="297"/>
      <c r="Y206" s="297"/>
      <c r="Z206" s="297"/>
      <c r="AA206" s="297"/>
      <c r="AB206" s="297"/>
      <c r="AC206" s="297"/>
      <c r="AD206" s="297"/>
    </row>
    <row r="207">
      <c r="A207" s="424" t="s">
        <v>337</v>
      </c>
      <c r="B207" s="323"/>
      <c r="C207" s="323"/>
      <c r="D207" s="323"/>
      <c r="E207" s="323"/>
      <c r="F207" s="323"/>
      <c r="G207" s="323"/>
      <c r="H207" s="324"/>
      <c r="I207" s="460"/>
      <c r="J207" s="461"/>
      <c r="K207" s="323"/>
      <c r="L207" s="281"/>
      <c r="M207" s="281"/>
      <c r="N207" s="281"/>
      <c r="O207" s="281"/>
      <c r="P207" s="281"/>
      <c r="Q207" s="281"/>
      <c r="R207" s="281"/>
      <c r="S207" s="281"/>
      <c r="T207" s="281"/>
      <c r="U207" s="281"/>
      <c r="V207" s="281"/>
      <c r="W207" s="281"/>
      <c r="X207" s="281"/>
      <c r="Y207" s="281"/>
      <c r="Z207" s="281"/>
      <c r="AA207" s="281"/>
      <c r="AB207" s="281"/>
      <c r="AC207" s="281"/>
      <c r="AD207" s="281"/>
    </row>
    <row r="208">
      <c r="A208" s="419">
        <v>1.0</v>
      </c>
      <c r="B208" s="457"/>
      <c r="C208" s="413" t="s">
        <v>338</v>
      </c>
      <c r="D208" s="480"/>
      <c r="E208" s="480"/>
      <c r="F208" s="480"/>
      <c r="G208" s="481" t="s">
        <v>339</v>
      </c>
      <c r="H208" s="482">
        <v>200000.0</v>
      </c>
      <c r="I208" s="453" t="s">
        <v>16</v>
      </c>
      <c r="J208" s="483">
        <f>(H208*I208)</f>
        <v>200000</v>
      </c>
      <c r="K208" s="62" t="s">
        <v>145</v>
      </c>
      <c r="L208" s="281"/>
      <c r="M208" s="281"/>
      <c r="N208" s="281"/>
      <c r="O208" s="281"/>
      <c r="P208" s="281"/>
      <c r="Q208" s="281"/>
      <c r="R208" s="281"/>
      <c r="S208" s="281"/>
      <c r="T208" s="281"/>
      <c r="U208" s="281"/>
      <c r="V208" s="281"/>
      <c r="W208" s="281"/>
      <c r="X208" s="281"/>
      <c r="Y208" s="281"/>
      <c r="Z208" s="281"/>
      <c r="AA208" s="281"/>
      <c r="AB208" s="281"/>
      <c r="AC208" s="281"/>
      <c r="AD208" s="281"/>
    </row>
    <row r="209">
      <c r="A209" s="484">
        <v>2.0</v>
      </c>
      <c r="B209" s="147"/>
      <c r="C209" s="485" t="s">
        <v>581</v>
      </c>
      <c r="D209" s="484" t="s">
        <v>341</v>
      </c>
      <c r="E209" s="147"/>
      <c r="F209" s="147"/>
      <c r="G209" s="485" t="s">
        <v>175</v>
      </c>
      <c r="H209" s="486">
        <v>120.0</v>
      </c>
      <c r="I209" s="487" t="s">
        <v>146</v>
      </c>
      <c r="J209" s="155">
        <f t="shared" ref="J209:J211" si="38">H209*I209</f>
        <v>200760</v>
      </c>
      <c r="K209" s="484" t="s">
        <v>145</v>
      </c>
      <c r="L209" s="148"/>
      <c r="M209" s="148"/>
      <c r="N209" s="148"/>
      <c r="O209" s="148"/>
      <c r="P209" s="148"/>
      <c r="Q209" s="148"/>
      <c r="R209" s="148"/>
      <c r="S209" s="148"/>
      <c r="T209" s="148"/>
      <c r="U209" s="148"/>
      <c r="V209" s="148"/>
      <c r="W209" s="148"/>
      <c r="X209" s="148"/>
      <c r="Y209" s="148"/>
      <c r="Z209" s="148"/>
      <c r="AA209" s="148"/>
      <c r="AB209" s="148"/>
      <c r="AC209" s="148"/>
      <c r="AD209" s="148"/>
    </row>
    <row r="210">
      <c r="A210" s="419">
        <v>3.0</v>
      </c>
      <c r="B210" s="147"/>
      <c r="C210" s="485" t="s">
        <v>340</v>
      </c>
      <c r="D210" s="485" t="s">
        <v>647</v>
      </c>
      <c r="E210" s="147"/>
      <c r="F210" s="147"/>
      <c r="G210" s="485" t="s">
        <v>175</v>
      </c>
      <c r="H210" s="486">
        <v>100.0</v>
      </c>
      <c r="I210" s="487" t="s">
        <v>648</v>
      </c>
      <c r="J210" s="155">
        <f t="shared" si="38"/>
        <v>211500</v>
      </c>
      <c r="K210" s="484" t="s">
        <v>343</v>
      </c>
      <c r="L210" s="148"/>
      <c r="M210" s="148"/>
      <c r="N210" s="148"/>
      <c r="O210" s="148"/>
      <c r="P210" s="148"/>
      <c r="Q210" s="148"/>
      <c r="R210" s="148"/>
      <c r="S210" s="148"/>
      <c r="T210" s="148"/>
      <c r="U210" s="148"/>
      <c r="V210" s="148"/>
      <c r="W210" s="148"/>
      <c r="X210" s="148"/>
      <c r="Y210" s="148"/>
      <c r="Z210" s="148"/>
      <c r="AA210" s="148"/>
      <c r="AB210" s="148"/>
      <c r="AC210" s="148"/>
      <c r="AD210" s="148"/>
    </row>
    <row r="211">
      <c r="A211" s="484">
        <v>4.0</v>
      </c>
      <c r="B211" s="147"/>
      <c r="C211" s="485" t="s">
        <v>345</v>
      </c>
      <c r="D211" s="484" t="s">
        <v>346</v>
      </c>
      <c r="E211" s="488" t="s">
        <v>347</v>
      </c>
      <c r="F211" s="147"/>
      <c r="G211" s="485" t="s">
        <v>175</v>
      </c>
      <c r="H211" s="486">
        <v>400.0</v>
      </c>
      <c r="I211" s="487" t="s">
        <v>348</v>
      </c>
      <c r="J211" s="155">
        <f t="shared" si="38"/>
        <v>40000</v>
      </c>
      <c r="K211" s="484" t="s">
        <v>349</v>
      </c>
      <c r="L211" s="148"/>
      <c r="M211" s="148"/>
      <c r="N211" s="148"/>
      <c r="O211" s="148"/>
      <c r="P211" s="148"/>
      <c r="Q211" s="148"/>
      <c r="R211" s="148"/>
      <c r="S211" s="148"/>
      <c r="T211" s="148"/>
      <c r="U211" s="148"/>
      <c r="V211" s="148"/>
      <c r="W211" s="148"/>
      <c r="X211" s="148"/>
      <c r="Y211" s="148"/>
      <c r="Z211" s="148"/>
      <c r="AA211" s="148"/>
      <c r="AB211" s="148"/>
      <c r="AC211" s="148"/>
      <c r="AD211" s="148"/>
    </row>
    <row r="212">
      <c r="A212" s="419">
        <v>5.0</v>
      </c>
      <c r="B212" s="489"/>
      <c r="C212" s="397" t="s">
        <v>350</v>
      </c>
      <c r="D212" s="490" t="s">
        <v>351</v>
      </c>
      <c r="E212" s="491" t="s">
        <v>352</v>
      </c>
      <c r="F212" s="492" t="s">
        <v>353</v>
      </c>
      <c r="G212" s="396">
        <v>400.0</v>
      </c>
      <c r="H212" s="493"/>
      <c r="I212" s="494">
        <v>25.0</v>
      </c>
      <c r="J212" s="495">
        <f>I212*G212</f>
        <v>10000</v>
      </c>
      <c r="K212" s="395" t="s">
        <v>352</v>
      </c>
      <c r="L212" s="496"/>
      <c r="M212" s="346"/>
      <c r="N212" s="346"/>
      <c r="O212" s="346"/>
      <c r="P212" s="346"/>
      <c r="Q212" s="346"/>
      <c r="R212" s="346"/>
      <c r="S212" s="346"/>
      <c r="T212" s="346"/>
      <c r="U212" s="346"/>
      <c r="V212" s="346"/>
      <c r="W212" s="346"/>
      <c r="X212" s="346"/>
      <c r="Y212" s="346"/>
      <c r="Z212" s="346"/>
      <c r="AA212" s="346"/>
      <c r="AB212" s="346"/>
      <c r="AC212" s="346"/>
      <c r="AD212" s="346"/>
    </row>
    <row r="213">
      <c r="A213" s="484">
        <v>6.0</v>
      </c>
      <c r="B213" s="497"/>
      <c r="C213" s="498" t="s">
        <v>355</v>
      </c>
      <c r="D213" s="499"/>
      <c r="E213" s="497"/>
      <c r="F213" s="497"/>
      <c r="G213" s="500" t="s">
        <v>339</v>
      </c>
      <c r="H213" s="501">
        <v>550000.0</v>
      </c>
      <c r="I213" s="421" t="s">
        <v>16</v>
      </c>
      <c r="J213" s="483">
        <f t="shared" ref="J213:J220" si="39">(H213*I213)</f>
        <v>550000</v>
      </c>
      <c r="K213" s="484" t="s">
        <v>357</v>
      </c>
      <c r="L213" s="148"/>
      <c r="M213" s="148"/>
      <c r="N213" s="148"/>
      <c r="O213" s="148"/>
      <c r="P213" s="148"/>
      <c r="Q213" s="148"/>
      <c r="R213" s="148"/>
      <c r="S213" s="148"/>
      <c r="T213" s="148"/>
      <c r="U213" s="148"/>
      <c r="V213" s="148"/>
      <c r="W213" s="148"/>
      <c r="X213" s="148"/>
      <c r="Y213" s="148"/>
      <c r="Z213" s="148"/>
      <c r="AA213" s="148"/>
      <c r="AB213" s="148"/>
      <c r="AC213" s="148"/>
      <c r="AD213" s="148"/>
    </row>
    <row r="214">
      <c r="A214" s="419">
        <v>7.0</v>
      </c>
      <c r="B214" s="497"/>
      <c r="C214" s="498" t="s">
        <v>649</v>
      </c>
      <c r="D214" s="502"/>
      <c r="E214" s="497"/>
      <c r="F214" s="497"/>
      <c r="G214" s="500" t="s">
        <v>339</v>
      </c>
      <c r="H214" s="503">
        <v>75000.0</v>
      </c>
      <c r="I214" s="504" t="s">
        <v>18</v>
      </c>
      <c r="J214" s="505">
        <f t="shared" si="39"/>
        <v>150000</v>
      </c>
      <c r="K214" s="484" t="s">
        <v>360</v>
      </c>
      <c r="L214" s="148"/>
      <c r="M214" s="148"/>
      <c r="N214" s="148"/>
      <c r="O214" s="148"/>
      <c r="P214" s="148"/>
      <c r="Q214" s="148"/>
      <c r="R214" s="148"/>
      <c r="S214" s="148"/>
      <c r="T214" s="148"/>
      <c r="U214" s="148"/>
      <c r="V214" s="148"/>
      <c r="W214" s="148"/>
      <c r="X214" s="148"/>
      <c r="Y214" s="148"/>
      <c r="Z214" s="148"/>
      <c r="AA214" s="148"/>
      <c r="AB214" s="148"/>
      <c r="AC214" s="148"/>
      <c r="AD214" s="148"/>
    </row>
    <row r="215">
      <c r="A215" s="484">
        <v>8.0</v>
      </c>
      <c r="B215" s="497"/>
      <c r="C215" s="498" t="s">
        <v>650</v>
      </c>
      <c r="D215" s="502"/>
      <c r="E215" s="497"/>
      <c r="F215" s="497"/>
      <c r="G215" s="500" t="s">
        <v>339</v>
      </c>
      <c r="H215" s="503">
        <v>50000.0</v>
      </c>
      <c r="I215" s="504" t="s">
        <v>27</v>
      </c>
      <c r="J215" s="505">
        <f t="shared" si="39"/>
        <v>200000</v>
      </c>
      <c r="K215" s="484" t="s">
        <v>361</v>
      </c>
      <c r="L215" s="148"/>
      <c r="M215" s="148"/>
      <c r="N215" s="148"/>
      <c r="O215" s="148"/>
      <c r="P215" s="148"/>
      <c r="Q215" s="148"/>
      <c r="R215" s="148"/>
      <c r="S215" s="148"/>
      <c r="T215" s="148"/>
      <c r="U215" s="148"/>
      <c r="V215" s="148"/>
      <c r="W215" s="148"/>
      <c r="X215" s="148"/>
      <c r="Y215" s="148"/>
      <c r="Z215" s="148"/>
      <c r="AA215" s="148"/>
      <c r="AB215" s="148"/>
      <c r="AC215" s="148"/>
      <c r="AD215" s="148"/>
    </row>
    <row r="216">
      <c r="A216" s="419">
        <v>9.0</v>
      </c>
      <c r="B216" s="497"/>
      <c r="C216" s="498" t="s">
        <v>651</v>
      </c>
      <c r="D216" s="502"/>
      <c r="E216" s="497"/>
      <c r="F216" s="497"/>
      <c r="G216" s="500" t="s">
        <v>339</v>
      </c>
      <c r="H216" s="501">
        <v>25000.0</v>
      </c>
      <c r="I216" s="421" t="s">
        <v>27</v>
      </c>
      <c r="J216" s="483">
        <f t="shared" si="39"/>
        <v>100000</v>
      </c>
      <c r="K216" s="484" t="s">
        <v>361</v>
      </c>
      <c r="L216" s="148"/>
      <c r="M216" s="148"/>
      <c r="N216" s="148"/>
      <c r="O216" s="148"/>
      <c r="P216" s="148"/>
      <c r="Q216" s="148"/>
      <c r="R216" s="148"/>
      <c r="S216" s="148"/>
      <c r="T216" s="148"/>
      <c r="U216" s="148"/>
      <c r="V216" s="148"/>
      <c r="W216" s="148"/>
      <c r="X216" s="148"/>
      <c r="Y216" s="148"/>
      <c r="Z216" s="148"/>
      <c r="AA216" s="148"/>
      <c r="AB216" s="148"/>
      <c r="AC216" s="148"/>
      <c r="AD216" s="148"/>
    </row>
    <row r="217">
      <c r="A217" s="484">
        <v>10.0</v>
      </c>
      <c r="B217" s="457"/>
      <c r="C217" s="419" t="s">
        <v>363</v>
      </c>
      <c r="D217" s="474"/>
      <c r="E217" s="474"/>
      <c r="F217" s="474"/>
      <c r="G217" s="500" t="s">
        <v>339</v>
      </c>
      <c r="H217" s="501">
        <v>200000.0</v>
      </c>
      <c r="I217" s="421" t="s">
        <v>16</v>
      </c>
      <c r="J217" s="483">
        <f t="shared" si="39"/>
        <v>200000</v>
      </c>
      <c r="K217" s="62" t="s">
        <v>145</v>
      </c>
      <c r="L217" s="281"/>
      <c r="M217" s="281"/>
      <c r="N217" s="281"/>
      <c r="O217" s="281"/>
      <c r="P217" s="281"/>
      <c r="Q217" s="281"/>
      <c r="R217" s="281"/>
      <c r="S217" s="281"/>
      <c r="T217" s="281"/>
      <c r="U217" s="281"/>
      <c r="V217" s="281"/>
      <c r="W217" s="281"/>
      <c r="X217" s="281"/>
      <c r="Y217" s="281"/>
      <c r="Z217" s="281"/>
      <c r="AA217" s="281"/>
      <c r="AB217" s="281"/>
      <c r="AC217" s="281"/>
      <c r="AD217" s="281"/>
    </row>
    <row r="218">
      <c r="A218" s="419">
        <v>11.0</v>
      </c>
      <c r="B218" s="457"/>
      <c r="C218" s="506" t="s">
        <v>652</v>
      </c>
      <c r="D218" s="500" t="s">
        <v>653</v>
      </c>
      <c r="E218" s="474"/>
      <c r="F218" s="474"/>
      <c r="G218" s="500" t="s">
        <v>339</v>
      </c>
      <c r="H218" s="501">
        <v>125000.0</v>
      </c>
      <c r="I218" s="421" t="s">
        <v>16</v>
      </c>
      <c r="J218" s="483">
        <f t="shared" si="39"/>
        <v>125000</v>
      </c>
      <c r="K218" s="62" t="s">
        <v>145</v>
      </c>
      <c r="L218" s="507"/>
      <c r="M218" s="281"/>
      <c r="N218" s="281"/>
      <c r="O218" s="281"/>
      <c r="P218" s="281"/>
      <c r="Q218" s="281"/>
      <c r="R218" s="281"/>
      <c r="S218" s="281"/>
      <c r="T218" s="281"/>
      <c r="U218" s="281"/>
      <c r="V218" s="281"/>
      <c r="W218" s="281"/>
      <c r="X218" s="281"/>
      <c r="Y218" s="281"/>
      <c r="Z218" s="281"/>
      <c r="AA218" s="281"/>
      <c r="AB218" s="281"/>
      <c r="AC218" s="281"/>
      <c r="AD218" s="281"/>
    </row>
    <row r="219">
      <c r="A219" s="484">
        <v>12.0</v>
      </c>
      <c r="B219" s="457"/>
      <c r="C219" s="413" t="s">
        <v>365</v>
      </c>
      <c r="D219" s="480"/>
      <c r="E219" s="480"/>
      <c r="F219" s="508" t="s">
        <v>366</v>
      </c>
      <c r="G219" s="476" t="s">
        <v>367</v>
      </c>
      <c r="H219" s="482">
        <v>800.0</v>
      </c>
      <c r="I219" s="453" t="s">
        <v>368</v>
      </c>
      <c r="J219" s="483">
        <f t="shared" si="39"/>
        <v>49600</v>
      </c>
      <c r="K219" s="62" t="s">
        <v>369</v>
      </c>
      <c r="L219" s="281"/>
      <c r="M219" s="281"/>
      <c r="N219" s="281"/>
      <c r="O219" s="281"/>
      <c r="P219" s="281"/>
      <c r="Q219" s="281"/>
      <c r="R219" s="281"/>
      <c r="S219" s="281"/>
      <c r="T219" s="281"/>
      <c r="U219" s="281"/>
      <c r="V219" s="281"/>
      <c r="W219" s="281"/>
      <c r="X219" s="281"/>
      <c r="Y219" s="281"/>
      <c r="Z219" s="281"/>
      <c r="AA219" s="281"/>
      <c r="AB219" s="281"/>
      <c r="AC219" s="281"/>
      <c r="AD219" s="281"/>
    </row>
    <row r="220">
      <c r="A220" s="419">
        <v>13.0</v>
      </c>
      <c r="B220" s="457"/>
      <c r="C220" s="413" t="s">
        <v>654</v>
      </c>
      <c r="D220" s="480"/>
      <c r="E220" s="480"/>
      <c r="F220" s="508"/>
      <c r="G220" s="476" t="s">
        <v>367</v>
      </c>
      <c r="H220" s="509">
        <v>50.0</v>
      </c>
      <c r="I220" s="453">
        <f>10.5+9+9+4.5+7.5+4+13*9</f>
        <v>161.5</v>
      </c>
      <c r="J220" s="483">
        <f t="shared" si="39"/>
        <v>8075</v>
      </c>
      <c r="K220" s="62" t="s">
        <v>655</v>
      </c>
      <c r="L220" s="281"/>
      <c r="M220" s="281"/>
      <c r="N220" s="281"/>
      <c r="O220" s="281"/>
      <c r="P220" s="281"/>
      <c r="Q220" s="281"/>
      <c r="R220" s="281"/>
      <c r="S220" s="281"/>
      <c r="T220" s="281"/>
      <c r="U220" s="281"/>
      <c r="V220" s="281"/>
      <c r="W220" s="281"/>
      <c r="X220" s="281"/>
      <c r="Y220" s="281"/>
      <c r="Z220" s="281"/>
      <c r="AA220" s="281"/>
      <c r="AB220" s="281"/>
      <c r="AC220" s="281"/>
      <c r="AD220" s="281"/>
    </row>
    <row r="221">
      <c r="A221" s="484"/>
      <c r="B221" s="457"/>
      <c r="C221" s="457"/>
      <c r="D221" s="457"/>
      <c r="E221" s="457"/>
      <c r="F221" s="457"/>
      <c r="G221" s="457"/>
      <c r="H221" s="415"/>
      <c r="I221" s="369" t="s">
        <v>125</v>
      </c>
      <c r="J221" s="479">
        <f>SUM(J208:J220)</f>
        <v>2044935</v>
      </c>
      <c r="K221" s="67"/>
      <c r="L221" s="281"/>
      <c r="M221" s="281"/>
      <c r="N221" s="281"/>
      <c r="O221" s="281"/>
      <c r="P221" s="281"/>
      <c r="Q221" s="281"/>
      <c r="R221" s="281"/>
      <c r="S221" s="281"/>
      <c r="T221" s="281"/>
      <c r="U221" s="281"/>
      <c r="V221" s="281"/>
      <c r="W221" s="281"/>
      <c r="X221" s="281"/>
      <c r="Y221" s="281"/>
      <c r="Z221" s="281"/>
      <c r="AA221" s="281"/>
      <c r="AB221" s="281"/>
      <c r="AC221" s="281"/>
      <c r="AD221" s="281"/>
    </row>
    <row r="222">
      <c r="A222" s="281"/>
      <c r="B222" s="281"/>
      <c r="C222" s="281"/>
      <c r="D222" s="281"/>
      <c r="E222" s="281"/>
      <c r="F222" s="281"/>
      <c r="G222" s="281"/>
      <c r="H222" s="282"/>
      <c r="I222" s="283"/>
      <c r="J222" s="282"/>
      <c r="K222" s="281"/>
      <c r="L222" s="281"/>
      <c r="M222" s="281"/>
      <c r="N222" s="281"/>
      <c r="O222" s="281"/>
      <c r="P222" s="281"/>
      <c r="Q222" s="281"/>
      <c r="R222" s="281"/>
      <c r="S222" s="281"/>
      <c r="T222" s="281"/>
      <c r="U222" s="281"/>
      <c r="V222" s="281"/>
      <c r="W222" s="281"/>
      <c r="X222" s="281"/>
      <c r="Y222" s="281"/>
      <c r="Z222" s="281"/>
      <c r="AA222" s="281"/>
      <c r="AB222" s="281"/>
      <c r="AC222" s="281"/>
      <c r="AD222" s="281"/>
    </row>
    <row r="223">
      <c r="A223" s="281"/>
      <c r="B223" s="281"/>
      <c r="C223" s="295"/>
      <c r="D223" s="297"/>
      <c r="E223" s="295"/>
      <c r="F223" s="297"/>
      <c r="G223" s="281"/>
      <c r="H223" s="282"/>
      <c r="I223" s="283"/>
      <c r="J223" s="282"/>
      <c r="K223" s="281"/>
      <c r="L223" s="281"/>
      <c r="M223" s="281"/>
      <c r="N223" s="281"/>
      <c r="O223" s="281"/>
      <c r="P223" s="281"/>
      <c r="Q223" s="281"/>
      <c r="R223" s="281"/>
      <c r="S223" s="281"/>
      <c r="T223" s="281"/>
      <c r="U223" s="281"/>
      <c r="V223" s="281"/>
      <c r="W223" s="281"/>
      <c r="X223" s="281"/>
      <c r="Y223" s="281"/>
      <c r="Z223" s="281"/>
      <c r="AA223" s="281"/>
      <c r="AB223" s="281"/>
      <c r="AC223" s="281"/>
      <c r="AD223" s="281"/>
    </row>
    <row r="224">
      <c r="A224" s="281"/>
      <c r="B224" s="281"/>
      <c r="C224" s="427"/>
      <c r="D224" s="297"/>
      <c r="E224" s="295"/>
      <c r="F224" s="297"/>
      <c r="G224" s="281"/>
      <c r="H224" s="282"/>
      <c r="I224" s="283"/>
      <c r="J224" s="282"/>
      <c r="K224" s="281"/>
      <c r="L224" s="281"/>
      <c r="M224" s="281"/>
      <c r="N224" s="281"/>
      <c r="O224" s="281"/>
      <c r="P224" s="281"/>
      <c r="Q224" s="281"/>
      <c r="R224" s="281"/>
      <c r="S224" s="281"/>
      <c r="T224" s="281"/>
      <c r="U224" s="281"/>
      <c r="V224" s="281"/>
      <c r="W224" s="281"/>
      <c r="X224" s="281"/>
      <c r="Y224" s="281"/>
      <c r="Z224" s="281"/>
      <c r="AA224" s="281"/>
      <c r="AB224" s="281"/>
      <c r="AC224" s="281"/>
      <c r="AD224" s="281"/>
    </row>
    <row r="225">
      <c r="A225" s="281"/>
      <c r="B225" s="281"/>
      <c r="C225" s="295"/>
      <c r="D225" s="297"/>
      <c r="E225" s="295"/>
      <c r="F225" s="297"/>
      <c r="G225" s="281"/>
      <c r="H225" s="282"/>
      <c r="I225" s="283"/>
      <c r="J225" s="282"/>
      <c r="K225" s="281"/>
      <c r="L225" s="281"/>
      <c r="M225" s="281"/>
      <c r="N225" s="281"/>
      <c r="O225" s="281"/>
      <c r="P225" s="281"/>
      <c r="Q225" s="281"/>
      <c r="R225" s="281"/>
      <c r="S225" s="281"/>
      <c r="T225" s="281"/>
      <c r="U225" s="281"/>
      <c r="V225" s="281"/>
      <c r="W225" s="281"/>
      <c r="X225" s="281"/>
      <c r="Y225" s="281"/>
      <c r="Z225" s="281"/>
      <c r="AA225" s="281"/>
      <c r="AB225" s="281"/>
      <c r="AC225" s="281"/>
      <c r="AD225" s="281"/>
    </row>
    <row r="226">
      <c r="A226" s="281"/>
      <c r="B226" s="281"/>
      <c r="C226" s="295"/>
      <c r="D226" s="297"/>
      <c r="E226" s="295"/>
      <c r="F226" s="297"/>
      <c r="G226" s="281"/>
      <c r="H226" s="282"/>
      <c r="I226" s="283"/>
      <c r="J226" s="282"/>
      <c r="K226" s="281"/>
      <c r="L226" s="281"/>
      <c r="M226" s="281"/>
      <c r="N226" s="281"/>
      <c r="O226" s="281"/>
      <c r="P226" s="281"/>
      <c r="Q226" s="281"/>
      <c r="R226" s="281"/>
      <c r="S226" s="281"/>
      <c r="T226" s="281"/>
      <c r="U226" s="281"/>
      <c r="V226" s="281"/>
      <c r="W226" s="281"/>
      <c r="X226" s="281"/>
      <c r="Y226" s="281"/>
      <c r="Z226" s="281"/>
      <c r="AA226" s="281"/>
      <c r="AB226" s="281"/>
      <c r="AC226" s="281"/>
      <c r="AD226" s="281"/>
    </row>
    <row r="227">
      <c r="A227" s="281"/>
      <c r="B227" s="281"/>
      <c r="C227" s="297"/>
      <c r="D227" s="297"/>
      <c r="E227" s="295"/>
      <c r="F227" s="297"/>
      <c r="G227" s="281"/>
      <c r="H227" s="282"/>
      <c r="I227" s="283"/>
      <c r="J227" s="282"/>
      <c r="K227" s="281"/>
      <c r="L227" s="281"/>
      <c r="M227" s="281"/>
      <c r="N227" s="281"/>
      <c r="O227" s="281"/>
      <c r="P227" s="281"/>
      <c r="Q227" s="281"/>
      <c r="R227" s="281"/>
      <c r="S227" s="281"/>
      <c r="T227" s="281"/>
      <c r="U227" s="281"/>
      <c r="V227" s="281"/>
      <c r="W227" s="281"/>
      <c r="X227" s="281"/>
      <c r="Y227" s="281"/>
      <c r="Z227" s="281"/>
      <c r="AA227" s="281"/>
      <c r="AB227" s="281"/>
      <c r="AC227" s="281"/>
      <c r="AD227" s="281"/>
    </row>
    <row r="228">
      <c r="A228" s="281"/>
      <c r="B228" s="281"/>
      <c r="C228" s="297"/>
      <c r="D228" s="297"/>
      <c r="E228" s="295"/>
      <c r="F228" s="297"/>
      <c r="G228" s="281"/>
      <c r="H228" s="282"/>
      <c r="I228" s="283"/>
      <c r="J228" s="282"/>
      <c r="K228" s="281"/>
      <c r="L228" s="281"/>
      <c r="M228" s="281"/>
      <c r="N228" s="281"/>
      <c r="O228" s="281"/>
      <c r="P228" s="281"/>
      <c r="Q228" s="281"/>
      <c r="R228" s="281"/>
      <c r="S228" s="281"/>
      <c r="T228" s="281"/>
      <c r="U228" s="281"/>
      <c r="V228" s="281"/>
      <c r="W228" s="281"/>
      <c r="X228" s="281"/>
      <c r="Y228" s="281"/>
      <c r="Z228" s="281"/>
      <c r="AA228" s="281"/>
      <c r="AB228" s="281"/>
      <c r="AC228" s="281"/>
      <c r="AD228" s="281"/>
    </row>
    <row r="229">
      <c r="A229" s="281"/>
      <c r="B229" s="281"/>
      <c r="C229" s="297"/>
      <c r="D229" s="297"/>
      <c r="E229" s="297"/>
      <c r="F229" s="297"/>
      <c r="G229" s="281"/>
      <c r="H229" s="282"/>
      <c r="I229" s="283"/>
      <c r="J229" s="282"/>
      <c r="K229" s="281"/>
      <c r="L229" s="281"/>
      <c r="M229" s="281"/>
      <c r="N229" s="281"/>
      <c r="O229" s="281"/>
      <c r="P229" s="281"/>
      <c r="Q229" s="281"/>
      <c r="R229" s="281"/>
      <c r="S229" s="281"/>
      <c r="T229" s="281"/>
      <c r="U229" s="281"/>
      <c r="V229" s="281"/>
      <c r="W229" s="281"/>
      <c r="X229" s="281"/>
      <c r="Y229" s="281"/>
      <c r="Z229" s="281"/>
      <c r="AA229" s="281"/>
      <c r="AB229" s="281"/>
      <c r="AC229" s="281"/>
      <c r="AD229" s="281"/>
    </row>
    <row r="230">
      <c r="A230" s="281"/>
      <c r="B230" s="281"/>
      <c r="C230" s="295"/>
      <c r="D230" s="297"/>
      <c r="E230" s="295"/>
      <c r="F230" s="297"/>
      <c r="G230" s="281"/>
      <c r="H230" s="282"/>
      <c r="I230" s="283"/>
      <c r="J230" s="282"/>
      <c r="K230" s="281"/>
      <c r="L230" s="281"/>
      <c r="M230" s="281"/>
      <c r="N230" s="281"/>
      <c r="O230" s="281"/>
      <c r="P230" s="281"/>
      <c r="Q230" s="281"/>
      <c r="R230" s="281"/>
      <c r="S230" s="281"/>
      <c r="T230" s="281"/>
      <c r="U230" s="281"/>
      <c r="V230" s="281"/>
      <c r="W230" s="281"/>
      <c r="X230" s="281"/>
      <c r="Y230" s="281"/>
      <c r="Z230" s="281"/>
      <c r="AA230" s="281"/>
      <c r="AB230" s="281"/>
      <c r="AC230" s="281"/>
      <c r="AD230" s="281"/>
    </row>
    <row r="231">
      <c r="A231" s="281"/>
      <c r="B231" s="281"/>
      <c r="C231" s="295"/>
      <c r="D231" s="297"/>
      <c r="E231" s="295"/>
      <c r="F231" s="297"/>
      <c r="G231" s="281"/>
      <c r="H231" s="282"/>
      <c r="I231" s="283"/>
      <c r="J231" s="282"/>
      <c r="K231" s="281"/>
      <c r="L231" s="281"/>
      <c r="M231" s="281"/>
      <c r="N231" s="281"/>
      <c r="O231" s="281"/>
      <c r="P231" s="281"/>
      <c r="Q231" s="281"/>
      <c r="R231" s="281"/>
      <c r="S231" s="281"/>
      <c r="T231" s="281"/>
      <c r="U231" s="281"/>
      <c r="V231" s="281"/>
      <c r="W231" s="281"/>
      <c r="X231" s="281"/>
      <c r="Y231" s="281"/>
      <c r="Z231" s="281"/>
      <c r="AA231" s="281"/>
      <c r="AB231" s="281"/>
      <c r="AC231" s="281"/>
      <c r="AD231" s="281"/>
    </row>
    <row r="232">
      <c r="A232" s="281"/>
      <c r="B232" s="281"/>
      <c r="C232" s="297"/>
      <c r="D232" s="297"/>
      <c r="E232" s="295"/>
      <c r="F232" s="297"/>
      <c r="G232" s="281"/>
      <c r="H232" s="282"/>
      <c r="I232" s="283"/>
      <c r="J232" s="282"/>
      <c r="K232" s="281"/>
      <c r="L232" s="281"/>
      <c r="M232" s="281"/>
      <c r="N232" s="281"/>
      <c r="O232" s="281"/>
      <c r="P232" s="281"/>
      <c r="Q232" s="281"/>
      <c r="R232" s="281"/>
      <c r="S232" s="281"/>
      <c r="T232" s="281"/>
      <c r="U232" s="281"/>
      <c r="V232" s="281"/>
      <c r="W232" s="281"/>
      <c r="X232" s="281"/>
      <c r="Y232" s="281"/>
      <c r="Z232" s="281"/>
      <c r="AA232" s="281"/>
      <c r="AB232" s="281"/>
      <c r="AC232" s="281"/>
      <c r="AD232" s="281"/>
    </row>
    <row r="233">
      <c r="A233" s="281"/>
      <c r="B233" s="281"/>
      <c r="C233" s="297"/>
      <c r="D233" s="297"/>
      <c r="E233" s="295"/>
      <c r="F233" s="297"/>
      <c r="G233" s="281"/>
      <c r="H233" s="282"/>
      <c r="I233" s="283"/>
      <c r="J233" s="282"/>
      <c r="K233" s="281"/>
      <c r="L233" s="281"/>
      <c r="M233" s="281"/>
      <c r="N233" s="281"/>
      <c r="O233" s="281"/>
      <c r="P233" s="281"/>
      <c r="Q233" s="281"/>
      <c r="R233" s="281"/>
      <c r="S233" s="281"/>
      <c r="T233" s="281"/>
      <c r="U233" s="281"/>
      <c r="V233" s="281"/>
      <c r="W233" s="281"/>
      <c r="X233" s="281"/>
      <c r="Y233" s="281"/>
      <c r="Z233" s="281"/>
      <c r="AA233" s="281"/>
      <c r="AB233" s="281"/>
      <c r="AC233" s="281"/>
      <c r="AD233" s="281"/>
    </row>
    <row r="234">
      <c r="A234" s="281"/>
      <c r="B234" s="281"/>
      <c r="C234" s="297"/>
      <c r="D234" s="297"/>
      <c r="E234" s="295"/>
      <c r="F234" s="297"/>
      <c r="G234" s="281"/>
      <c r="H234" s="282"/>
      <c r="I234" s="283"/>
      <c r="J234" s="282"/>
      <c r="K234" s="281"/>
      <c r="L234" s="281"/>
      <c r="M234" s="281"/>
      <c r="N234" s="281"/>
      <c r="O234" s="281"/>
      <c r="P234" s="281"/>
      <c r="Q234" s="281"/>
      <c r="R234" s="281"/>
      <c r="S234" s="281"/>
      <c r="T234" s="281"/>
      <c r="U234" s="281"/>
      <c r="V234" s="281"/>
      <c r="W234" s="281"/>
      <c r="X234" s="281"/>
      <c r="Y234" s="281"/>
      <c r="Z234" s="281"/>
      <c r="AA234" s="281"/>
      <c r="AB234" s="281"/>
      <c r="AC234" s="281"/>
      <c r="AD234" s="281"/>
    </row>
    <row r="235">
      <c r="A235" s="281"/>
      <c r="B235" s="281"/>
      <c r="C235" s="297"/>
      <c r="D235" s="297"/>
      <c r="E235" s="295"/>
      <c r="F235" s="297"/>
      <c r="G235" s="281"/>
      <c r="H235" s="282"/>
      <c r="I235" s="283"/>
      <c r="J235" s="282"/>
      <c r="K235" s="281"/>
      <c r="L235" s="281"/>
      <c r="M235" s="281"/>
      <c r="N235" s="281"/>
      <c r="O235" s="281"/>
      <c r="P235" s="281"/>
      <c r="Q235" s="281"/>
      <c r="R235" s="281"/>
      <c r="S235" s="281"/>
      <c r="T235" s="281"/>
      <c r="U235" s="281"/>
      <c r="V235" s="281"/>
      <c r="W235" s="281"/>
      <c r="X235" s="281"/>
      <c r="Y235" s="281"/>
      <c r="Z235" s="281"/>
      <c r="AA235" s="281"/>
      <c r="AB235" s="281"/>
      <c r="AC235" s="281"/>
      <c r="AD235" s="281"/>
    </row>
    <row r="236">
      <c r="A236" s="281"/>
      <c r="B236" s="281"/>
      <c r="C236" s="297"/>
      <c r="D236" s="297"/>
      <c r="E236" s="297"/>
      <c r="F236" s="297"/>
      <c r="G236" s="281"/>
      <c r="H236" s="510"/>
      <c r="I236" s="511"/>
      <c r="J236" s="510"/>
      <c r="K236" s="281"/>
      <c r="L236" s="281"/>
      <c r="M236" s="281"/>
      <c r="N236" s="281"/>
      <c r="O236" s="281"/>
      <c r="P236" s="281"/>
      <c r="Q236" s="281"/>
      <c r="R236" s="281"/>
      <c r="S236" s="281"/>
      <c r="T236" s="281"/>
      <c r="U236" s="281"/>
      <c r="V236" s="281"/>
      <c r="W236" s="281"/>
      <c r="X236" s="281"/>
      <c r="Y236" s="281"/>
      <c r="Z236" s="281"/>
      <c r="AA236" s="281"/>
      <c r="AB236" s="281"/>
      <c r="AC236" s="281"/>
      <c r="AD236" s="281"/>
    </row>
  </sheetData>
  <mergeCells count="25">
    <mergeCell ref="A2:K4"/>
    <mergeCell ref="B6:D6"/>
    <mergeCell ref="F6:K6"/>
    <mergeCell ref="B7:D7"/>
    <mergeCell ref="F7:K7"/>
    <mergeCell ref="B8:D8"/>
    <mergeCell ref="F8:K8"/>
    <mergeCell ref="B15:C15"/>
    <mergeCell ref="B16:C16"/>
    <mergeCell ref="B17:C17"/>
    <mergeCell ref="B18:C18"/>
    <mergeCell ref="B19:C19"/>
    <mergeCell ref="B20:C20"/>
    <mergeCell ref="B21:C21"/>
    <mergeCell ref="B22:C22"/>
    <mergeCell ref="G16:I16"/>
    <mergeCell ref="G17:I17"/>
    <mergeCell ref="S17:U17"/>
    <mergeCell ref="A10:D10"/>
    <mergeCell ref="B11:C11"/>
    <mergeCell ref="B12:C12"/>
    <mergeCell ref="B13:C13"/>
    <mergeCell ref="B14:C14"/>
    <mergeCell ref="G14:H14"/>
    <mergeCell ref="G15:I15"/>
  </mergeCells>
  <dataValidations>
    <dataValidation type="list" allowBlank="1" showDropDown="1" showErrorMessage="1" sqref="B26:B39 B42:B43 B48:B53 B57:B68 B70:B75 B77:B79 B81:B89 B91:B101 B103:B113 B115:B124 B126:B128 B130:B132 B134:B136 B138:B139 B141:B142 B144:B145 B148:B150 B153:B155">
      <formula1>'Rate card'!$A$4:$A236</formula1>
    </dataValidation>
    <dataValidation type="list" allowBlank="1" showDropDown="1" showErrorMessage="1" sqref="N75">
      <formula1>"Scope added,Scope removed,Scope changed,Qty ⬆️,Qty ⬇️,Rate ⬆️,Rate ⬇️,Design not finalised"</formula1>
    </dataValidation>
  </dataValidations>
  <hyperlinks>
    <hyperlink r:id="rId1" ref="G10"/>
    <hyperlink r:id="rId2" ref="A12"/>
    <hyperlink r:id="rId3" ref="A24"/>
  </hyperlinks>
  <printOptions horizontalCentered="1"/>
  <pageMargins bottom="0.75" footer="0.0" header="0.0" left="0.7" right="0.7" top="0.75"/>
  <pageSetup fitToHeight="0" paperSize="9" cellComments="atEnd" orientation="landscape" pageOrder="overThenDown"/>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hidden="1" min="2" max="2" width="6.38"/>
    <col customWidth="1" min="3" max="3" width="17.75"/>
    <col customWidth="1" min="4" max="4" width="21.38"/>
    <col customWidth="1" min="5" max="5" width="25.5"/>
    <col customWidth="1" min="6" max="6" width="39.63"/>
    <col customWidth="1" min="11" max="11" width="20.38"/>
    <col customWidth="1" min="12" max="12" width="19.63"/>
    <col hidden="1" min="14" max="15" width="12.63"/>
  </cols>
  <sheetData>
    <row r="1">
      <c r="A1" s="281"/>
      <c r="B1" s="281"/>
      <c r="C1" s="281"/>
      <c r="D1" s="281"/>
      <c r="E1" s="281"/>
      <c r="F1" s="281"/>
      <c r="G1" s="281"/>
      <c r="H1" s="282"/>
      <c r="I1" s="283"/>
      <c r="J1" s="282"/>
      <c r="K1" s="281"/>
      <c r="L1" s="281"/>
      <c r="M1" s="281"/>
      <c r="N1" s="281"/>
      <c r="O1" s="281"/>
      <c r="P1" s="463"/>
      <c r="Q1" s="281"/>
      <c r="R1" s="281"/>
      <c r="S1" s="281"/>
      <c r="T1" s="281"/>
      <c r="U1" s="281"/>
      <c r="V1" s="281"/>
      <c r="W1" s="281"/>
      <c r="X1" s="281"/>
      <c r="Y1" s="281"/>
      <c r="Z1" s="281"/>
      <c r="AA1" s="281"/>
      <c r="AB1" s="281"/>
      <c r="AC1" s="281"/>
      <c r="AD1" s="281"/>
    </row>
    <row r="2">
      <c r="A2" s="284"/>
      <c r="L2" s="281"/>
      <c r="M2" s="281"/>
      <c r="N2" s="281"/>
      <c r="O2" s="281"/>
      <c r="P2" s="463"/>
      <c r="Q2" s="281"/>
      <c r="R2" s="281"/>
      <c r="S2" s="281"/>
      <c r="T2" s="281"/>
      <c r="U2" s="281"/>
      <c r="V2" s="281"/>
      <c r="W2" s="281"/>
      <c r="X2" s="281"/>
      <c r="Y2" s="281"/>
      <c r="Z2" s="281"/>
      <c r="AA2" s="281"/>
      <c r="AB2" s="281"/>
      <c r="AC2" s="281"/>
      <c r="AD2" s="281"/>
    </row>
    <row r="3">
      <c r="L3" s="281"/>
      <c r="M3" s="281"/>
      <c r="N3" s="281"/>
      <c r="O3" s="281"/>
      <c r="P3" s="463"/>
      <c r="Q3" s="281"/>
      <c r="R3" s="281"/>
      <c r="S3" s="281"/>
      <c r="T3" s="281"/>
      <c r="U3" s="281"/>
      <c r="V3" s="281"/>
      <c r="W3" s="281"/>
      <c r="X3" s="281"/>
      <c r="Y3" s="281"/>
      <c r="Z3" s="281"/>
      <c r="AA3" s="281"/>
      <c r="AB3" s="281"/>
      <c r="AC3" s="281"/>
      <c r="AD3" s="281"/>
    </row>
    <row r="4">
      <c r="L4" s="281"/>
      <c r="M4" s="281"/>
      <c r="N4" s="281"/>
      <c r="O4" s="281"/>
      <c r="P4" s="463"/>
      <c r="Q4" s="281"/>
      <c r="R4" s="281"/>
      <c r="S4" s="281"/>
      <c r="T4" s="281"/>
      <c r="U4" s="281"/>
      <c r="V4" s="281"/>
      <c r="W4" s="281"/>
      <c r="X4" s="281"/>
      <c r="Y4" s="281"/>
      <c r="Z4" s="281"/>
      <c r="AA4" s="281"/>
      <c r="AB4" s="281"/>
      <c r="AC4" s="281"/>
      <c r="AD4" s="281"/>
    </row>
    <row r="5">
      <c r="A5" s="285"/>
      <c r="B5" s="285"/>
      <c r="C5" s="285"/>
      <c r="D5" s="285"/>
      <c r="E5" s="285"/>
      <c r="F5" s="285"/>
      <c r="G5" s="285"/>
      <c r="H5" s="286"/>
      <c r="I5" s="287"/>
      <c r="J5" s="286"/>
      <c r="K5" s="285"/>
      <c r="L5" s="281"/>
      <c r="M5" s="281"/>
      <c r="N5" s="281"/>
      <c r="O5" s="281"/>
      <c r="P5" s="463"/>
      <c r="Q5" s="281"/>
      <c r="R5" s="281"/>
      <c r="S5" s="281"/>
      <c r="T5" s="281"/>
      <c r="U5" s="281"/>
      <c r="V5" s="281"/>
      <c r="W5" s="281"/>
      <c r="X5" s="281"/>
      <c r="Y5" s="281"/>
      <c r="Z5" s="281"/>
      <c r="AA5" s="281"/>
      <c r="AB5" s="281"/>
      <c r="AC5" s="281"/>
      <c r="AD5" s="281"/>
    </row>
    <row r="6">
      <c r="A6" s="288" t="s">
        <v>2</v>
      </c>
      <c r="B6" s="289">
        <v>45730.0</v>
      </c>
      <c r="C6" s="11"/>
      <c r="D6" s="12"/>
      <c r="E6" s="290" t="s">
        <v>3</v>
      </c>
      <c r="F6" s="291"/>
      <c r="G6" s="11"/>
      <c r="H6" s="11"/>
      <c r="I6" s="11"/>
      <c r="J6" s="11"/>
      <c r="K6" s="12"/>
      <c r="L6" s="281"/>
      <c r="M6" s="281"/>
      <c r="N6" s="281"/>
      <c r="O6" s="281"/>
      <c r="P6" s="463"/>
      <c r="Q6" s="281"/>
      <c r="R6" s="281"/>
      <c r="S6" s="281"/>
      <c r="T6" s="281"/>
      <c r="U6" s="281"/>
      <c r="V6" s="281"/>
      <c r="W6" s="281"/>
      <c r="X6" s="281"/>
      <c r="Y6" s="281"/>
      <c r="Z6" s="281"/>
      <c r="AA6" s="281"/>
      <c r="AB6" s="281"/>
      <c r="AC6" s="281"/>
      <c r="AD6" s="281"/>
    </row>
    <row r="7">
      <c r="A7" s="288" t="s">
        <v>4</v>
      </c>
      <c r="B7" s="291" t="s">
        <v>5</v>
      </c>
      <c r="C7" s="11"/>
      <c r="D7" s="12"/>
      <c r="E7" s="290" t="s">
        <v>6</v>
      </c>
      <c r="F7" s="292">
        <v>0.0</v>
      </c>
      <c r="G7" s="11"/>
      <c r="H7" s="11"/>
      <c r="I7" s="11"/>
      <c r="J7" s="11"/>
      <c r="K7" s="12"/>
      <c r="L7" s="281"/>
      <c r="M7" s="281"/>
      <c r="N7" s="281"/>
      <c r="O7" s="281"/>
      <c r="P7" s="463"/>
      <c r="Q7" s="281"/>
      <c r="R7" s="281"/>
      <c r="S7" s="281"/>
      <c r="T7" s="281"/>
      <c r="U7" s="281"/>
      <c r="V7" s="281"/>
      <c r="W7" s="281"/>
      <c r="X7" s="281"/>
      <c r="Y7" s="281"/>
      <c r="Z7" s="281"/>
      <c r="AA7" s="281"/>
      <c r="AB7" s="281"/>
      <c r="AC7" s="281"/>
      <c r="AD7" s="281"/>
    </row>
    <row r="8">
      <c r="A8" s="288" t="s">
        <v>7</v>
      </c>
      <c r="B8" s="291" t="s">
        <v>8</v>
      </c>
      <c r="C8" s="11"/>
      <c r="D8" s="12"/>
      <c r="E8" s="290" t="s">
        <v>9</v>
      </c>
      <c r="F8" s="291" t="s">
        <v>10</v>
      </c>
      <c r="G8" s="11"/>
      <c r="H8" s="11"/>
      <c r="I8" s="11"/>
      <c r="J8" s="11"/>
      <c r="K8" s="12"/>
      <c r="L8" s="281"/>
      <c r="M8" s="281"/>
      <c r="N8" s="281"/>
      <c r="O8" s="281"/>
      <c r="P8" s="463"/>
      <c r="Q8" s="281"/>
      <c r="R8" s="281"/>
      <c r="S8" s="281"/>
      <c r="T8" s="281"/>
      <c r="U8" s="281"/>
      <c r="V8" s="281"/>
      <c r="W8" s="281"/>
      <c r="X8" s="281"/>
      <c r="Y8" s="281"/>
      <c r="Z8" s="281"/>
      <c r="AA8" s="281"/>
      <c r="AB8" s="281"/>
      <c r="AC8" s="281"/>
      <c r="AD8" s="281"/>
    </row>
    <row r="9">
      <c r="A9" s="281"/>
      <c r="B9" s="281"/>
      <c r="C9" s="281"/>
      <c r="D9" s="281"/>
      <c r="E9" s="281"/>
      <c r="F9" s="281"/>
      <c r="G9" s="281"/>
      <c r="H9" s="282"/>
      <c r="I9" s="283"/>
      <c r="J9" s="282"/>
      <c r="K9" s="281"/>
      <c r="L9" s="281"/>
      <c r="M9" s="281"/>
      <c r="N9" s="281"/>
      <c r="O9" s="281"/>
      <c r="P9" s="512" t="s">
        <v>656</v>
      </c>
      <c r="Q9" s="281"/>
      <c r="R9" s="512"/>
      <c r="S9" s="281"/>
      <c r="T9" s="513" t="s">
        <v>657</v>
      </c>
      <c r="U9" s="281"/>
      <c r="V9" s="281"/>
      <c r="W9" s="281"/>
      <c r="X9" s="281"/>
      <c r="Y9" s="281"/>
      <c r="Z9" s="281"/>
      <c r="AA9" s="281"/>
      <c r="AB9" s="281"/>
      <c r="AC9" s="281"/>
      <c r="AD9" s="281"/>
    </row>
    <row r="10">
      <c r="A10" s="22" t="s">
        <v>11</v>
      </c>
      <c r="B10" s="16"/>
      <c r="C10" s="16"/>
      <c r="D10" s="17"/>
      <c r="E10" s="281"/>
      <c r="F10" s="293"/>
      <c r="G10" s="23" t="s">
        <v>12</v>
      </c>
      <c r="H10" s="24" t="s">
        <v>13</v>
      </c>
      <c r="I10" s="25" t="s">
        <v>14</v>
      </c>
      <c r="J10" s="282"/>
      <c r="M10" s="281"/>
      <c r="N10" s="281"/>
      <c r="O10" s="281"/>
      <c r="P10" s="309" t="s">
        <v>658</v>
      </c>
      <c r="Q10" s="281"/>
      <c r="R10" s="309"/>
      <c r="S10" s="281"/>
      <c r="T10" s="281"/>
      <c r="U10" s="281"/>
      <c r="V10" s="281"/>
      <c r="W10" s="281"/>
      <c r="X10" s="281"/>
      <c r="Y10" s="281"/>
      <c r="Z10" s="281"/>
      <c r="AA10" s="281"/>
      <c r="AB10" s="281"/>
      <c r="AC10" s="281"/>
      <c r="AD10" s="281"/>
    </row>
    <row r="11">
      <c r="A11" s="294"/>
      <c r="B11" s="29" t="s">
        <v>15</v>
      </c>
      <c r="C11" s="17"/>
      <c r="D11" s="30">
        <v>1673.0</v>
      </c>
      <c r="E11" s="295"/>
      <c r="F11" s="293"/>
      <c r="G11" s="31" t="s">
        <v>16</v>
      </c>
      <c r="H11" s="32" t="s">
        <v>17</v>
      </c>
      <c r="I11" s="33">
        <f>J211</f>
        <v>355000</v>
      </c>
      <c r="J11" s="282"/>
      <c r="M11" s="281"/>
      <c r="N11" s="281"/>
      <c r="O11" s="281"/>
      <c r="P11" s="309" t="s">
        <v>659</v>
      </c>
      <c r="Q11" s="281"/>
      <c r="R11" s="309"/>
      <c r="S11" s="281"/>
      <c r="T11" s="281"/>
      <c r="U11" s="281"/>
      <c r="V11" s="281"/>
      <c r="W11" s="281"/>
      <c r="X11" s="281"/>
      <c r="Y11" s="281"/>
      <c r="Z11" s="281"/>
      <c r="AA11" s="281"/>
      <c r="AB11" s="281"/>
      <c r="AC11" s="281"/>
      <c r="AD11" s="281"/>
    </row>
    <row r="12">
      <c r="A12" s="23" t="s">
        <v>12</v>
      </c>
      <c r="B12" s="29" t="s">
        <v>13</v>
      </c>
      <c r="C12" s="17"/>
      <c r="D12" s="24" t="s">
        <v>14</v>
      </c>
      <c r="E12" s="295"/>
      <c r="F12" s="293"/>
      <c r="G12" s="31" t="s">
        <v>18</v>
      </c>
      <c r="H12" s="32" t="s">
        <v>19</v>
      </c>
      <c r="I12" s="33">
        <f>J225</f>
        <v>1651300</v>
      </c>
      <c r="J12" s="282"/>
      <c r="M12" s="281"/>
      <c r="N12" s="281"/>
      <c r="O12" s="281"/>
      <c r="P12" s="309" t="s">
        <v>660</v>
      </c>
      <c r="Q12" s="281"/>
      <c r="R12" s="309"/>
      <c r="S12" s="281"/>
      <c r="T12" s="281"/>
      <c r="U12" s="281"/>
      <c r="V12" s="281"/>
      <c r="W12" s="281"/>
      <c r="X12" s="281"/>
      <c r="Y12" s="281"/>
      <c r="Z12" s="281"/>
      <c r="AA12" s="281"/>
      <c r="AB12" s="281"/>
      <c r="AC12" s="281"/>
      <c r="AD12" s="281"/>
    </row>
    <row r="13">
      <c r="A13" s="31" t="s">
        <v>16</v>
      </c>
      <c r="B13" s="34" t="s">
        <v>20</v>
      </c>
      <c r="C13" s="17"/>
      <c r="D13" s="35">
        <f>J42</f>
        <v>566705</v>
      </c>
      <c r="E13" s="296"/>
      <c r="F13" s="297"/>
      <c r="G13" s="298"/>
      <c r="H13" s="30" t="s">
        <v>23</v>
      </c>
      <c r="I13" s="25">
        <f>SUM(I11:I12)</f>
        <v>2006300</v>
      </c>
      <c r="J13" s="299"/>
      <c r="M13" s="281"/>
      <c r="N13" s="281"/>
      <c r="O13" s="281"/>
      <c r="P13" s="309" t="s">
        <v>661</v>
      </c>
      <c r="Q13" s="281"/>
      <c r="R13" s="293"/>
      <c r="S13" s="281"/>
      <c r="T13" s="281"/>
      <c r="U13" s="281"/>
      <c r="V13" s="300"/>
      <c r="W13" s="281"/>
      <c r="X13" s="281"/>
      <c r="Y13" s="281"/>
      <c r="Z13" s="281"/>
      <c r="AA13" s="281"/>
      <c r="AB13" s="281"/>
      <c r="AC13" s="281"/>
      <c r="AD13" s="281"/>
    </row>
    <row r="14">
      <c r="A14" s="31" t="s">
        <v>18</v>
      </c>
      <c r="B14" s="34" t="s">
        <v>22</v>
      </c>
      <c r="C14" s="17"/>
      <c r="D14" s="35">
        <f>J48</f>
        <v>125000</v>
      </c>
      <c r="E14" s="296"/>
      <c r="G14" s="301" t="s">
        <v>26</v>
      </c>
      <c r="H14" s="17"/>
      <c r="I14" s="302">
        <f>D21+I13</f>
        <v>8815486</v>
      </c>
      <c r="J14" s="299"/>
      <c r="M14" s="281"/>
      <c r="N14" s="281"/>
      <c r="O14" s="281"/>
      <c r="P14" s="309" t="s">
        <v>662</v>
      </c>
      <c r="Q14" s="281"/>
      <c r="R14" s="281"/>
      <c r="S14" s="281"/>
      <c r="T14" s="281"/>
      <c r="U14" s="281"/>
      <c r="V14" s="300"/>
      <c r="W14" s="281"/>
      <c r="X14" s="281"/>
      <c r="Y14" s="281"/>
      <c r="Z14" s="281"/>
      <c r="AA14" s="281"/>
      <c r="AB14" s="281"/>
      <c r="AC14" s="281"/>
      <c r="AD14" s="281"/>
    </row>
    <row r="15">
      <c r="A15" s="31" t="s">
        <v>24</v>
      </c>
      <c r="B15" s="34" t="s">
        <v>25</v>
      </c>
      <c r="C15" s="17"/>
      <c r="D15" s="35">
        <f>J51</f>
        <v>585550</v>
      </c>
      <c r="E15" s="296"/>
      <c r="G15" s="303" t="s">
        <v>29</v>
      </c>
      <c r="H15" s="16"/>
      <c r="I15" s="17"/>
      <c r="J15" s="299"/>
      <c r="M15" s="281"/>
      <c r="N15" s="281"/>
      <c r="O15" s="281"/>
      <c r="P15" s="309" t="s">
        <v>663</v>
      </c>
      <c r="Q15" s="281"/>
      <c r="R15" s="281"/>
      <c r="S15" s="281"/>
      <c r="T15" s="281"/>
      <c r="U15" s="281"/>
      <c r="V15" s="300"/>
      <c r="W15" s="281"/>
      <c r="X15" s="281"/>
      <c r="Y15" s="281"/>
      <c r="Z15" s="281"/>
      <c r="AA15" s="281"/>
      <c r="AB15" s="281"/>
      <c r="AC15" s="281"/>
      <c r="AD15" s="281"/>
    </row>
    <row r="16">
      <c r="A16" s="31" t="s">
        <v>27</v>
      </c>
      <c r="B16" s="34" t="s">
        <v>28</v>
      </c>
      <c r="C16" s="17"/>
      <c r="D16" s="35">
        <f>J59</f>
        <v>394840</v>
      </c>
      <c r="E16" s="296"/>
      <c r="G16" s="304"/>
      <c r="J16" s="299"/>
      <c r="M16" s="281"/>
      <c r="N16" s="281"/>
      <c r="O16" s="281"/>
      <c r="P16" s="309" t="s">
        <v>664</v>
      </c>
      <c r="Q16" s="281"/>
      <c r="R16" s="281"/>
      <c r="S16" s="281"/>
      <c r="T16" s="281"/>
      <c r="U16" s="281"/>
      <c r="V16" s="281"/>
      <c r="W16" s="281"/>
      <c r="X16" s="281"/>
      <c r="Y16" s="281"/>
      <c r="Z16" s="281"/>
      <c r="AA16" s="281"/>
      <c r="AB16" s="281"/>
      <c r="AC16" s="281"/>
      <c r="AD16" s="281"/>
    </row>
    <row r="17">
      <c r="A17" s="31" t="s">
        <v>30</v>
      </c>
      <c r="B17" s="47" t="s">
        <v>31</v>
      </c>
      <c r="C17" s="17"/>
      <c r="D17" s="35">
        <f>J152</f>
        <v>4148612.5</v>
      </c>
      <c r="E17" s="305"/>
      <c r="G17" s="306"/>
      <c r="J17" s="299"/>
      <c r="M17" s="281"/>
      <c r="N17" s="281"/>
      <c r="O17" s="281"/>
      <c r="P17" s="309" t="s">
        <v>665</v>
      </c>
      <c r="Q17" s="281"/>
      <c r="R17" s="281"/>
      <c r="S17" s="304"/>
      <c r="V17" s="281"/>
      <c r="W17" s="281"/>
      <c r="X17" s="281"/>
      <c r="Y17" s="281"/>
      <c r="Z17" s="281"/>
      <c r="AA17" s="281"/>
      <c r="AB17" s="281"/>
      <c r="AC17" s="281"/>
      <c r="AD17" s="281"/>
    </row>
    <row r="18">
      <c r="A18" s="31" t="s">
        <v>32</v>
      </c>
      <c r="B18" s="47" t="s">
        <v>33</v>
      </c>
      <c r="C18" s="17"/>
      <c r="D18" s="35">
        <f>J158</f>
        <v>368478.5</v>
      </c>
      <c r="E18" s="296"/>
      <c r="J18" s="299"/>
      <c r="M18" s="281"/>
      <c r="N18" s="281"/>
      <c r="O18" s="281"/>
      <c r="P18" s="463"/>
      <c r="Q18" s="307"/>
      <c r="R18" s="281"/>
      <c r="S18" s="281"/>
      <c r="T18" s="281"/>
      <c r="U18" s="281"/>
      <c r="V18" s="281"/>
      <c r="W18" s="281"/>
      <c r="X18" s="281"/>
      <c r="Y18" s="281"/>
      <c r="Z18" s="281"/>
      <c r="AA18" s="281"/>
      <c r="AB18" s="281"/>
      <c r="AC18" s="281"/>
      <c r="AD18" s="281"/>
    </row>
    <row r="19">
      <c r="A19" s="31" t="s">
        <v>34</v>
      </c>
      <c r="B19" s="47" t="s">
        <v>35</v>
      </c>
      <c r="C19" s="17"/>
      <c r="D19" s="35">
        <f>J163</f>
        <v>120000</v>
      </c>
      <c r="E19" s="296"/>
      <c r="I19" s="308"/>
      <c r="J19" s="299"/>
      <c r="M19" s="281"/>
      <c r="N19" s="281"/>
      <c r="O19" s="281"/>
      <c r="P19" s="463"/>
      <c r="Q19" s="309"/>
      <c r="R19" s="281"/>
      <c r="S19" s="281"/>
      <c r="T19" s="281"/>
      <c r="U19" s="281"/>
      <c r="V19" s="281"/>
      <c r="W19" s="281"/>
      <c r="X19" s="281"/>
      <c r="Y19" s="281"/>
      <c r="Z19" s="281"/>
      <c r="AA19" s="281"/>
      <c r="AB19" s="281"/>
      <c r="AC19" s="281"/>
      <c r="AD19" s="281"/>
    </row>
    <row r="20">
      <c r="A20" s="31" t="s">
        <v>36</v>
      </c>
      <c r="B20" s="49" t="s">
        <v>37</v>
      </c>
      <c r="C20" s="17"/>
      <c r="D20" s="35">
        <v>500000.0</v>
      </c>
      <c r="I20" s="308"/>
      <c r="J20" s="299"/>
      <c r="M20" s="281"/>
      <c r="N20" s="281"/>
      <c r="O20" s="281"/>
      <c r="P20" s="463"/>
      <c r="Q20" s="309"/>
      <c r="R20" s="281"/>
      <c r="S20" s="281"/>
      <c r="T20" s="281"/>
      <c r="U20" s="281"/>
      <c r="V20" s="281"/>
      <c r="W20" s="281"/>
      <c r="X20" s="281"/>
      <c r="Y20" s="281"/>
      <c r="Z20" s="281"/>
      <c r="AA20" s="281"/>
      <c r="AB20" s="281"/>
      <c r="AC20" s="281"/>
      <c r="AD20" s="281"/>
    </row>
    <row r="21">
      <c r="A21" s="298"/>
      <c r="B21" s="22" t="s">
        <v>38</v>
      </c>
      <c r="C21" s="17"/>
      <c r="D21" s="311">
        <f>SUM(D13:D20)</f>
        <v>6809186</v>
      </c>
      <c r="E21" s="296"/>
      <c r="I21" s="312"/>
      <c r="J21" s="299"/>
      <c r="M21" s="281"/>
      <c r="N21" s="281"/>
      <c r="O21" s="281"/>
      <c r="P21" s="463"/>
      <c r="Q21" s="281"/>
      <c r="R21" s="281"/>
      <c r="S21" s="281"/>
      <c r="T21" s="281"/>
      <c r="U21" s="281"/>
      <c r="V21" s="281"/>
      <c r="W21" s="281"/>
      <c r="X21" s="281"/>
      <c r="Y21" s="281"/>
      <c r="Z21" s="281"/>
      <c r="AA21" s="281"/>
      <c r="AB21" s="281"/>
      <c r="AC21" s="281"/>
      <c r="AD21" s="281"/>
    </row>
    <row r="22">
      <c r="A22" s="294"/>
      <c r="B22" s="29" t="s">
        <v>39</v>
      </c>
      <c r="C22" s="17"/>
      <c r="D22" s="51">
        <f>(D21/D11)</f>
        <v>4070.045427</v>
      </c>
      <c r="E22" s="296"/>
      <c r="G22" s="297"/>
      <c r="H22" s="313"/>
      <c r="I22" s="314"/>
      <c r="J22" s="299"/>
      <c r="K22" s="281"/>
      <c r="L22" s="281"/>
      <c r="M22" s="281"/>
      <c r="N22" s="281"/>
      <c r="O22" s="281"/>
      <c r="P22" s="463"/>
      <c r="Q22" s="295"/>
      <c r="R22" s="281"/>
      <c r="S22" s="281"/>
      <c r="T22" s="281"/>
      <c r="U22" s="281"/>
      <c r="V22" s="281"/>
      <c r="W22" s="281"/>
      <c r="X22" s="281"/>
      <c r="Y22" s="281"/>
      <c r="Z22" s="281"/>
      <c r="AA22" s="281"/>
      <c r="AB22" s="281"/>
      <c r="AC22" s="281"/>
      <c r="AD22" s="281"/>
    </row>
    <row r="23">
      <c r="A23" s="285"/>
      <c r="B23" s="285"/>
      <c r="C23" s="285"/>
      <c r="D23" s="285"/>
      <c r="E23" s="285"/>
      <c r="F23" s="285"/>
      <c r="G23" s="285"/>
      <c r="H23" s="286"/>
      <c r="I23" s="315"/>
      <c r="J23" s="286"/>
      <c r="K23" s="285"/>
      <c r="L23" s="281"/>
      <c r="M23" s="281"/>
      <c r="N23" s="281"/>
      <c r="O23" s="281"/>
      <c r="P23" s="463"/>
      <c r="Q23" s="295"/>
      <c r="R23" s="293"/>
      <c r="S23" s="281"/>
      <c r="T23" s="281"/>
      <c r="U23" s="281"/>
      <c r="V23" s="281"/>
      <c r="W23" s="281"/>
      <c r="X23" s="281"/>
      <c r="Y23" s="281"/>
      <c r="Z23" s="281"/>
      <c r="AA23" s="281"/>
      <c r="AB23" s="281"/>
      <c r="AC23" s="281"/>
      <c r="AD23" s="281"/>
    </row>
    <row r="24">
      <c r="A24" s="316" t="s">
        <v>40</v>
      </c>
      <c r="B24" s="317" t="s">
        <v>41</v>
      </c>
      <c r="C24" s="318" t="s">
        <v>42</v>
      </c>
      <c r="D24" s="318" t="s">
        <v>43</v>
      </c>
      <c r="E24" s="318" t="s">
        <v>44</v>
      </c>
      <c r="F24" s="318" t="s">
        <v>45</v>
      </c>
      <c r="G24" s="318" t="s">
        <v>46</v>
      </c>
      <c r="H24" s="319" t="s">
        <v>47</v>
      </c>
      <c r="I24" s="320" t="s">
        <v>562</v>
      </c>
      <c r="J24" s="319" t="s">
        <v>14</v>
      </c>
      <c r="K24" s="57" t="s">
        <v>53</v>
      </c>
      <c r="L24" s="293"/>
      <c r="M24" s="281"/>
      <c r="N24" s="319" t="s">
        <v>563</v>
      </c>
      <c r="O24" s="319" t="s">
        <v>14</v>
      </c>
      <c r="P24" s="463"/>
      <c r="R24" s="293"/>
      <c r="S24" s="281"/>
      <c r="T24" s="281"/>
      <c r="U24" s="281"/>
      <c r="V24" s="281"/>
      <c r="W24" s="281"/>
      <c r="X24" s="281"/>
      <c r="Y24" s="281"/>
      <c r="Z24" s="281"/>
      <c r="AA24" s="281"/>
      <c r="AB24" s="281"/>
      <c r="AC24" s="281"/>
      <c r="AD24" s="281"/>
    </row>
    <row r="25" ht="28.5" customHeight="1">
      <c r="A25" s="321" t="s">
        <v>20</v>
      </c>
      <c r="B25" s="322"/>
      <c r="C25" s="322"/>
      <c r="D25" s="322"/>
      <c r="E25" s="322"/>
      <c r="F25" s="322"/>
      <c r="G25" s="323"/>
      <c r="H25" s="324"/>
      <c r="I25" s="298"/>
      <c r="J25" s="324"/>
      <c r="K25" s="294"/>
      <c r="L25" s="325"/>
      <c r="M25" s="325"/>
      <c r="N25" s="326"/>
      <c r="O25" s="327"/>
      <c r="P25" s="463"/>
      <c r="Q25" s="295"/>
      <c r="R25" s="293"/>
      <c r="S25" s="281"/>
      <c r="T25" s="281"/>
      <c r="U25" s="281"/>
      <c r="V25" s="281"/>
      <c r="W25" s="281"/>
      <c r="X25" s="281"/>
      <c r="Y25" s="281"/>
      <c r="Z25" s="281"/>
      <c r="AA25" s="281"/>
      <c r="AB25" s="281"/>
      <c r="AC25" s="281"/>
      <c r="AD25" s="281"/>
    </row>
    <row r="26">
      <c r="A26" s="328" t="s">
        <v>16</v>
      </c>
      <c r="B26" s="328" t="s">
        <v>564</v>
      </c>
      <c r="C26" s="329" t="str">
        <f>VLOOKUP($B26,'Rate card'!$A$4:$G240,2,FALSE)</f>
        <v>Demolition</v>
      </c>
      <c r="D26" s="329" t="str">
        <f>VLOOKUP($B26,'Rate card'!$A$4:$G240,3,FALSE)</f>
        <v>Brickwall - 6"</v>
      </c>
      <c r="E26" s="329" t="str">
        <f>VLOOKUP($B26,'Rate card'!$A$4:$G240,4,FALSE)</f>
        <v>NA</v>
      </c>
      <c r="F26" s="329" t="str">
        <f>VLOOKUP($B26,'Rate card'!$A$4:$G240,5,FALSE)</f>
        <v>Demolition</v>
      </c>
      <c r="G26" s="329" t="str">
        <f>VLOOKUP($B26,'Rate card'!$A$4:$G240,6,FALSE)</f>
        <v>Sqft</v>
      </c>
      <c r="H26" s="330">
        <v>500.0</v>
      </c>
      <c r="I26" s="331">
        <f t="shared" ref="I26:I27" si="1">3*10+3*10</f>
        <v>60</v>
      </c>
      <c r="J26" s="332">
        <f t="shared" ref="J26:J31" si="2">I26*H26</f>
        <v>30000</v>
      </c>
      <c r="K26" s="333" t="s">
        <v>565</v>
      </c>
      <c r="L26" s="348"/>
      <c r="M26" s="335"/>
      <c r="N26" s="336"/>
      <c r="O26" s="337">
        <f>VLOOKUP($B26,'Rate card'!$A$4:$J240,7,FALSE)</f>
        <v>20</v>
      </c>
      <c r="P26" s="514"/>
      <c r="Q26" s="335"/>
      <c r="R26" s="335"/>
      <c r="S26" s="335"/>
      <c r="T26" s="335"/>
      <c r="U26" s="335"/>
      <c r="V26" s="335"/>
      <c r="W26" s="335"/>
      <c r="X26" s="335"/>
      <c r="Y26" s="335"/>
      <c r="Z26" s="335"/>
      <c r="AA26" s="335"/>
      <c r="AB26" s="335"/>
      <c r="AC26" s="335"/>
      <c r="AD26" s="335"/>
    </row>
    <row r="27">
      <c r="A27" s="328" t="s">
        <v>18</v>
      </c>
      <c r="B27" s="328"/>
      <c r="C27" s="339" t="s">
        <v>20</v>
      </c>
      <c r="D27" s="339" t="s">
        <v>566</v>
      </c>
      <c r="E27" s="329" t="str">
        <f>E26</f>
        <v>NA</v>
      </c>
      <c r="F27" s="340" t="s">
        <v>567</v>
      </c>
      <c r="G27" s="329" t="str">
        <f>#REF!</f>
        <v>#REF!</v>
      </c>
      <c r="H27" s="341">
        <v>150.0</v>
      </c>
      <c r="I27" s="331">
        <f t="shared" si="1"/>
        <v>60</v>
      </c>
      <c r="J27" s="332">
        <f t="shared" si="2"/>
        <v>9000</v>
      </c>
      <c r="K27" s="333" t="s">
        <v>565</v>
      </c>
      <c r="L27" s="348"/>
      <c r="M27" s="335"/>
      <c r="N27" s="336"/>
      <c r="O27" s="337"/>
      <c r="P27" s="514"/>
      <c r="Q27" s="335"/>
      <c r="R27" s="335"/>
      <c r="S27" s="335"/>
      <c r="T27" s="335"/>
      <c r="U27" s="335"/>
      <c r="V27" s="335"/>
      <c r="W27" s="335"/>
      <c r="X27" s="335"/>
      <c r="Y27" s="335"/>
      <c r="Z27" s="335"/>
      <c r="AA27" s="335"/>
      <c r="AB27" s="335"/>
      <c r="AC27" s="335"/>
      <c r="AD27" s="335"/>
    </row>
    <row r="28">
      <c r="A28" s="328" t="s">
        <v>24</v>
      </c>
      <c r="B28" s="328"/>
      <c r="C28" s="339" t="s">
        <v>20</v>
      </c>
      <c r="D28" s="515" t="s">
        <v>83</v>
      </c>
      <c r="E28" s="329" t="str">
        <f>E26</f>
        <v>NA</v>
      </c>
      <c r="F28" s="340" t="s">
        <v>84</v>
      </c>
      <c r="G28" s="339" t="s">
        <v>175</v>
      </c>
      <c r="H28" s="341">
        <v>120.0</v>
      </c>
      <c r="I28" s="331">
        <f>I27</f>
        <v>60</v>
      </c>
      <c r="J28" s="332">
        <f t="shared" si="2"/>
        <v>7200</v>
      </c>
      <c r="K28" s="333" t="s">
        <v>565</v>
      </c>
      <c r="L28" s="348"/>
      <c r="M28" s="335"/>
      <c r="N28" s="336"/>
      <c r="O28" s="337"/>
      <c r="P28" s="514"/>
      <c r="Q28" s="335"/>
      <c r="R28" s="335"/>
      <c r="S28" s="335"/>
      <c r="T28" s="335"/>
      <c r="U28" s="335"/>
      <c r="V28" s="335"/>
      <c r="W28" s="335"/>
      <c r="X28" s="335"/>
      <c r="Y28" s="335"/>
      <c r="Z28" s="335"/>
      <c r="AA28" s="335"/>
      <c r="AB28" s="335"/>
      <c r="AC28" s="335"/>
      <c r="AD28" s="335"/>
    </row>
    <row r="29" ht="108.75" customHeight="1">
      <c r="A29" s="328" t="s">
        <v>27</v>
      </c>
      <c r="B29" s="347" t="s">
        <v>576</v>
      </c>
      <c r="C29" s="329" t="str">
        <f>VLOOKUP($B29,'Rate card'!$A$4:$G240,2,FALSE)</f>
        <v>Civil</v>
      </c>
      <c r="D29" s="329" t="str">
        <f>VLOOKUP($B29,'Rate card'!$A$4:$G240,3,FALSE)</f>
        <v>Kitchen platform</v>
      </c>
      <c r="E29" s="329" t="str">
        <f>VLOOKUP($B29,'Rate card'!$A$4:$G240,4,FALSE)</f>
        <v>Fully Modular Kitchen - Granite/Marble</v>
      </c>
      <c r="F29" s="329" t="str">
        <f>VLOOKUP($B29,'Rate card'!$A$4:$G240,5,FALSE)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29" s="329" t="str">
        <f>VLOOKUP($B29,'Rate card'!$A$4:$G240,6,FALSE)</f>
        <v>Sqft</v>
      </c>
      <c r="H29" s="330">
        <v>500.0</v>
      </c>
      <c r="I29" s="331">
        <f>18.5*2</f>
        <v>37</v>
      </c>
      <c r="J29" s="332">
        <f t="shared" si="2"/>
        <v>18500</v>
      </c>
      <c r="K29" s="333" t="s">
        <v>578</v>
      </c>
      <c r="L29" s="348"/>
      <c r="M29" s="335"/>
      <c r="N29" s="336"/>
      <c r="O29" s="337">
        <f>VLOOKUP($B29,'Rate card'!$A$4:$J240,7,FALSE)</f>
        <v>150</v>
      </c>
      <c r="P29" s="514"/>
      <c r="Q29" s="335"/>
      <c r="R29" s="335"/>
      <c r="S29" s="335"/>
      <c r="T29" s="335"/>
      <c r="U29" s="335"/>
      <c r="V29" s="335"/>
      <c r="W29" s="335"/>
      <c r="X29" s="335"/>
      <c r="Y29" s="335"/>
      <c r="Z29" s="335"/>
      <c r="AA29" s="335"/>
      <c r="AB29" s="335"/>
      <c r="AC29" s="335"/>
      <c r="AD29" s="335"/>
    </row>
    <row r="30">
      <c r="A30" s="328" t="s">
        <v>30</v>
      </c>
      <c r="B30" s="328"/>
      <c r="C30" s="339" t="s">
        <v>20</v>
      </c>
      <c r="D30" s="515" t="s">
        <v>83</v>
      </c>
      <c r="E30" s="329" t="str">
        <f>E28</f>
        <v>NA</v>
      </c>
      <c r="F30" s="340" t="s">
        <v>84</v>
      </c>
      <c r="G30" s="339" t="s">
        <v>175</v>
      </c>
      <c r="H30" s="341">
        <v>120.0</v>
      </c>
      <c r="I30" s="331">
        <f>I31</f>
        <v>192.5</v>
      </c>
      <c r="J30" s="332">
        <f t="shared" si="2"/>
        <v>23100</v>
      </c>
      <c r="K30" s="333" t="s">
        <v>666</v>
      </c>
      <c r="L30" s="348"/>
      <c r="M30" s="335"/>
      <c r="N30" s="336"/>
      <c r="O30" s="337"/>
      <c r="P30" s="514"/>
      <c r="Q30" s="335"/>
      <c r="R30" s="335"/>
      <c r="S30" s="335"/>
      <c r="T30" s="335"/>
      <c r="U30" s="335"/>
      <c r="V30" s="335"/>
      <c r="W30" s="335"/>
      <c r="X30" s="335"/>
      <c r="Y30" s="335"/>
      <c r="Z30" s="335"/>
      <c r="AA30" s="335"/>
      <c r="AB30" s="335"/>
      <c r="AC30" s="335"/>
      <c r="AD30" s="335"/>
    </row>
    <row r="31">
      <c r="A31" s="328" t="s">
        <v>32</v>
      </c>
      <c r="B31" s="342"/>
      <c r="C31" s="343" t="s">
        <v>20</v>
      </c>
      <c r="D31" s="343" t="s">
        <v>569</v>
      </c>
      <c r="E31" s="340" t="s">
        <v>570</v>
      </c>
      <c r="F31" s="340" t="s">
        <v>80</v>
      </c>
      <c r="G31" s="343" t="s">
        <v>175</v>
      </c>
      <c r="H31" s="331" t="s">
        <v>571</v>
      </c>
      <c r="I31" s="344">
        <f>11.25*7+1.5*7+12*7+2.75*7</f>
        <v>192.5</v>
      </c>
      <c r="J31" s="332">
        <f t="shared" si="2"/>
        <v>26950</v>
      </c>
      <c r="K31" s="333" t="s">
        <v>578</v>
      </c>
      <c r="L31" s="335"/>
      <c r="M31" s="335"/>
      <c r="N31" s="336"/>
      <c r="O31" s="346"/>
      <c r="P31" s="516"/>
      <c r="Q31" s="335"/>
      <c r="R31" s="335"/>
      <c r="S31" s="335"/>
      <c r="T31" s="335"/>
      <c r="U31" s="335"/>
      <c r="V31" s="335"/>
      <c r="W31" s="335"/>
      <c r="X31" s="335"/>
      <c r="Y31" s="335"/>
      <c r="Z31" s="335"/>
      <c r="AA31" s="335"/>
      <c r="AB31" s="335"/>
      <c r="AC31" s="335"/>
      <c r="AD31" s="335"/>
    </row>
    <row r="32">
      <c r="A32" s="328" t="s">
        <v>34</v>
      </c>
      <c r="B32" s="356" t="s">
        <v>589</v>
      </c>
      <c r="C32" s="154" t="str">
        <f>VLOOKUP($B32,'Rate card'!$A$4:$G240,2,FALSE)</f>
        <v>Civil</v>
      </c>
      <c r="D32" s="154" t="str">
        <f>VLOOKUP($B32,'Rate card'!$A$4:$G240,3,FALSE)</f>
        <v>Brickbat </v>
      </c>
      <c r="E32" s="153" t="str">
        <f>VLOOKUP($B32,'Rate card'!$A$4:$G240,4,FALSE)</f>
        <v/>
      </c>
      <c r="F32" s="154" t="str">
        <f>VLOOKUP($B32,'Rate card'!$A$4:$G240,5,FALSE)</f>
        <v>Providing &amp; laying brickbat coba (6") with PCC</v>
      </c>
      <c r="G32" s="154" t="str">
        <f>VLOOKUP($B32,'Rate card'!$A$4:$G240,6,FALSE)</f>
        <v>Sqft</v>
      </c>
      <c r="H32" s="155">
        <f>VLOOKUP($B32,'Rate card'!$A$4:$J240,8,FALSE)</f>
        <v>200</v>
      </c>
      <c r="I32" s="357">
        <f>55+40+40+57</f>
        <v>192</v>
      </c>
      <c r="J32" s="358">
        <f t="shared" ref="J32:J33" si="3">H32*I32</f>
        <v>38400</v>
      </c>
      <c r="K32" s="333" t="s">
        <v>156</v>
      </c>
      <c r="L32" s="359"/>
      <c r="M32" s="179"/>
      <c r="N32" s="155">
        <f>VLOOKUP($B32,'Rate card'!$A$4:$J240,7,FALSE)</f>
        <v>150</v>
      </c>
      <c r="O32" s="360">
        <f t="shared" ref="O32:O33" si="4">I32*N32</f>
        <v>28800</v>
      </c>
      <c r="P32" s="517"/>
      <c r="Q32" s="179"/>
      <c r="R32" s="179"/>
      <c r="S32" s="179"/>
      <c r="T32" s="179"/>
      <c r="U32" s="179"/>
      <c r="V32" s="179"/>
      <c r="W32" s="179"/>
      <c r="X32" s="179"/>
      <c r="Y32" s="179"/>
      <c r="Z32" s="179"/>
      <c r="AA32" s="179"/>
      <c r="AB32" s="179"/>
      <c r="AC32" s="179"/>
      <c r="AD32" s="179"/>
    </row>
    <row r="33">
      <c r="A33" s="328" t="s">
        <v>36</v>
      </c>
      <c r="B33" s="356" t="s">
        <v>592</v>
      </c>
      <c r="C33" s="154" t="str">
        <f>VLOOKUP($B33,'Rate card'!$A$4:$G240,2,FALSE)</f>
        <v>Civil</v>
      </c>
      <c r="D33" s="154" t="str">
        <f>VLOOKUP($B33,'Rate card'!$A$4:$G240,3,FALSE)</f>
        <v>Waterproofing</v>
      </c>
      <c r="E33" s="154" t="s">
        <v>593</v>
      </c>
      <c r="F33" s="154" t="str">
        <f>VLOOKUP($B33,'Rate card'!$A$4:$G240,5,FALSE)</f>
        <v>Waterproofing with 2 coats </v>
      </c>
      <c r="G33" s="154" t="str">
        <f>VLOOKUP($B33,'Rate card'!$A$4:$G240,6,FALSE)</f>
        <v>Sqft</v>
      </c>
      <c r="H33" s="155">
        <f>VLOOKUP($B33,'Rate card'!$A$4:$J240,8,FALSE)</f>
        <v>80</v>
      </c>
      <c r="I33" s="357" t="s">
        <v>70</v>
      </c>
      <c r="J33" s="358">
        <f t="shared" si="3"/>
        <v>28000</v>
      </c>
      <c r="K33" s="333" t="s">
        <v>156</v>
      </c>
      <c r="L33" s="359"/>
      <c r="M33" s="179"/>
      <c r="N33" s="155">
        <f>VLOOKUP($B33,'Rate card'!$A$4:$J240,7,FALSE)</f>
        <v>50</v>
      </c>
      <c r="O33" s="360">
        <f t="shared" si="4"/>
        <v>17500</v>
      </c>
      <c r="P33" s="517"/>
      <c r="Q33" s="179"/>
      <c r="R33" s="179"/>
      <c r="S33" s="179"/>
      <c r="T33" s="179"/>
      <c r="U33" s="179"/>
      <c r="V33" s="179"/>
      <c r="W33" s="179"/>
      <c r="X33" s="179"/>
      <c r="Y33" s="179"/>
      <c r="Z33" s="179"/>
      <c r="AA33" s="179"/>
      <c r="AB33" s="179"/>
      <c r="AC33" s="179"/>
      <c r="AD33" s="179"/>
    </row>
    <row r="34">
      <c r="A34" s="328" t="s">
        <v>92</v>
      </c>
      <c r="B34" s="328"/>
      <c r="C34" s="339" t="s">
        <v>20</v>
      </c>
      <c r="D34" s="515" t="s">
        <v>83</v>
      </c>
      <c r="E34" s="329" t="str">
        <f>E30</f>
        <v>NA</v>
      </c>
      <c r="F34" s="340" t="s">
        <v>84</v>
      </c>
      <c r="G34" s="339" t="s">
        <v>175</v>
      </c>
      <c r="H34" s="341">
        <v>120.0</v>
      </c>
      <c r="I34" s="344">
        <f>272+234+234+275</f>
        <v>1015</v>
      </c>
      <c r="J34" s="332">
        <f t="shared" ref="J34:J36" si="5">I34*H34</f>
        <v>121800</v>
      </c>
      <c r="K34" s="333" t="s">
        <v>667</v>
      </c>
      <c r="L34" s="348"/>
      <c r="M34" s="335"/>
      <c r="N34" s="336"/>
      <c r="O34" s="337"/>
      <c r="P34" s="514"/>
      <c r="Q34" s="335"/>
      <c r="R34" s="335"/>
      <c r="S34" s="335"/>
      <c r="T34" s="335"/>
      <c r="U34" s="335"/>
      <c r="V34" s="335"/>
      <c r="W34" s="335"/>
      <c r="X34" s="335"/>
      <c r="Y34" s="335"/>
      <c r="Z34" s="335"/>
      <c r="AA34" s="335"/>
      <c r="AB34" s="335"/>
      <c r="AC34" s="335"/>
      <c r="AD34" s="335"/>
    </row>
    <row r="35">
      <c r="A35" s="328" t="s">
        <v>95</v>
      </c>
      <c r="B35" s="342"/>
      <c r="C35" s="343" t="s">
        <v>20</v>
      </c>
      <c r="D35" s="344" t="s">
        <v>668</v>
      </c>
      <c r="E35" s="340" t="s">
        <v>570</v>
      </c>
      <c r="F35" s="340" t="s">
        <v>80</v>
      </c>
      <c r="G35" s="343" t="s">
        <v>175</v>
      </c>
      <c r="H35" s="344" t="s">
        <v>571</v>
      </c>
      <c r="I35" s="344">
        <f>55+272+40+234+40+234+57+275</f>
        <v>1207</v>
      </c>
      <c r="J35" s="332">
        <f t="shared" si="5"/>
        <v>168980</v>
      </c>
      <c r="K35" s="333" t="s">
        <v>156</v>
      </c>
      <c r="L35" s="335"/>
      <c r="M35" s="335"/>
      <c r="N35" s="336"/>
      <c r="O35" s="346"/>
      <c r="P35" s="516"/>
      <c r="Q35" s="335"/>
      <c r="R35" s="335"/>
      <c r="S35" s="335"/>
      <c r="T35" s="335"/>
      <c r="U35" s="335"/>
      <c r="V35" s="335"/>
      <c r="W35" s="335"/>
      <c r="X35" s="335"/>
      <c r="Y35" s="335"/>
      <c r="Z35" s="335"/>
      <c r="AA35" s="335"/>
      <c r="AB35" s="335"/>
      <c r="AC35" s="335"/>
      <c r="AD35" s="335"/>
    </row>
    <row r="36">
      <c r="A36" s="328" t="s">
        <v>97</v>
      </c>
      <c r="B36" s="347" t="s">
        <v>576</v>
      </c>
      <c r="C36" s="329" t="str">
        <f>VLOOKUP($B36,'Rate card'!$A$4:$G240,2,FALSE)</f>
        <v>Civil</v>
      </c>
      <c r="D36" s="331" t="s">
        <v>579</v>
      </c>
      <c r="E36" s="329" t="str">
        <f>VLOOKUP($B36,'Rate card'!$A$4:$G240,4,FALSE)</f>
        <v>Fully Modular Kitchen - Granite/Marble</v>
      </c>
      <c r="F36" s="329" t="str">
        <f>VLOOKUP($B36,'Rate card'!$A$4:$G240,5,FALSE)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36" s="329" t="str">
        <f>VLOOKUP($B36,'Rate card'!$A$4:$G240,6,FALSE)</f>
        <v>Sqft</v>
      </c>
      <c r="H36" s="330">
        <v>500.0</v>
      </c>
      <c r="I36" s="331" t="s">
        <v>95</v>
      </c>
      <c r="J36" s="332">
        <f t="shared" si="5"/>
        <v>5000</v>
      </c>
      <c r="K36" s="333" t="s">
        <v>580</v>
      </c>
      <c r="L36" s="348"/>
      <c r="M36" s="335"/>
      <c r="N36" s="336"/>
      <c r="O36" s="337">
        <f>VLOOKUP($B36,'Rate card'!$A$4:$J240,7,FALSE)</f>
        <v>150</v>
      </c>
      <c r="P36" s="514"/>
      <c r="Q36" s="335"/>
      <c r="R36" s="335"/>
      <c r="S36" s="335"/>
      <c r="T36" s="335"/>
      <c r="U36" s="335"/>
      <c r="V36" s="335"/>
      <c r="W36" s="335"/>
      <c r="X36" s="335"/>
      <c r="Y36" s="335"/>
      <c r="Z36" s="335"/>
      <c r="AA36" s="335"/>
      <c r="AB36" s="335"/>
      <c r="AC36" s="335"/>
      <c r="AD36" s="335"/>
    </row>
    <row r="37">
      <c r="A37" s="328" t="s">
        <v>100</v>
      </c>
      <c r="B37" s="356" t="s">
        <v>587</v>
      </c>
      <c r="C37" s="154" t="str">
        <f>VLOOKUP($B37,'Rate card'!$A$4:$G240,2,FALSE)</f>
        <v>Civil</v>
      </c>
      <c r="D37" s="154" t="str">
        <f>VLOOKUP($B37,'Rate card'!$A$4:$G240,3,FALSE)</f>
        <v>Granite frames</v>
      </c>
      <c r="E37" s="154" t="str">
        <f>VLOOKUP($B37,'Rate card'!$A$4:$G240,4,FALSE)</f>
        <v>Single patti</v>
      </c>
      <c r="F37" s="154" t="str">
        <f>VLOOKUP($B37,'Rate card'!$A$4:$G240,5,FALSE)</f>
        <v>Granite Frame – up to 6 Inches width
{Including Bevelling+ Cutting+ Polishing}. Excludes Granite cost</v>
      </c>
      <c r="G37" s="154" t="str">
        <f>VLOOKUP($B37,'Rate card'!$A$4:$G240,6,FALSE)</f>
        <v>Rft</v>
      </c>
      <c r="H37" s="155">
        <f>VLOOKUP($B37,'Rate card'!$A$4:$J240,8,FALSE)</f>
        <v>130</v>
      </c>
      <c r="I37" s="357">
        <f>20*4</f>
        <v>80</v>
      </c>
      <c r="J37" s="358">
        <f t="shared" ref="J37:J38" si="6">H37*I37</f>
        <v>10400</v>
      </c>
      <c r="K37" s="518" t="s">
        <v>669</v>
      </c>
      <c r="L37" s="359"/>
      <c r="M37" s="179"/>
      <c r="N37" s="155">
        <f>VLOOKUP($B37,'Rate card'!$A$4:$J240,7,FALSE)</f>
        <v>80</v>
      </c>
      <c r="O37" s="360">
        <f t="shared" ref="O37:O38" si="7">I37*N37</f>
        <v>6400</v>
      </c>
      <c r="P37" s="517"/>
      <c r="Q37" s="179"/>
      <c r="R37" s="179"/>
      <c r="S37" s="179"/>
      <c r="T37" s="179"/>
      <c r="U37" s="179"/>
      <c r="V37" s="179"/>
      <c r="W37" s="179"/>
      <c r="X37" s="179"/>
      <c r="Y37" s="179"/>
      <c r="Z37" s="179"/>
      <c r="AA37" s="179"/>
      <c r="AB37" s="179"/>
      <c r="AC37" s="179"/>
      <c r="AD37" s="179"/>
    </row>
    <row r="38">
      <c r="A38" s="328" t="s">
        <v>103</v>
      </c>
      <c r="B38" s="356" t="s">
        <v>594</v>
      </c>
      <c r="C38" s="154" t="str">
        <f>VLOOKUP($B38,'Rate card'!$A$4:$G240,2,FALSE)</f>
        <v>Civil</v>
      </c>
      <c r="D38" s="154" t="str">
        <f>VLOOKUP($B38,'Rate card'!$A$4:$G240,3,FALSE)</f>
        <v>Vanity counter</v>
      </c>
      <c r="E38" s="154" t="str">
        <f>VLOOKUP($B38,'Rate card'!$A$4:$G240,4,FALSE)</f>
        <v>Granite/Marble</v>
      </c>
      <c r="F38" s="154" t="str">
        <f>VLOOKUP($B38,'Rate card'!$A$4:$G240,5,FALSE)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38" s="154" t="str">
        <f>VLOOKUP($B38,'Rate card'!$A$4:$G240,6,FALSE)</f>
        <v>Rft</v>
      </c>
      <c r="H38" s="155">
        <f>VLOOKUP($B38,'Rate card'!$A$4:$J240,8,FALSE)</f>
        <v>1500</v>
      </c>
      <c r="I38" s="357" t="s">
        <v>224</v>
      </c>
      <c r="J38" s="358">
        <f t="shared" si="6"/>
        <v>33000</v>
      </c>
      <c r="K38" s="365" t="s">
        <v>156</v>
      </c>
      <c r="L38" s="359"/>
      <c r="M38" s="179"/>
      <c r="N38" s="155">
        <f>VLOOKUP($B38,'Rate card'!$A$4:$J240,7,FALSE)</f>
        <v>1000</v>
      </c>
      <c r="O38" s="360">
        <f t="shared" si="7"/>
        <v>22000</v>
      </c>
      <c r="P38" s="517"/>
      <c r="Q38" s="179"/>
      <c r="R38" s="179"/>
      <c r="S38" s="179"/>
      <c r="T38" s="179"/>
      <c r="U38" s="179"/>
      <c r="V38" s="179"/>
      <c r="W38" s="179"/>
      <c r="X38" s="179"/>
      <c r="Y38" s="179"/>
      <c r="Z38" s="179"/>
      <c r="AA38" s="179"/>
      <c r="AB38" s="179"/>
      <c r="AC38" s="179"/>
      <c r="AD38" s="179"/>
    </row>
    <row r="39">
      <c r="A39" s="328" t="s">
        <v>104</v>
      </c>
      <c r="B39" s="457"/>
      <c r="C39" s="413" t="s">
        <v>654</v>
      </c>
      <c r="D39" s="480"/>
      <c r="E39" s="480"/>
      <c r="F39" s="508"/>
      <c r="G39" s="476" t="s">
        <v>367</v>
      </c>
      <c r="H39" s="509">
        <v>50.0</v>
      </c>
      <c r="I39" s="453">
        <f>I92+I95+I107+I120+I131</f>
        <v>327.5</v>
      </c>
      <c r="J39" s="483">
        <f>(H39*I39)</f>
        <v>16375</v>
      </c>
      <c r="K39" s="62" t="s">
        <v>655</v>
      </c>
      <c r="L39" s="281"/>
      <c r="M39" s="281"/>
      <c r="N39" s="281"/>
      <c r="O39" s="281"/>
      <c r="P39" s="463"/>
      <c r="Q39" s="281"/>
      <c r="R39" s="281"/>
      <c r="S39" s="281"/>
      <c r="T39" s="281"/>
      <c r="U39" s="281"/>
      <c r="V39" s="281"/>
      <c r="W39" s="281"/>
      <c r="X39" s="281"/>
      <c r="Y39" s="281"/>
      <c r="Z39" s="281"/>
      <c r="AA39" s="281"/>
      <c r="AB39" s="281"/>
      <c r="AC39" s="281"/>
      <c r="AD39" s="281"/>
    </row>
    <row r="40">
      <c r="A40" s="328" t="s">
        <v>107</v>
      </c>
      <c r="B40" s="457"/>
      <c r="C40" s="409"/>
      <c r="D40" s="474"/>
      <c r="E40" s="474"/>
      <c r="F40" s="519"/>
      <c r="G40" s="409"/>
      <c r="H40" s="503"/>
      <c r="I40" s="421"/>
      <c r="J40" s="483"/>
      <c r="K40" s="62"/>
      <c r="L40" s="281"/>
      <c r="M40" s="281"/>
      <c r="N40" s="281"/>
      <c r="O40" s="281"/>
      <c r="P40" s="463"/>
      <c r="Q40" s="281"/>
      <c r="R40" s="281"/>
      <c r="S40" s="281"/>
      <c r="T40" s="281"/>
      <c r="U40" s="281"/>
      <c r="V40" s="281"/>
      <c r="W40" s="281"/>
      <c r="X40" s="281"/>
      <c r="Y40" s="281"/>
      <c r="Z40" s="281"/>
      <c r="AA40" s="281"/>
      <c r="AB40" s="281"/>
      <c r="AC40" s="281"/>
      <c r="AD40" s="281"/>
    </row>
    <row r="41">
      <c r="A41" s="328" t="s">
        <v>103</v>
      </c>
      <c r="B41" s="356" t="s">
        <v>594</v>
      </c>
      <c r="C41" s="154" t="str">
        <f>VLOOKUP($B41,'Rate card'!$A$4:$G240,2,FALSE)</f>
        <v>Civil</v>
      </c>
      <c r="D41" s="156" t="s">
        <v>119</v>
      </c>
      <c r="E41" s="154" t="str">
        <f>VLOOKUP($B41,'Rate card'!$A$4:$G240,4,FALSE)</f>
        <v>Granite/Marble</v>
      </c>
      <c r="F41" s="154" t="str">
        <f>VLOOKUP($B41,'Rate card'!$A$4:$G240,5,FALSE)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41" s="154" t="str">
        <f>VLOOKUP($B41,'Rate card'!$A$4:$G240,6,FALSE)</f>
        <v>Rft</v>
      </c>
      <c r="H41" s="155">
        <f>VLOOKUP($B41,'Rate card'!$A$4:$J240,8,FALSE)</f>
        <v>1500</v>
      </c>
      <c r="I41" s="357" t="s">
        <v>121</v>
      </c>
      <c r="J41" s="358">
        <f>H41*I41</f>
        <v>30000</v>
      </c>
      <c r="K41" s="365" t="s">
        <v>156</v>
      </c>
      <c r="L41" s="359"/>
      <c r="M41" s="179"/>
      <c r="N41" s="155">
        <f>VLOOKUP($B41,'Rate card'!$A$4:$J240,7,FALSE)</f>
        <v>1000</v>
      </c>
      <c r="O41" s="360">
        <f>I41*N41</f>
        <v>20000</v>
      </c>
      <c r="P41" s="517"/>
      <c r="Q41" s="179"/>
      <c r="R41" s="179"/>
      <c r="S41" s="179"/>
      <c r="T41" s="179"/>
      <c r="U41" s="179"/>
      <c r="V41" s="179"/>
      <c r="W41" s="179"/>
      <c r="X41" s="179"/>
      <c r="Y41" s="179"/>
      <c r="Z41" s="179"/>
      <c r="AA41" s="179"/>
      <c r="AB41" s="179"/>
      <c r="AC41" s="179"/>
      <c r="AD41" s="179"/>
    </row>
    <row r="42">
      <c r="A42" s="328"/>
      <c r="B42" s="405"/>
      <c r="C42" s="405"/>
      <c r="D42" s="418"/>
      <c r="E42" s="405"/>
      <c r="F42" s="405"/>
      <c r="G42" s="405"/>
      <c r="H42" s="358"/>
      <c r="I42" s="369" t="s">
        <v>125</v>
      </c>
      <c r="J42" s="370">
        <f>SUM(J26:J41)</f>
        <v>566705</v>
      </c>
      <c r="K42" s="365"/>
      <c r="L42" s="359"/>
      <c r="M42" s="179"/>
      <c r="N42" s="520"/>
      <c r="O42" s="376"/>
      <c r="P42" s="517"/>
      <c r="Q42" s="179"/>
      <c r="R42" s="179"/>
      <c r="S42" s="179"/>
      <c r="T42" s="179"/>
      <c r="U42" s="179"/>
      <c r="V42" s="179"/>
      <c r="W42" s="179"/>
      <c r="X42" s="179"/>
      <c r="Y42" s="179"/>
      <c r="Z42" s="179"/>
      <c r="AA42" s="179"/>
      <c r="AB42" s="179"/>
      <c r="AC42" s="179"/>
      <c r="AD42" s="179"/>
    </row>
    <row r="43" ht="28.5" customHeight="1">
      <c r="A43" s="321" t="s">
        <v>22</v>
      </c>
      <c r="B43" s="322"/>
      <c r="C43" s="322"/>
      <c r="D43" s="322"/>
      <c r="E43" s="322"/>
      <c r="F43" s="322"/>
      <c r="G43" s="323"/>
      <c r="H43" s="324"/>
      <c r="I43" s="298"/>
      <c r="J43" s="324"/>
      <c r="K43" s="294"/>
      <c r="L43" s="325"/>
      <c r="M43" s="325"/>
      <c r="N43" s="372"/>
      <c r="O43" s="373"/>
      <c r="P43" s="463"/>
      <c r="Q43" s="281"/>
      <c r="R43" s="281"/>
      <c r="S43" s="281"/>
      <c r="T43" s="281"/>
      <c r="U43" s="281"/>
      <c r="V43" s="281"/>
      <c r="W43" s="281"/>
      <c r="X43" s="281"/>
      <c r="Y43" s="281"/>
      <c r="Z43" s="281"/>
      <c r="AA43" s="281"/>
      <c r="AB43" s="281"/>
      <c r="AC43" s="281"/>
      <c r="AD43" s="281"/>
    </row>
    <row r="44">
      <c r="A44" s="329" t="s">
        <v>16</v>
      </c>
      <c r="B44" s="328" t="s">
        <v>126</v>
      </c>
      <c r="C44" s="339" t="s">
        <v>22</v>
      </c>
      <c r="D44" s="339" t="s">
        <v>127</v>
      </c>
      <c r="E44" s="515" t="s">
        <v>128</v>
      </c>
      <c r="F44" s="521" t="s">
        <v>129</v>
      </c>
      <c r="G44" s="339" t="s">
        <v>130</v>
      </c>
      <c r="H44" s="374" t="s">
        <v>131</v>
      </c>
      <c r="I44" s="374" t="s">
        <v>16</v>
      </c>
      <c r="J44" s="330">
        <f t="shared" ref="J44:J47" si="8">H44*I44</f>
        <v>35000</v>
      </c>
      <c r="K44" s="333" t="s">
        <v>132</v>
      </c>
      <c r="L44" s="179"/>
      <c r="M44" s="179"/>
      <c r="N44" s="375">
        <f>VLOOKUP($B44,'Rate card'!$A$4:$J240,7,FALSE)</f>
        <v>8000</v>
      </c>
      <c r="O44" s="376">
        <f t="shared" ref="O44:O47" si="9">I44*N44</f>
        <v>8000</v>
      </c>
      <c r="P44" s="522"/>
      <c r="Q44" s="148"/>
      <c r="R44" s="148"/>
      <c r="S44" s="148"/>
      <c r="T44" s="148"/>
      <c r="U44" s="148"/>
      <c r="V44" s="148"/>
      <c r="W44" s="148"/>
      <c r="X44" s="148"/>
      <c r="Y44" s="148"/>
      <c r="Z44" s="148"/>
      <c r="AA44" s="148"/>
      <c r="AB44" s="148"/>
      <c r="AC44" s="148"/>
      <c r="AD44" s="148"/>
    </row>
    <row r="45">
      <c r="A45" s="329" t="s">
        <v>18</v>
      </c>
      <c r="B45" s="328" t="s">
        <v>126</v>
      </c>
      <c r="C45" s="339" t="s">
        <v>22</v>
      </c>
      <c r="D45" s="339" t="s">
        <v>127</v>
      </c>
      <c r="E45" s="515" t="s">
        <v>133</v>
      </c>
      <c r="F45" s="521" t="s">
        <v>129</v>
      </c>
      <c r="G45" s="339" t="s">
        <v>130</v>
      </c>
      <c r="H45" s="374" t="s">
        <v>276</v>
      </c>
      <c r="I45" s="374" t="s">
        <v>16</v>
      </c>
      <c r="J45" s="330">
        <f t="shared" si="8"/>
        <v>40000</v>
      </c>
      <c r="K45" s="333" t="s">
        <v>135</v>
      </c>
      <c r="L45" s="179"/>
      <c r="M45" s="179"/>
      <c r="N45" s="375">
        <f>VLOOKUP($B45,'Rate card'!$A$4:$J240,7,FALSE)</f>
        <v>8000</v>
      </c>
      <c r="O45" s="376">
        <f t="shared" si="9"/>
        <v>8000</v>
      </c>
      <c r="P45" s="522"/>
      <c r="Q45" s="148"/>
      <c r="R45" s="148"/>
      <c r="S45" s="148"/>
      <c r="T45" s="148"/>
      <c r="U45" s="148"/>
      <c r="V45" s="148"/>
      <c r="W45" s="148"/>
      <c r="X45" s="148"/>
      <c r="Y45" s="148"/>
      <c r="Z45" s="148"/>
      <c r="AA45" s="148"/>
      <c r="AB45" s="148"/>
      <c r="AC45" s="148"/>
      <c r="AD45" s="148"/>
    </row>
    <row r="46">
      <c r="A46" s="329" t="s">
        <v>24</v>
      </c>
      <c r="B46" s="328" t="s">
        <v>126</v>
      </c>
      <c r="C46" s="339" t="s">
        <v>22</v>
      </c>
      <c r="D46" s="339" t="s">
        <v>127</v>
      </c>
      <c r="E46" s="515" t="s">
        <v>128</v>
      </c>
      <c r="F46" s="521" t="s">
        <v>129</v>
      </c>
      <c r="G46" s="339" t="s">
        <v>130</v>
      </c>
      <c r="H46" s="374" t="s">
        <v>670</v>
      </c>
      <c r="I46" s="374" t="s">
        <v>16</v>
      </c>
      <c r="J46" s="330">
        <f t="shared" si="8"/>
        <v>25000</v>
      </c>
      <c r="K46" s="333" t="s">
        <v>136</v>
      </c>
      <c r="L46" s="179"/>
      <c r="M46" s="179"/>
      <c r="N46" s="375">
        <f>VLOOKUP($B46,'Rate card'!$A$4:$J240,7,FALSE)</f>
        <v>8000</v>
      </c>
      <c r="O46" s="376">
        <f t="shared" si="9"/>
        <v>8000</v>
      </c>
      <c r="P46" s="522"/>
      <c r="Q46" s="148"/>
      <c r="R46" s="148"/>
      <c r="S46" s="148"/>
      <c r="T46" s="148"/>
      <c r="U46" s="148"/>
      <c r="V46" s="148"/>
      <c r="W46" s="148"/>
      <c r="X46" s="148"/>
      <c r="Y46" s="148"/>
      <c r="Z46" s="148"/>
      <c r="AA46" s="148"/>
      <c r="AB46" s="148"/>
      <c r="AC46" s="148"/>
      <c r="AD46" s="148"/>
    </row>
    <row r="47" ht="45.75" customHeight="1">
      <c r="A47" s="329" t="s">
        <v>27</v>
      </c>
      <c r="B47" s="356" t="s">
        <v>137</v>
      </c>
      <c r="C47" s="150" t="str">
        <f>VLOOKUP($B47,'Rate card'!$A$4:$G240,2,FALSE)</f>
        <v>Plumbing</v>
      </c>
      <c r="D47" s="150" t="str">
        <f>VLOOKUP($B47,'Rate card'!$A$4:$G240,3,FALSE)</f>
        <v>Kitchen Plumbing</v>
      </c>
      <c r="E47" s="185" t="s">
        <v>138</v>
      </c>
      <c r="F47" s="154" t="str">
        <f>VLOOKUP($B47,'Rate card'!$A$4:$G240,5,FALSE)</f>
        <v>all plumbing concealed wall and floor CPVC and UPVC pipes and chipping and replastering work </v>
      </c>
      <c r="G47" s="150" t="str">
        <f>VLOOKUP($B47,'Rate card'!$A$4:$G240,6,FALSE)</f>
        <v>per kitchen</v>
      </c>
      <c r="H47" s="149" t="s">
        <v>670</v>
      </c>
      <c r="I47" s="170" t="s">
        <v>16</v>
      </c>
      <c r="J47" s="377">
        <f t="shared" si="8"/>
        <v>25000</v>
      </c>
      <c r="K47" s="378" t="s">
        <v>140</v>
      </c>
      <c r="L47" s="359"/>
      <c r="M47" s="179"/>
      <c r="N47" s="151">
        <f>VLOOKUP($B47,'Rate card'!$A$4:$J240,7,FALSE)</f>
        <v>5500</v>
      </c>
      <c r="O47" s="376">
        <f t="shared" si="9"/>
        <v>5500</v>
      </c>
      <c r="P47" s="522"/>
      <c r="Q47" s="148"/>
      <c r="R47" s="148"/>
      <c r="S47" s="148"/>
      <c r="T47" s="148"/>
      <c r="U47" s="148"/>
      <c r="V47" s="148"/>
      <c r="W47" s="148"/>
      <c r="X47" s="148"/>
      <c r="Y47" s="148"/>
      <c r="Z47" s="148"/>
      <c r="AA47" s="148"/>
      <c r="AB47" s="148"/>
      <c r="AC47" s="148"/>
      <c r="AD47" s="148"/>
    </row>
    <row r="48">
      <c r="A48" s="366"/>
      <c r="B48" s="367"/>
      <c r="C48" s="367"/>
      <c r="D48" s="367"/>
      <c r="E48" s="367"/>
      <c r="F48" s="367"/>
      <c r="G48" s="367"/>
      <c r="H48" s="379"/>
      <c r="I48" s="369" t="s">
        <v>125</v>
      </c>
      <c r="J48" s="370">
        <f>SUM(J44:J47)</f>
        <v>125000</v>
      </c>
      <c r="K48" s="370"/>
      <c r="L48" s="335"/>
      <c r="M48" s="335"/>
      <c r="N48" s="336"/>
      <c r="O48" s="346"/>
      <c r="P48" s="523"/>
      <c r="Q48" s="335"/>
      <c r="R48" s="335"/>
      <c r="S48" s="335"/>
      <c r="T48" s="335"/>
      <c r="U48" s="335"/>
      <c r="V48" s="335"/>
      <c r="W48" s="335"/>
      <c r="X48" s="335"/>
      <c r="Y48" s="335"/>
      <c r="Z48" s="335"/>
      <c r="AA48" s="335"/>
      <c r="AB48" s="335"/>
      <c r="AC48" s="335"/>
      <c r="AD48" s="335"/>
    </row>
    <row r="49" ht="28.5" customHeight="1">
      <c r="A49" s="321" t="s">
        <v>25</v>
      </c>
      <c r="B49" s="322"/>
      <c r="C49" s="322"/>
      <c r="D49" s="322"/>
      <c r="E49" s="322"/>
      <c r="F49" s="322"/>
      <c r="G49" s="323"/>
      <c r="H49" s="324"/>
      <c r="I49" s="298"/>
      <c r="J49" s="324"/>
      <c r="K49" s="294"/>
      <c r="L49" s="325"/>
      <c r="M49" s="325"/>
      <c r="N49" s="372"/>
      <c r="O49" s="373"/>
      <c r="P49" s="463"/>
      <c r="Q49" s="281"/>
      <c r="R49" s="281"/>
      <c r="S49" s="281"/>
      <c r="T49" s="281"/>
      <c r="U49" s="281"/>
      <c r="V49" s="281"/>
      <c r="W49" s="281"/>
      <c r="X49" s="281"/>
      <c r="Y49" s="281"/>
      <c r="Z49" s="281"/>
      <c r="AA49" s="281"/>
      <c r="AB49" s="281"/>
      <c r="AC49" s="281"/>
      <c r="AD49" s="281"/>
    </row>
    <row r="50">
      <c r="A50" s="329" t="s">
        <v>16</v>
      </c>
      <c r="B50" s="347" t="s">
        <v>141</v>
      </c>
      <c r="C50" s="380" t="s">
        <v>25</v>
      </c>
      <c r="D50" s="343" t="s">
        <v>142</v>
      </c>
      <c r="E50" s="380" t="s">
        <v>143</v>
      </c>
      <c r="F50" s="380" t="s">
        <v>144</v>
      </c>
      <c r="G50" s="381" t="s">
        <v>145</v>
      </c>
      <c r="H50" s="374" t="s">
        <v>70</v>
      </c>
      <c r="I50" s="374" t="s">
        <v>146</v>
      </c>
      <c r="J50" s="330">
        <f>H50*I50</f>
        <v>585550</v>
      </c>
      <c r="K50" s="333" t="s">
        <v>151</v>
      </c>
      <c r="L50" s="179"/>
      <c r="M50" s="179"/>
      <c r="N50" s="375">
        <f>VLOOKUP($B50,'Rate card'!$A$4:$J240,7,FALSE)</f>
        <v>625</v>
      </c>
      <c r="O50" s="376">
        <f>I50*N50</f>
        <v>1045625</v>
      </c>
      <c r="P50" s="522"/>
      <c r="Q50" s="148"/>
      <c r="R50" s="148"/>
      <c r="S50" s="148"/>
      <c r="T50" s="148"/>
      <c r="U50" s="148"/>
      <c r="V50" s="148"/>
      <c r="W50" s="148"/>
      <c r="X50" s="148"/>
      <c r="Y50" s="148"/>
      <c r="Z50" s="148"/>
      <c r="AA50" s="148"/>
      <c r="AB50" s="148"/>
      <c r="AC50" s="148"/>
      <c r="AD50" s="148"/>
    </row>
    <row r="51">
      <c r="A51" s="382"/>
      <c r="B51" s="382"/>
      <c r="C51" s="154"/>
      <c r="D51" s="154"/>
      <c r="E51" s="154"/>
      <c r="F51" s="154"/>
      <c r="G51" s="154"/>
      <c r="H51" s="383"/>
      <c r="I51" s="369" t="s">
        <v>125</v>
      </c>
      <c r="J51" s="384">
        <f>SUM(J50)</f>
        <v>585550</v>
      </c>
      <c r="K51" s="189"/>
      <c r="L51" s="385"/>
      <c r="M51" s="179"/>
      <c r="N51" s="386"/>
      <c r="O51" s="387"/>
      <c r="P51" s="524"/>
      <c r="Q51" s="148"/>
      <c r="R51" s="148"/>
      <c r="S51" s="148"/>
      <c r="T51" s="148"/>
      <c r="U51" s="148"/>
      <c r="V51" s="148"/>
      <c r="W51" s="148"/>
      <c r="X51" s="148"/>
      <c r="Y51" s="148"/>
      <c r="Z51" s="148"/>
      <c r="AA51" s="148"/>
      <c r="AB51" s="148"/>
      <c r="AC51" s="148"/>
      <c r="AD51" s="148"/>
    </row>
    <row r="52">
      <c r="A52" s="388" t="s">
        <v>148</v>
      </c>
      <c r="B52" s="389"/>
      <c r="C52" s="389"/>
      <c r="D52" s="389"/>
      <c r="E52" s="389"/>
      <c r="F52" s="389"/>
      <c r="G52" s="390"/>
      <c r="H52" s="391"/>
      <c r="I52" s="390"/>
      <c r="J52" s="390"/>
      <c r="K52" s="392"/>
      <c r="L52" s="335"/>
      <c r="M52" s="393"/>
      <c r="N52" s="394"/>
      <c r="O52" s="346"/>
      <c r="P52" s="516"/>
      <c r="Q52" s="346"/>
      <c r="R52" s="346"/>
      <c r="S52" s="346"/>
      <c r="T52" s="346"/>
      <c r="U52" s="346"/>
      <c r="V52" s="346"/>
      <c r="W52" s="346"/>
      <c r="X52" s="346"/>
      <c r="Y52" s="346"/>
      <c r="Z52" s="346"/>
      <c r="AA52" s="346"/>
      <c r="AB52" s="346"/>
      <c r="AC52" s="148"/>
      <c r="AD52" s="148"/>
    </row>
    <row r="53">
      <c r="A53" s="347" t="s">
        <v>16</v>
      </c>
      <c r="B53" s="343" t="s">
        <v>149</v>
      </c>
      <c r="C53" s="343" t="str">
        <f>VLOOKUP($B53,'Rate card'!$A$4:$G240,2,FALSE)</f>
        <v>False Ceiling</v>
      </c>
      <c r="D53" s="343" t="str">
        <f>VLOOKUP($B53,'Rate card'!$A$4:$G240,3,FALSE)</f>
        <v>Gypsum Board Ceiling</v>
      </c>
      <c r="E53" s="343" t="str">
        <f>VLOOKUP($B53,'Rate card'!$A$4:$G240,4,FALSE)</f>
        <v>Saint Gobain/Gyproc Board + local A Grade  channel</v>
      </c>
      <c r="F53" s="343" t="str">
        <f>VLOOKUP($B53,'Rate card'!$A$4:$G240,5,FALSE)</f>
        <v>12.5mm thick gypsum board, with local A Grade Channel including all material, labour, transportation etc | Ceiling Channel and Intermediate Channel at 900mm c/c &amp; Ceiling Section at 450mm c/c</v>
      </c>
      <c r="G53" s="343" t="str">
        <f>VLOOKUP($B53,'Rate card'!$A$4:$G240,6,FALSE)</f>
        <v>Sqft</v>
      </c>
      <c r="H53" s="395">
        <v>120.0</v>
      </c>
      <c r="I53" s="344" t="s">
        <v>150</v>
      </c>
      <c r="J53" s="396">
        <f t="shared" ref="J53:J58" si="10">H53*I53</f>
        <v>173640</v>
      </c>
      <c r="K53" s="397" t="s">
        <v>151</v>
      </c>
      <c r="L53" s="346"/>
      <c r="M53" s="346"/>
      <c r="N53" s="398"/>
      <c r="O53" s="346"/>
      <c r="P53" s="516"/>
      <c r="Q53" s="346"/>
      <c r="R53" s="346"/>
      <c r="S53" s="346"/>
      <c r="T53" s="346"/>
      <c r="U53" s="346"/>
      <c r="V53" s="346"/>
      <c r="W53" s="346"/>
      <c r="X53" s="346"/>
      <c r="Y53" s="346"/>
      <c r="Z53" s="346"/>
      <c r="AA53" s="346"/>
      <c r="AB53" s="346"/>
      <c r="AC53" s="148"/>
      <c r="AD53" s="148"/>
    </row>
    <row r="54">
      <c r="A54" s="347" t="s">
        <v>18</v>
      </c>
      <c r="B54" s="347" t="s">
        <v>152</v>
      </c>
      <c r="C54" s="329" t="str">
        <f>VLOOKUP($B54,'Rate card'!$A$4:$G240,2,FALSE)</f>
        <v>False Ceiling</v>
      </c>
      <c r="D54" s="329" t="str">
        <f>VLOOKUP($B54,'Rate card'!$A$4:$G240,3,FALSE)</f>
        <v>Gypsum Board Cove</v>
      </c>
      <c r="E54" s="329" t="str">
        <f>VLOOKUP($B54,'Rate card'!$A$4:$G240,4,FALSE)</f>
        <v>Gypsum cove</v>
      </c>
      <c r="F54" s="329" t="str">
        <f>VLOOKUP($B54,'Rate card'!$A$4:$G240,5,FALSE)</f>
        <v>12.5mm thick gypsum board, with local A Grade Channel including all material, labour, transportation etc | Ceiling Channel and Intermediate Channel at 900mm c/c &amp; Ceiling Section at 450mm c/c</v>
      </c>
      <c r="G54" s="329" t="str">
        <f>VLOOKUP($B54,'Rate card'!$A$4:$G240,6,FALSE)</f>
        <v>Rft</v>
      </c>
      <c r="H54" s="395">
        <v>120.0</v>
      </c>
      <c r="I54" s="328" t="s">
        <v>153</v>
      </c>
      <c r="J54" s="399">
        <f t="shared" si="10"/>
        <v>96000</v>
      </c>
      <c r="K54" s="397" t="s">
        <v>151</v>
      </c>
      <c r="L54" s="346"/>
      <c r="M54" s="346"/>
      <c r="N54" s="398"/>
      <c r="O54" s="346"/>
      <c r="P54" s="516"/>
      <c r="Q54" s="346"/>
      <c r="R54" s="346"/>
      <c r="S54" s="346"/>
      <c r="T54" s="346"/>
      <c r="U54" s="346"/>
      <c r="V54" s="346"/>
      <c r="W54" s="346"/>
      <c r="X54" s="346"/>
      <c r="Y54" s="346"/>
      <c r="Z54" s="346"/>
      <c r="AA54" s="346"/>
      <c r="AB54" s="346"/>
      <c r="AC54" s="148"/>
      <c r="AD54" s="148"/>
    </row>
    <row r="55">
      <c r="A55" s="347" t="s">
        <v>24</v>
      </c>
      <c r="B55" s="356" t="s">
        <v>154</v>
      </c>
      <c r="C55" s="154" t="str">
        <f>VLOOKUP($B55,'Rate card'!$A$4:$G240,2,FALSE)</f>
        <v>False Ceiling</v>
      </c>
      <c r="D55" s="154" t="str">
        <f>VLOOKUP($B55,'Rate card'!$A$4:$G240,3,FALSE)</f>
        <v>Hilux Board ceiling</v>
      </c>
      <c r="E55" s="154" t="str">
        <f>VLOOKUP($B55,'Rate card'!$A$4:$G240,4,FALSE)</f>
        <v>Hilux Board + local A Grade  channel</v>
      </c>
      <c r="F55" s="154" t="str">
        <f>VLOOKUP($B55,'Rate card'!$A$4:$G240,5,FALSE)</f>
        <v>8mm Ramco hilux board, with local A Grade Channel including all material, labour, transportation etc | Ceiling Channel and Intermediate Channel at 900mm c/c &amp; Ceiling Section at 450mm c/c</v>
      </c>
      <c r="G55" s="154" t="str">
        <f>VLOOKUP($B55,'Rate card'!$A$4:$G240,6,FALSE)</f>
        <v>Sqft</v>
      </c>
      <c r="H55" s="151">
        <v>200.0</v>
      </c>
      <c r="I55" s="362" t="s">
        <v>155</v>
      </c>
      <c r="J55" s="358">
        <f t="shared" si="10"/>
        <v>45200</v>
      </c>
      <c r="K55" s="150" t="s">
        <v>156</v>
      </c>
      <c r="L55" s="148"/>
      <c r="M55" s="148"/>
      <c r="N55" s="151">
        <f>VLOOKUP($B55,'Rate card'!$A$4:$J240,7,FALSE)</f>
        <v>120</v>
      </c>
      <c r="O55" s="376">
        <f>I55*N55</f>
        <v>27120</v>
      </c>
      <c r="P55" s="522"/>
      <c r="Q55" s="148"/>
      <c r="R55" s="148"/>
      <c r="S55" s="148"/>
      <c r="T55" s="148"/>
      <c r="U55" s="148"/>
      <c r="V55" s="148"/>
      <c r="W55" s="148"/>
      <c r="X55" s="148"/>
      <c r="Y55" s="148"/>
      <c r="Z55" s="148"/>
      <c r="AA55" s="148"/>
      <c r="AB55" s="148"/>
      <c r="AC55" s="148"/>
      <c r="AD55" s="148"/>
    </row>
    <row r="56">
      <c r="A56" s="347" t="s">
        <v>27</v>
      </c>
      <c r="B56" s="400" t="s">
        <v>157</v>
      </c>
      <c r="C56" s="343" t="str">
        <f>VLOOKUP($B56,'Rate card'!$A$4:$G240,2,FALSE)</f>
        <v>POP</v>
      </c>
      <c r="D56" s="343" t="str">
        <f>VLOOKUP($B56,'Rate card'!$A$4:$G240,3,FALSE)</f>
        <v>POP Punning</v>
      </c>
      <c r="E56" s="343" t="str">
        <f>VLOOKUP($B56,'Rate card'!$A$4:$G240,4,FALSE)</f>
        <v>POP Punning (Plum) 12-25mm thick</v>
      </c>
      <c r="F56" s="343" t="str">
        <f>VLOOKUP($B56,'Rate card'!$A$4:$G240,5,FALSE)</f>
        <v>Providing and applying 12-25  mm thick POP punning on wall /ceiling including scrapping and hacking the existing finished surface and applying plaster of paris in proper line and levels etc. complete.</v>
      </c>
      <c r="G56" s="343" t="str">
        <f>VLOOKUP($B56,'Rate card'!$A$4:$G240,6,FALSE)</f>
        <v>Sqft</v>
      </c>
      <c r="H56" s="401">
        <v>45.0</v>
      </c>
      <c r="I56" s="402" t="s">
        <v>158</v>
      </c>
      <c r="J56" s="396">
        <f t="shared" si="10"/>
        <v>45000</v>
      </c>
      <c r="K56" s="403" t="s">
        <v>159</v>
      </c>
      <c r="L56" s="346"/>
      <c r="M56" s="346"/>
      <c r="N56" s="398"/>
      <c r="O56" s="346"/>
      <c r="P56" s="516"/>
      <c r="Q56" s="346"/>
      <c r="R56" s="346"/>
      <c r="S56" s="346"/>
      <c r="T56" s="346"/>
      <c r="U56" s="346"/>
      <c r="V56" s="346"/>
      <c r="W56" s="346"/>
      <c r="X56" s="346"/>
      <c r="Y56" s="346"/>
      <c r="Z56" s="346"/>
      <c r="AA56" s="346"/>
      <c r="AB56" s="346"/>
      <c r="AC56" s="148"/>
      <c r="AD56" s="148"/>
    </row>
    <row r="57">
      <c r="A57" s="347" t="s">
        <v>30</v>
      </c>
      <c r="B57" s="400" t="s">
        <v>600</v>
      </c>
      <c r="C57" s="343" t="str">
        <f>VLOOKUP($B57,'Rate card'!$A$4:$G240,2,FALSE)</f>
        <v>POP</v>
      </c>
      <c r="D57" s="343" t="str">
        <f>VLOOKUP($B57,'Rate card'!$A$4:$G240,3,FALSE)</f>
        <v>POP Punning dhar</v>
      </c>
      <c r="E57" s="343" t="str">
        <f>VLOOKUP($B57,'Rate card'!$A$4:$G240,4,FALSE)</f>
        <v>POP Punning (Plum) 12-25mm thick</v>
      </c>
      <c r="F57" s="343" t="str">
        <f>VLOOKUP($B57,'Rate card'!$A$4:$G240,5,FALSE)</f>
        <v>Providing and applying 12-25  mm thick POP punning on wall /ceiling including scrapping and hacking the existing finished surface and applying plaster of paris in proper line and levels etc. complete.</v>
      </c>
      <c r="G57" s="343" t="str">
        <f>VLOOKUP($B57,'Rate card'!$A$4:$G240,6,FALSE)</f>
        <v>Rft</v>
      </c>
      <c r="H57" s="401">
        <v>25.0</v>
      </c>
      <c r="I57" s="402" t="s">
        <v>601</v>
      </c>
      <c r="J57" s="396">
        <f t="shared" si="10"/>
        <v>15000</v>
      </c>
      <c r="K57" s="403" t="s">
        <v>671</v>
      </c>
      <c r="L57" s="346"/>
      <c r="M57" s="346"/>
      <c r="N57" s="398"/>
      <c r="O57" s="346"/>
      <c r="P57" s="516"/>
      <c r="Q57" s="346"/>
      <c r="R57" s="346"/>
      <c r="S57" s="346"/>
      <c r="T57" s="346"/>
      <c r="U57" s="346"/>
      <c r="V57" s="346"/>
      <c r="W57" s="346"/>
      <c r="X57" s="346"/>
      <c r="Y57" s="346"/>
      <c r="Z57" s="346"/>
      <c r="AA57" s="346"/>
      <c r="AB57" s="346"/>
      <c r="AC57" s="148"/>
      <c r="AD57" s="148"/>
    </row>
    <row r="58">
      <c r="A58" s="347" t="s">
        <v>32</v>
      </c>
      <c r="B58" s="400" t="s">
        <v>160</v>
      </c>
      <c r="C58" s="343" t="str">
        <f>VLOOKUP($B58,'Rate card'!$A$4:$G240,2,FALSE)</f>
        <v>False Ceiling</v>
      </c>
      <c r="D58" s="343" t="str">
        <f>VLOOKUP($B58,'Rate card'!$A$4:$G240,3,FALSE)</f>
        <v>Light Gala cutting</v>
      </c>
      <c r="E58" s="343" t="str">
        <f>VLOOKUP($B58,'Rate card'!$A$4:$G240,4,FALSE)</f>
        <v>NA</v>
      </c>
      <c r="F58" s="343" t="str">
        <f>VLOOKUP($B58,'Rate card'!$A$4:$G240,5,FALSE)</f>
        <v>NA</v>
      </c>
      <c r="G58" s="343" t="str">
        <f>VLOOKUP($B58,'Rate card'!$A$4:$G240,6,FALSE)</f>
        <v>Nos</v>
      </c>
      <c r="H58" s="395">
        <v>100.0</v>
      </c>
      <c r="I58" s="402" t="s">
        <v>90</v>
      </c>
      <c r="J58" s="396">
        <f t="shared" si="10"/>
        <v>20000</v>
      </c>
      <c r="K58" s="397" t="s">
        <v>151</v>
      </c>
      <c r="L58" s="346"/>
      <c r="M58" s="346"/>
      <c r="N58" s="398"/>
      <c r="O58" s="346"/>
      <c r="P58" s="516"/>
      <c r="Q58" s="346"/>
      <c r="R58" s="346"/>
      <c r="S58" s="346"/>
      <c r="T58" s="346"/>
      <c r="U58" s="346"/>
      <c r="V58" s="346"/>
      <c r="W58" s="346"/>
      <c r="X58" s="346"/>
      <c r="Y58" s="346"/>
      <c r="Z58" s="346"/>
      <c r="AA58" s="346"/>
      <c r="AB58" s="346"/>
      <c r="AC58" s="148"/>
      <c r="AD58" s="148"/>
    </row>
    <row r="59">
      <c r="A59" s="382"/>
      <c r="B59" s="404"/>
      <c r="C59" s="405"/>
      <c r="D59" s="405"/>
      <c r="E59" s="405"/>
      <c r="F59" s="405"/>
      <c r="G59" s="405"/>
      <c r="H59" s="406"/>
      <c r="I59" s="369" t="s">
        <v>125</v>
      </c>
      <c r="J59" s="384">
        <f>SUM(J53:J58)</f>
        <v>394840</v>
      </c>
      <c r="K59" s="189"/>
      <c r="L59" s="385"/>
      <c r="M59" s="179"/>
      <c r="N59" s="386"/>
      <c r="O59" s="387"/>
      <c r="P59" s="524"/>
      <c r="Q59" s="148"/>
      <c r="R59" s="148"/>
      <c r="S59" s="148"/>
      <c r="T59" s="148"/>
      <c r="U59" s="148"/>
      <c r="V59" s="148"/>
      <c r="W59" s="148"/>
      <c r="X59" s="148"/>
      <c r="Y59" s="148"/>
      <c r="Z59" s="148"/>
      <c r="AA59" s="148"/>
      <c r="AB59" s="148"/>
      <c r="AC59" s="148"/>
      <c r="AD59" s="148"/>
    </row>
    <row r="60">
      <c r="A60" s="407" t="s">
        <v>31</v>
      </c>
      <c r="B60" s="322"/>
      <c r="C60" s="322"/>
      <c r="D60" s="322"/>
      <c r="E60" s="322"/>
      <c r="F60" s="322"/>
      <c r="G60" s="323"/>
      <c r="H60" s="324"/>
      <c r="I60" s="390"/>
      <c r="J60" s="390"/>
      <c r="K60" s="294"/>
      <c r="L60" s="281"/>
      <c r="M60" s="281"/>
      <c r="N60" s="372"/>
      <c r="O60" s="373"/>
      <c r="P60" s="463"/>
      <c r="Q60" s="281"/>
      <c r="R60" s="281"/>
      <c r="S60" s="281"/>
      <c r="T60" s="281"/>
      <c r="U60" s="281"/>
      <c r="V60" s="281"/>
      <c r="W60" s="281"/>
      <c r="X60" s="281"/>
      <c r="Y60" s="281"/>
      <c r="Z60" s="281"/>
      <c r="AA60" s="281"/>
      <c r="AB60" s="281"/>
      <c r="AC60" s="281"/>
      <c r="AD60" s="281"/>
    </row>
    <row r="61">
      <c r="A61" s="321" t="s">
        <v>161</v>
      </c>
      <c r="B61" s="322"/>
      <c r="C61" s="322"/>
      <c r="D61" s="322"/>
      <c r="E61" s="322"/>
      <c r="F61" s="322"/>
      <c r="G61" s="323"/>
      <c r="H61" s="324"/>
      <c r="I61" s="322"/>
      <c r="J61" s="324"/>
      <c r="K61" s="294"/>
      <c r="L61" s="281"/>
      <c r="M61" s="281"/>
      <c r="N61" s="372"/>
      <c r="O61" s="373"/>
      <c r="P61" s="463"/>
      <c r="Q61" s="281"/>
      <c r="R61" s="281"/>
      <c r="S61" s="281"/>
      <c r="T61" s="281"/>
      <c r="U61" s="281"/>
      <c r="V61" s="281"/>
      <c r="W61" s="281"/>
      <c r="X61" s="281"/>
      <c r="Y61" s="281"/>
      <c r="Z61" s="281"/>
      <c r="AA61" s="281"/>
      <c r="AB61" s="281"/>
      <c r="AC61" s="281"/>
      <c r="AD61" s="281"/>
    </row>
    <row r="62">
      <c r="A62" s="408" t="s">
        <v>16</v>
      </c>
      <c r="B62" s="409" t="s">
        <v>162</v>
      </c>
      <c r="C62" s="410" t="str">
        <f>VLOOKUP($B62,'Rate card'!$A$4:$G240,2,FALSE)</f>
        <v>Carpentry</v>
      </c>
      <c r="D62" s="411" t="s">
        <v>163</v>
      </c>
      <c r="E62" s="525" t="s">
        <v>164</v>
      </c>
      <c r="F62" s="526" t="s">
        <v>165</v>
      </c>
      <c r="G62" s="410" t="str">
        <f>VLOOKUP($B62,'Rate card'!$A$4:$G240,6,FALSE)</f>
        <v>Nos</v>
      </c>
      <c r="H62" s="413">
        <v>65000.0</v>
      </c>
      <c r="I62" s="414" t="s">
        <v>16</v>
      </c>
      <c r="J62" s="415">
        <f t="shared" ref="J62:J75" si="11">H62*I62</f>
        <v>65000</v>
      </c>
      <c r="K62" s="411" t="s">
        <v>166</v>
      </c>
      <c r="L62" s="281"/>
      <c r="M62" s="281"/>
      <c r="N62" s="416"/>
      <c r="O62" s="281"/>
      <c r="P62" s="463"/>
      <c r="Q62" s="281"/>
      <c r="R62" s="281"/>
      <c r="S62" s="281"/>
      <c r="T62" s="281"/>
      <c r="U62" s="281"/>
      <c r="V62" s="281"/>
      <c r="W62" s="281"/>
      <c r="X62" s="281"/>
      <c r="Y62" s="281"/>
      <c r="Z62" s="281"/>
      <c r="AA62" s="281"/>
      <c r="AB62" s="281"/>
      <c r="AC62" s="281"/>
      <c r="AD62" s="281"/>
    </row>
    <row r="63">
      <c r="A63" s="408" t="s">
        <v>18</v>
      </c>
      <c r="B63" s="409" t="s">
        <v>162</v>
      </c>
      <c r="C63" s="339" t="s">
        <v>31</v>
      </c>
      <c r="D63" s="339" t="s">
        <v>167</v>
      </c>
      <c r="E63" s="339" t="s">
        <v>164</v>
      </c>
      <c r="F63" s="339" t="s">
        <v>168</v>
      </c>
      <c r="G63" s="339" t="s">
        <v>120</v>
      </c>
      <c r="H63" s="413">
        <v>750.0</v>
      </c>
      <c r="I63" s="414">
        <f>4+9+9</f>
        <v>22</v>
      </c>
      <c r="J63" s="415">
        <f t="shared" si="11"/>
        <v>16500</v>
      </c>
      <c r="K63" s="411" t="s">
        <v>169</v>
      </c>
      <c r="L63" s="281"/>
      <c r="M63" s="281"/>
      <c r="N63" s="416"/>
      <c r="O63" s="281"/>
      <c r="P63" s="463"/>
      <c r="Q63" s="281"/>
      <c r="R63" s="281"/>
      <c r="S63" s="281"/>
      <c r="T63" s="281"/>
      <c r="U63" s="281"/>
      <c r="V63" s="281"/>
      <c r="W63" s="281"/>
      <c r="X63" s="281"/>
      <c r="Y63" s="281"/>
      <c r="Z63" s="281"/>
      <c r="AA63" s="281"/>
      <c r="AB63" s="281"/>
      <c r="AC63" s="281"/>
      <c r="AD63" s="281"/>
    </row>
    <row r="64">
      <c r="A64" s="408" t="s">
        <v>24</v>
      </c>
      <c r="B64" s="417" t="s">
        <v>238</v>
      </c>
      <c r="C64" s="525" t="s">
        <v>31</v>
      </c>
      <c r="D64" s="525" t="s">
        <v>180</v>
      </c>
      <c r="E64" s="525" t="s">
        <v>164</v>
      </c>
      <c r="F64" s="525" t="s">
        <v>672</v>
      </c>
      <c r="G64" s="417" t="str">
        <f>VLOOKUP($B64,'Rate card'!$A$4:$G240,6,FALSE)</f>
        <v>Sqft</v>
      </c>
      <c r="H64" s="417">
        <v>800.0</v>
      </c>
      <c r="I64" s="405">
        <f>7*3+9*2</f>
        <v>39</v>
      </c>
      <c r="J64" s="358">
        <f t="shared" si="11"/>
        <v>31200</v>
      </c>
      <c r="K64" s="405" t="s">
        <v>603</v>
      </c>
      <c r="L64" s="148"/>
      <c r="M64" s="148"/>
      <c r="N64" s="151">
        <f>VLOOKUP($B64,'Rate card'!$A$4:$J240,7,FALSE)</f>
        <v>450</v>
      </c>
      <c r="O64" s="376">
        <f t="shared" ref="O64:O65" si="12">I64*N64</f>
        <v>17550</v>
      </c>
      <c r="P64" s="522"/>
      <c r="Q64" s="148"/>
      <c r="R64" s="148"/>
      <c r="S64" s="148"/>
      <c r="T64" s="148"/>
      <c r="U64" s="148"/>
      <c r="V64" s="148"/>
      <c r="W64" s="148"/>
      <c r="X64" s="148"/>
      <c r="Y64" s="148"/>
      <c r="Z64" s="148"/>
      <c r="AA64" s="148"/>
      <c r="AB64" s="148"/>
      <c r="AC64" s="148"/>
      <c r="AD64" s="148"/>
    </row>
    <row r="65">
      <c r="A65" s="408" t="s">
        <v>27</v>
      </c>
      <c r="B65" s="419" t="s">
        <v>170</v>
      </c>
      <c r="C65" s="420" t="str">
        <f>VLOOKUP($B65,'Rate card'!$A$4:$G240,2,FALSE)</f>
        <v>Carpentry</v>
      </c>
      <c r="D65" s="420" t="str">
        <f>VLOOKUP($B65,'Rate card'!$A$4:$G240,3,FALSE)</f>
        <v>Carcass Storage</v>
      </c>
      <c r="E65" s="420" t="str">
        <f>VLOOKUP($B65,'Rate card'!$A$4:$G240,4,FALSE)</f>
        <v>Laminate Finish</v>
      </c>
      <c r="F65" s="420" t="str">
        <f>VLOOKUP($B65,'Rate card'!$A$4:$G240,5,FALSE)</f>
        <v>MR ply + Inside laminate + finish laminate</v>
      </c>
      <c r="G65" s="420" t="str">
        <f>VLOOKUP($B65,'Rate card'!$A$4:$G240,6,FALSE)</f>
        <v>Sqft</v>
      </c>
      <c r="H65" s="413">
        <v>1800.0</v>
      </c>
      <c r="I65" s="421">
        <f>7.5*10</f>
        <v>75</v>
      </c>
      <c r="J65" s="415">
        <f t="shared" si="11"/>
        <v>135000</v>
      </c>
      <c r="K65" s="422" t="s">
        <v>604</v>
      </c>
      <c r="L65" s="281"/>
      <c r="M65" s="281"/>
      <c r="N65" s="416">
        <f>VLOOKUP($B65,'Rate card'!$A$4:$J240,7,FALSE)</f>
        <v>1350</v>
      </c>
      <c r="O65" s="281">
        <f t="shared" si="12"/>
        <v>101250</v>
      </c>
      <c r="P65" s="463"/>
      <c r="Q65" s="281"/>
      <c r="R65" s="281"/>
      <c r="S65" s="281"/>
      <c r="T65" s="281"/>
      <c r="U65" s="281"/>
      <c r="V65" s="281"/>
      <c r="W65" s="281"/>
      <c r="X65" s="281"/>
      <c r="Y65" s="281"/>
      <c r="Z65" s="281"/>
      <c r="AA65" s="281"/>
      <c r="AB65" s="281"/>
      <c r="AC65" s="281"/>
      <c r="AD65" s="281"/>
    </row>
    <row r="66">
      <c r="A66" s="408" t="s">
        <v>30</v>
      </c>
      <c r="B66" s="423" t="s">
        <v>179</v>
      </c>
      <c r="C66" s="395" t="s">
        <v>31</v>
      </c>
      <c r="D66" s="343" t="s">
        <v>180</v>
      </c>
      <c r="E66" s="395" t="str">
        <f>E73</f>
        <v>Laminate Finish</v>
      </c>
      <c r="F66" s="403" t="s">
        <v>673</v>
      </c>
      <c r="G66" s="411" t="s">
        <v>607</v>
      </c>
      <c r="H66" s="413">
        <v>50000.0</v>
      </c>
      <c r="I66" s="421" t="s">
        <v>16</v>
      </c>
      <c r="J66" s="396">
        <f t="shared" si="11"/>
        <v>50000</v>
      </c>
      <c r="K66" s="333" t="s">
        <v>674</v>
      </c>
      <c r="L66" s="346"/>
      <c r="M66" s="346"/>
      <c r="N66" s="371"/>
      <c r="O66" s="346"/>
      <c r="P66" s="516"/>
      <c r="Q66" s="346"/>
      <c r="R66" s="346"/>
      <c r="S66" s="346"/>
      <c r="T66" s="346"/>
      <c r="U66" s="346"/>
      <c r="V66" s="346"/>
      <c r="W66" s="346"/>
      <c r="X66" s="346"/>
      <c r="Y66" s="346"/>
      <c r="Z66" s="346"/>
      <c r="AA66" s="346"/>
      <c r="AB66" s="346"/>
      <c r="AC66" s="281"/>
      <c r="AD66" s="281"/>
    </row>
    <row r="67">
      <c r="A67" s="408" t="s">
        <v>32</v>
      </c>
      <c r="B67" s="419" t="s">
        <v>170</v>
      </c>
      <c r="C67" s="420" t="str">
        <f>VLOOKUP($B67,'Rate card'!$A$4:$G240,2,FALSE)</f>
        <v>Carpentry</v>
      </c>
      <c r="D67" s="420" t="str">
        <f>VLOOKUP($B67,'Rate card'!$A$4:$G240,3,FALSE)</f>
        <v>Carcass Storage</v>
      </c>
      <c r="E67" s="420" t="str">
        <f>VLOOKUP($B67,'Rate card'!$A$4:$G240,4,FALSE)</f>
        <v>Laminate Finish</v>
      </c>
      <c r="F67" s="526" t="s">
        <v>192</v>
      </c>
      <c r="G67" s="413" t="s">
        <v>188</v>
      </c>
      <c r="H67" s="413">
        <v>5000.0</v>
      </c>
      <c r="I67" s="421" t="s">
        <v>189</v>
      </c>
      <c r="J67" s="415">
        <f t="shared" si="11"/>
        <v>37500</v>
      </c>
      <c r="K67" s="422" t="s">
        <v>190</v>
      </c>
      <c r="L67" s="281"/>
      <c r="M67" s="281"/>
      <c r="N67" s="416">
        <f>VLOOKUP($B67,'Rate card'!$A$4:$J240,7,FALSE)</f>
        <v>1350</v>
      </c>
      <c r="O67" s="281">
        <f t="shared" ref="O67:O70" si="13">I67*N67</f>
        <v>10125</v>
      </c>
      <c r="P67" s="463"/>
      <c r="Q67" s="281"/>
      <c r="R67" s="281"/>
      <c r="S67" s="281"/>
      <c r="T67" s="281"/>
      <c r="U67" s="281"/>
      <c r="V67" s="281"/>
      <c r="W67" s="281"/>
      <c r="X67" s="281"/>
      <c r="Y67" s="281"/>
      <c r="Z67" s="281"/>
      <c r="AA67" s="281"/>
      <c r="AB67" s="281"/>
      <c r="AC67" s="281"/>
      <c r="AD67" s="281"/>
    </row>
    <row r="68">
      <c r="A68" s="408" t="s">
        <v>34</v>
      </c>
      <c r="B68" s="419" t="s">
        <v>170</v>
      </c>
      <c r="C68" s="420" t="str">
        <f>VLOOKUP($B68,'Rate card'!$A$4:$G240,2,FALSE)</f>
        <v>Carpentry</v>
      </c>
      <c r="D68" s="420" t="str">
        <f>VLOOKUP($B68,'Rate card'!$A$4:$G240,3,FALSE)</f>
        <v>Carcass Storage</v>
      </c>
      <c r="E68" s="420" t="str">
        <f>VLOOKUP($B68,'Rate card'!$A$4:$G240,4,FALSE)</f>
        <v>Laminate Finish</v>
      </c>
      <c r="F68" s="420" t="str">
        <f>VLOOKUP($B68,'Rate card'!$A$4:$G240,5,FALSE)</f>
        <v>MR ply + Inside laminate + finish laminate</v>
      </c>
      <c r="G68" s="420" t="str">
        <f>VLOOKUP($B68,'Rate card'!$A$4:$G240,6,FALSE)</f>
        <v>Sqft</v>
      </c>
      <c r="H68" s="420">
        <f>VLOOKUP($B68,'Rate card'!$A$4:$J240,8,FALSE)</f>
        <v>1800</v>
      </c>
      <c r="I68" s="421">
        <f>7*8</f>
        <v>56</v>
      </c>
      <c r="J68" s="415">
        <f t="shared" si="11"/>
        <v>100800</v>
      </c>
      <c r="K68" s="422" t="s">
        <v>193</v>
      </c>
      <c r="L68" s="281"/>
      <c r="M68" s="281"/>
      <c r="N68" s="416">
        <f>VLOOKUP($B68,'Rate card'!$A$4:$J240,7,FALSE)</f>
        <v>1350</v>
      </c>
      <c r="O68" s="281">
        <f t="shared" si="13"/>
        <v>75600</v>
      </c>
      <c r="P68" s="463"/>
      <c r="Q68" s="281"/>
      <c r="R68" s="281"/>
      <c r="S68" s="281"/>
      <c r="T68" s="281"/>
      <c r="U68" s="281"/>
      <c r="V68" s="281"/>
      <c r="W68" s="281"/>
      <c r="X68" s="281"/>
      <c r="Y68" s="281"/>
      <c r="Z68" s="281"/>
      <c r="AA68" s="281"/>
      <c r="AB68" s="281"/>
      <c r="AC68" s="281"/>
      <c r="AD68" s="281"/>
    </row>
    <row r="69">
      <c r="A69" s="408" t="s">
        <v>36</v>
      </c>
      <c r="B69" s="419" t="s">
        <v>170</v>
      </c>
      <c r="C69" s="420" t="str">
        <f>VLOOKUP($B69,'Rate card'!$A$4:$G240,2,FALSE)</f>
        <v>Carpentry</v>
      </c>
      <c r="D69" s="420" t="str">
        <f>VLOOKUP($B69,'Rate card'!$A$4:$G240,3,FALSE)</f>
        <v>Carcass Storage</v>
      </c>
      <c r="E69" s="420" t="str">
        <f>VLOOKUP($B69,'Rate card'!$A$4:$G240,4,FALSE)</f>
        <v>Laminate Finish</v>
      </c>
      <c r="F69" s="420" t="str">
        <f>VLOOKUP($B69,'Rate card'!$A$4:$G240,5,FALSE)</f>
        <v>MR ply + Inside laminate + finish laminate</v>
      </c>
      <c r="G69" s="420" t="str">
        <f>VLOOKUP($B69,'Rate card'!$A$4:$G240,6,FALSE)</f>
        <v>Sqft</v>
      </c>
      <c r="H69" s="420">
        <f>VLOOKUP($B69,'Rate card'!$A$4:$J240,8,FALSE)</f>
        <v>1800</v>
      </c>
      <c r="I69" s="421">
        <f>4*7</f>
        <v>28</v>
      </c>
      <c r="J69" s="415">
        <f t="shared" si="11"/>
        <v>50400</v>
      </c>
      <c r="K69" s="422" t="s">
        <v>195</v>
      </c>
      <c r="L69" s="281"/>
      <c r="M69" s="281"/>
      <c r="N69" s="416">
        <f>VLOOKUP($B69,'Rate card'!$A$4:$J240,7,FALSE)</f>
        <v>1350</v>
      </c>
      <c r="O69" s="281">
        <f t="shared" si="13"/>
        <v>37800</v>
      </c>
      <c r="P69" s="463"/>
      <c r="Q69" s="281"/>
      <c r="R69" s="281"/>
      <c r="S69" s="281"/>
      <c r="T69" s="281"/>
      <c r="U69" s="281"/>
      <c r="V69" s="281"/>
      <c r="W69" s="281"/>
      <c r="X69" s="281"/>
      <c r="Y69" s="281"/>
      <c r="Z69" s="281"/>
      <c r="AA69" s="281"/>
      <c r="AB69" s="281"/>
      <c r="AC69" s="281"/>
      <c r="AD69" s="281"/>
    </row>
    <row r="70">
      <c r="A70" s="408" t="s">
        <v>92</v>
      </c>
      <c r="B70" s="419" t="s">
        <v>170</v>
      </c>
      <c r="C70" s="420" t="str">
        <f>VLOOKUP($B70,'Rate card'!$A$4:$G240,2,FALSE)</f>
        <v>Carpentry</v>
      </c>
      <c r="D70" s="420" t="str">
        <f>VLOOKUP($B70,'Rate card'!$A$4:$G240,3,FALSE)</f>
        <v>Carcass Storage</v>
      </c>
      <c r="E70" s="420" t="str">
        <f>VLOOKUP($B70,'Rate card'!$A$4:$G240,4,FALSE)</f>
        <v>Laminate Finish</v>
      </c>
      <c r="F70" s="420" t="str">
        <f>F67</f>
        <v>MR ply + Inside laminate + finish Veneer</v>
      </c>
      <c r="G70" s="420" t="str">
        <f>VLOOKUP($B70,'Rate card'!$A$4:$G240,6,FALSE)</f>
        <v>Sqft</v>
      </c>
      <c r="H70" s="413">
        <v>2500.0</v>
      </c>
      <c r="I70" s="421">
        <f>5*3.5</f>
        <v>17.5</v>
      </c>
      <c r="J70" s="415">
        <f t="shared" si="11"/>
        <v>43750</v>
      </c>
      <c r="K70" s="422" t="s">
        <v>183</v>
      </c>
      <c r="L70" s="281"/>
      <c r="M70" s="281"/>
      <c r="N70" s="416">
        <f>VLOOKUP($B70,'Rate card'!$A$4:$J240,7,FALSE)</f>
        <v>1350</v>
      </c>
      <c r="O70" s="281">
        <f t="shared" si="13"/>
        <v>23625</v>
      </c>
      <c r="P70" s="463"/>
      <c r="Q70" s="281"/>
      <c r="R70" s="281"/>
      <c r="S70" s="281"/>
      <c r="T70" s="281"/>
      <c r="U70" s="281"/>
      <c r="V70" s="281"/>
      <c r="W70" s="281"/>
      <c r="X70" s="281"/>
      <c r="Y70" s="281"/>
      <c r="Z70" s="281"/>
      <c r="AA70" s="281"/>
      <c r="AB70" s="281"/>
      <c r="AC70" s="281"/>
      <c r="AD70" s="281"/>
    </row>
    <row r="71">
      <c r="A71" s="408" t="s">
        <v>95</v>
      </c>
      <c r="B71" s="419" t="s">
        <v>179</v>
      </c>
      <c r="C71" s="410" t="str">
        <f>VLOOKUP($B71,'Rate card'!$A$4:$G240,2,FALSE)</f>
        <v>Carpentry</v>
      </c>
      <c r="D71" s="410" t="str">
        <f>VLOOKUP($B71,'Rate card'!$A$4:$G240,3,FALSE)</f>
        <v>Panelling with framing</v>
      </c>
      <c r="E71" s="410" t="str">
        <f>VLOOKUP($B71,'Rate card'!$A$4:$G240,4,FALSE)</f>
        <v>MDF</v>
      </c>
      <c r="F71" s="410" t="str">
        <f>VLOOKUP($B71,'Rate card'!$A$4:$G240,5,FALSE)</f>
        <v>MR ply + ply framing + 12mm MDF</v>
      </c>
      <c r="G71" s="410" t="str">
        <f>VLOOKUP($B71,'Rate card'!$A$4:$G240,6,FALSE)</f>
        <v>Sqft</v>
      </c>
      <c r="H71" s="413">
        <v>600.0</v>
      </c>
      <c r="I71" s="414">
        <f>12*2.5</f>
        <v>30</v>
      </c>
      <c r="J71" s="415">
        <f t="shared" si="11"/>
        <v>18000</v>
      </c>
      <c r="K71" s="411" t="s">
        <v>605</v>
      </c>
      <c r="L71" s="281"/>
      <c r="M71" s="281"/>
      <c r="N71" s="416"/>
      <c r="O71" s="281"/>
      <c r="P71" s="463"/>
      <c r="Q71" s="281"/>
      <c r="R71" s="281"/>
      <c r="S71" s="281"/>
      <c r="T71" s="281"/>
      <c r="U71" s="281"/>
      <c r="V71" s="281"/>
      <c r="W71" s="281"/>
      <c r="X71" s="281"/>
      <c r="Y71" s="281"/>
      <c r="Z71" s="281"/>
      <c r="AA71" s="281"/>
      <c r="AB71" s="281"/>
      <c r="AC71" s="281"/>
      <c r="AD71" s="281"/>
    </row>
    <row r="72">
      <c r="A72" s="408" t="s">
        <v>97</v>
      </c>
      <c r="B72" s="423" t="s">
        <v>179</v>
      </c>
      <c r="C72" s="395" t="s">
        <v>31</v>
      </c>
      <c r="D72" s="343" t="s">
        <v>180</v>
      </c>
      <c r="E72" s="403" t="s">
        <v>606</v>
      </c>
      <c r="F72" s="403" t="s">
        <v>606</v>
      </c>
      <c r="G72" s="411" t="s">
        <v>607</v>
      </c>
      <c r="H72" s="413">
        <v>50000.0</v>
      </c>
      <c r="I72" s="421" t="s">
        <v>16</v>
      </c>
      <c r="J72" s="396">
        <f t="shared" si="11"/>
        <v>50000</v>
      </c>
      <c r="K72" s="333" t="s">
        <v>608</v>
      </c>
      <c r="L72" s="346"/>
      <c r="M72" s="346"/>
      <c r="N72" s="371"/>
      <c r="O72" s="346"/>
      <c r="P72" s="516"/>
      <c r="Q72" s="346"/>
      <c r="R72" s="346"/>
      <c r="S72" s="346"/>
      <c r="T72" s="346"/>
      <c r="U72" s="346"/>
      <c r="V72" s="346"/>
      <c r="W72" s="346"/>
      <c r="X72" s="346"/>
      <c r="Y72" s="346"/>
      <c r="Z72" s="346"/>
      <c r="AA72" s="346"/>
      <c r="AB72" s="346"/>
      <c r="AC72" s="281"/>
      <c r="AD72" s="281"/>
    </row>
    <row r="73">
      <c r="A73" s="408" t="s">
        <v>100</v>
      </c>
      <c r="B73" s="423" t="s">
        <v>179</v>
      </c>
      <c r="C73" s="395" t="s">
        <v>31</v>
      </c>
      <c r="D73" s="343" t="s">
        <v>180</v>
      </c>
      <c r="E73" s="395" t="str">
        <f>E70</f>
        <v>Laminate Finish</v>
      </c>
      <c r="F73" s="395" t="str">
        <f>F71</f>
        <v>MR ply + ply framing + 12mm MDF</v>
      </c>
      <c r="G73" s="410" t="str">
        <f>VLOOKUP($B73,'Rate card'!$A$4:$G240,6,FALSE)</f>
        <v>Sqft</v>
      </c>
      <c r="H73" s="413">
        <v>650.0</v>
      </c>
      <c r="I73" s="421">
        <f>12*10</f>
        <v>120</v>
      </c>
      <c r="J73" s="396">
        <f t="shared" si="11"/>
        <v>78000</v>
      </c>
      <c r="K73" s="333" t="s">
        <v>199</v>
      </c>
      <c r="L73" s="346"/>
      <c r="M73" s="346"/>
      <c r="N73" s="371"/>
      <c r="O73" s="346"/>
      <c r="P73" s="516"/>
      <c r="Q73" s="346"/>
      <c r="R73" s="346"/>
      <c r="S73" s="346"/>
      <c r="T73" s="346"/>
      <c r="U73" s="346"/>
      <c r="V73" s="346"/>
      <c r="W73" s="346"/>
      <c r="X73" s="346"/>
      <c r="Y73" s="346"/>
      <c r="Z73" s="346"/>
      <c r="AA73" s="346"/>
      <c r="AB73" s="346"/>
      <c r="AC73" s="281"/>
      <c r="AD73" s="281"/>
    </row>
    <row r="74">
      <c r="A74" s="408" t="s">
        <v>103</v>
      </c>
      <c r="B74" s="423" t="s">
        <v>179</v>
      </c>
      <c r="C74" s="395" t="s">
        <v>31</v>
      </c>
      <c r="D74" s="343" t="s">
        <v>180</v>
      </c>
      <c r="E74" s="403" t="s">
        <v>606</v>
      </c>
      <c r="F74" s="395" t="str">
        <f>F69</f>
        <v>MR ply + Inside laminate + finish laminate</v>
      </c>
      <c r="G74" s="410" t="str">
        <f>VLOOKUP($B74,'Rate card'!$A$4:$G240,6,FALSE)</f>
        <v>Sqft</v>
      </c>
      <c r="H74" s="413">
        <v>650.0</v>
      </c>
      <c r="I74" s="421">
        <f>29*10</f>
        <v>290</v>
      </c>
      <c r="J74" s="396">
        <f t="shared" si="11"/>
        <v>188500</v>
      </c>
      <c r="K74" s="333" t="s">
        <v>202</v>
      </c>
      <c r="L74" s="346"/>
      <c r="M74" s="346"/>
      <c r="N74" s="371"/>
      <c r="O74" s="346"/>
      <c r="P74" s="516"/>
      <c r="Q74" s="346"/>
      <c r="R74" s="346"/>
      <c r="S74" s="346"/>
      <c r="T74" s="346"/>
      <c r="U74" s="346"/>
      <c r="V74" s="346"/>
      <c r="W74" s="346"/>
      <c r="X74" s="346"/>
      <c r="Y74" s="346"/>
      <c r="Z74" s="346"/>
      <c r="AA74" s="346"/>
      <c r="AB74" s="346"/>
      <c r="AC74" s="281"/>
      <c r="AD74" s="281"/>
    </row>
    <row r="75">
      <c r="A75" s="408" t="s">
        <v>103</v>
      </c>
      <c r="B75" s="423" t="s">
        <v>179</v>
      </c>
      <c r="C75" s="395" t="s">
        <v>31</v>
      </c>
      <c r="D75" s="343" t="s">
        <v>180</v>
      </c>
      <c r="E75" s="403" t="s">
        <v>606</v>
      </c>
      <c r="F75" s="395" t="str">
        <f>F69</f>
        <v>MR ply + Inside laminate + finish laminate</v>
      </c>
      <c r="G75" s="410" t="str">
        <f>VLOOKUP($B75,'Rate card'!$A$4:$G240,6,FALSE)</f>
        <v>Sqft</v>
      </c>
      <c r="H75" s="413">
        <v>1800.0</v>
      </c>
      <c r="I75" s="421">
        <f>5*2.5</f>
        <v>12.5</v>
      </c>
      <c r="J75" s="396">
        <f t="shared" si="11"/>
        <v>22500</v>
      </c>
      <c r="K75" s="333" t="s">
        <v>675</v>
      </c>
      <c r="L75" s="346"/>
      <c r="M75" s="346"/>
      <c r="N75" s="371"/>
      <c r="O75" s="346"/>
      <c r="P75" s="516"/>
      <c r="Q75" s="346"/>
      <c r="R75" s="346"/>
      <c r="S75" s="346"/>
      <c r="T75" s="346"/>
      <c r="U75" s="346"/>
      <c r="V75" s="346"/>
      <c r="W75" s="346"/>
      <c r="X75" s="346"/>
      <c r="Y75" s="346"/>
      <c r="Z75" s="346"/>
      <c r="AA75" s="346"/>
      <c r="AB75" s="346"/>
      <c r="AC75" s="281"/>
      <c r="AD75" s="281"/>
    </row>
    <row r="76">
      <c r="A76" s="424" t="s">
        <v>205</v>
      </c>
      <c r="B76" s="323"/>
      <c r="C76" s="323"/>
      <c r="D76" s="323"/>
      <c r="E76" s="323"/>
      <c r="F76" s="323"/>
      <c r="G76" s="323"/>
      <c r="H76" s="324"/>
      <c r="I76" s="425"/>
      <c r="J76" s="323"/>
      <c r="K76" s="426"/>
      <c r="L76" s="297"/>
      <c r="M76" s="297"/>
      <c r="N76" s="297"/>
      <c r="O76" s="299"/>
      <c r="P76" s="527"/>
      <c r="Q76" s="281"/>
      <c r="R76" s="281"/>
      <c r="S76" s="281"/>
      <c r="T76" s="281"/>
      <c r="U76" s="281"/>
      <c r="V76" s="281"/>
      <c r="W76" s="281"/>
      <c r="X76" s="281"/>
      <c r="Y76" s="281"/>
      <c r="Z76" s="281"/>
      <c r="AA76" s="281"/>
      <c r="AB76" s="281"/>
      <c r="AC76" s="281"/>
      <c r="AD76" s="281"/>
    </row>
    <row r="77">
      <c r="A77" s="408" t="s">
        <v>16</v>
      </c>
      <c r="B77" s="419" t="s">
        <v>170</v>
      </c>
      <c r="C77" s="420" t="str">
        <f>VLOOKUP($B77,'Rate card'!$A$4:$G240,2,FALSE)</f>
        <v>Carpentry</v>
      </c>
      <c r="D77" s="420" t="str">
        <f>VLOOKUP($B77,'Rate card'!$A$4:$G240,3,FALSE)</f>
        <v>Carcass Storage</v>
      </c>
      <c r="E77" s="413" t="s">
        <v>206</v>
      </c>
      <c r="F77" s="413" t="s">
        <v>207</v>
      </c>
      <c r="G77" s="420" t="str">
        <f>VLOOKUP($B77,'Rate card'!$A$4:$G240,6,FALSE)</f>
        <v>Sqft</v>
      </c>
      <c r="H77" s="413">
        <v>2700.0</v>
      </c>
      <c r="I77" s="422">
        <f>18.5*2.5</f>
        <v>46.25</v>
      </c>
      <c r="J77" s="415">
        <f t="shared" ref="J77:J82" si="14">H77*I77</f>
        <v>124875</v>
      </c>
      <c r="K77" s="413" t="s">
        <v>208</v>
      </c>
      <c r="L77" s="427"/>
      <c r="M77" s="297"/>
      <c r="N77" s="297"/>
      <c r="O77" s="428"/>
      <c r="P77" s="527"/>
      <c r="Q77" s="281"/>
      <c r="R77" s="281"/>
      <c r="S77" s="281"/>
      <c r="T77" s="281"/>
      <c r="U77" s="281"/>
      <c r="V77" s="281"/>
      <c r="W77" s="281"/>
      <c r="X77" s="281"/>
      <c r="Y77" s="281"/>
      <c r="Z77" s="281"/>
      <c r="AA77" s="281"/>
      <c r="AB77" s="281"/>
      <c r="AC77" s="281"/>
      <c r="AD77" s="281"/>
    </row>
    <row r="78">
      <c r="A78" s="408" t="s">
        <v>18</v>
      </c>
      <c r="B78" s="419" t="s">
        <v>170</v>
      </c>
      <c r="C78" s="420" t="str">
        <f>VLOOKUP($B78,'Rate card'!$A$4:$G240,2,FALSE)</f>
        <v>Carpentry</v>
      </c>
      <c r="D78" s="420" t="str">
        <f>VLOOKUP($B78,'Rate card'!$A$4:$G240,3,FALSE)</f>
        <v>Carcass Storage</v>
      </c>
      <c r="E78" s="413" t="s">
        <v>206</v>
      </c>
      <c r="F78" s="413" t="s">
        <v>207</v>
      </c>
      <c r="G78" s="420" t="str">
        <f>VLOOKUP($B78,'Rate card'!$A$4:$G240,6,FALSE)</f>
        <v>Sqft</v>
      </c>
      <c r="H78" s="413">
        <v>2700.0</v>
      </c>
      <c r="I78" s="422">
        <f>28+11.25*2.5+4*2.5</f>
        <v>66.125</v>
      </c>
      <c r="J78" s="415">
        <f t="shared" si="14"/>
        <v>178537.5</v>
      </c>
      <c r="K78" s="413" t="s">
        <v>209</v>
      </c>
      <c r="L78" s="427"/>
      <c r="M78" s="297"/>
      <c r="N78" s="297"/>
      <c r="O78" s="428"/>
      <c r="P78" s="527"/>
      <c r="Q78" s="281"/>
      <c r="R78" s="281"/>
      <c r="S78" s="281"/>
      <c r="T78" s="281"/>
      <c r="U78" s="281"/>
      <c r="V78" s="281"/>
      <c r="W78" s="281"/>
      <c r="X78" s="281"/>
      <c r="Y78" s="281"/>
      <c r="Z78" s="281"/>
      <c r="AA78" s="281"/>
      <c r="AB78" s="281"/>
      <c r="AC78" s="281"/>
      <c r="AD78" s="281"/>
    </row>
    <row r="79">
      <c r="A79" s="408" t="s">
        <v>24</v>
      </c>
      <c r="B79" s="419" t="s">
        <v>170</v>
      </c>
      <c r="C79" s="420" t="str">
        <f>VLOOKUP($B79,'Rate card'!$A$4:$G240,2,FALSE)</f>
        <v>Carpentry</v>
      </c>
      <c r="D79" s="420" t="str">
        <f>VLOOKUP($B79,'Rate card'!$A$4:$G240,3,FALSE)</f>
        <v>Carcass Storage</v>
      </c>
      <c r="E79" s="413" t="s">
        <v>206</v>
      </c>
      <c r="F79" s="413" t="s">
        <v>207</v>
      </c>
      <c r="G79" s="420" t="str">
        <f>VLOOKUP($B79,'Rate card'!$A$4:$G240,6,FALSE)</f>
        <v>Sqft</v>
      </c>
      <c r="H79" s="413">
        <v>2700.0</v>
      </c>
      <c r="I79" s="422">
        <f>4*10</f>
        <v>40</v>
      </c>
      <c r="J79" s="415">
        <f t="shared" si="14"/>
        <v>108000</v>
      </c>
      <c r="K79" s="413" t="s">
        <v>614</v>
      </c>
      <c r="L79" s="427"/>
      <c r="M79" s="297"/>
      <c r="N79" s="297"/>
      <c r="O79" s="428"/>
      <c r="P79" s="527"/>
      <c r="Q79" s="281"/>
      <c r="R79" s="281"/>
      <c r="S79" s="281"/>
      <c r="T79" s="281"/>
      <c r="U79" s="281"/>
      <c r="V79" s="281"/>
      <c r="W79" s="281"/>
      <c r="X79" s="281"/>
      <c r="Y79" s="281"/>
      <c r="Z79" s="281"/>
      <c r="AA79" s="281"/>
      <c r="AB79" s="281"/>
      <c r="AC79" s="281"/>
      <c r="AD79" s="281"/>
    </row>
    <row r="80">
      <c r="A80" s="408" t="s">
        <v>27</v>
      </c>
      <c r="B80" s="419" t="s">
        <v>211</v>
      </c>
      <c r="C80" s="420" t="str">
        <f>VLOOKUP($B80,'Rate card'!$A$4:$G240,2,FALSE)</f>
        <v>Carpentry</v>
      </c>
      <c r="D80" s="420" t="str">
        <f>VLOOKUP($B80,'Rate card'!$A$4:$G240,3,FALSE)</f>
        <v>Kitchen Basket </v>
      </c>
      <c r="E80" s="413" t="s">
        <v>212</v>
      </c>
      <c r="F80" s="420" t="str">
        <f>VLOOKUP($B80,'Rate card'!$A$4:$G240,5,FALSE)</f>
        <v>Basket + Channel+Fitting charges</v>
      </c>
      <c r="G80" s="420" t="str">
        <f>VLOOKUP($B80,'Rate card'!$A$4:$G240,6,FALSE)</f>
        <v>Nos</v>
      </c>
      <c r="H80" s="413">
        <v>8000.0</v>
      </c>
      <c r="I80" s="414" t="s">
        <v>30</v>
      </c>
      <c r="J80" s="415">
        <f t="shared" si="14"/>
        <v>40000</v>
      </c>
      <c r="K80" s="413" t="s">
        <v>213</v>
      </c>
      <c r="L80" s="427"/>
      <c r="M80" s="297"/>
      <c r="N80" s="297"/>
      <c r="O80" s="428"/>
      <c r="P80" s="527"/>
      <c r="Q80" s="281"/>
      <c r="R80" s="281"/>
      <c r="S80" s="281"/>
      <c r="T80" s="281"/>
      <c r="U80" s="281"/>
      <c r="V80" s="281"/>
      <c r="W80" s="281"/>
      <c r="X80" s="281"/>
      <c r="Y80" s="281"/>
      <c r="Z80" s="281"/>
      <c r="AA80" s="281"/>
      <c r="AB80" s="281"/>
      <c r="AC80" s="281"/>
      <c r="AD80" s="281"/>
    </row>
    <row r="81">
      <c r="A81" s="408" t="s">
        <v>30</v>
      </c>
      <c r="B81" s="419" t="s">
        <v>214</v>
      </c>
      <c r="C81" s="420" t="str">
        <f>VLOOKUP($B81,'Rate card'!$A$4:$G240,2,FALSE)</f>
        <v>Carpentry</v>
      </c>
      <c r="D81" s="420" t="str">
        <f>VLOOKUP($B81,'Rate card'!$A$4:$G240,3,FALSE)</f>
        <v>Wicker basket</v>
      </c>
      <c r="E81" s="420" t="str">
        <f>VLOOKUP($B81,'Rate card'!$A$4:$G240,4,FALSE)</f>
        <v>Wicker basket</v>
      </c>
      <c r="F81" s="420" t="str">
        <f>VLOOKUP($B81,'Rate card'!$A$4:$G240,5,FALSE)</f>
        <v>Basket + Channel+Fitting charges</v>
      </c>
      <c r="G81" s="420" t="str">
        <f>VLOOKUP($B81,'Rate card'!$A$4:$G240,6,FALSE)</f>
        <v>Nos</v>
      </c>
      <c r="H81" s="413">
        <v>6000.0</v>
      </c>
      <c r="I81" s="414" t="s">
        <v>18</v>
      </c>
      <c r="J81" s="415">
        <f t="shared" si="14"/>
        <v>12000</v>
      </c>
      <c r="K81" s="413" t="s">
        <v>213</v>
      </c>
      <c r="L81" s="427"/>
      <c r="M81" s="297"/>
      <c r="N81" s="297"/>
      <c r="O81" s="428"/>
      <c r="P81" s="527"/>
      <c r="Q81" s="281"/>
      <c r="R81" s="281"/>
      <c r="S81" s="281"/>
      <c r="T81" s="281"/>
      <c r="U81" s="281"/>
      <c r="V81" s="281"/>
      <c r="W81" s="281"/>
      <c r="X81" s="281"/>
      <c r="Y81" s="281"/>
      <c r="Z81" s="281"/>
      <c r="AA81" s="281"/>
      <c r="AB81" s="281"/>
      <c r="AC81" s="281"/>
      <c r="AD81" s="281"/>
    </row>
    <row r="82">
      <c r="A82" s="408" t="s">
        <v>32</v>
      </c>
      <c r="B82" s="409"/>
      <c r="C82" s="420" t="s">
        <v>31</v>
      </c>
      <c r="D82" s="151" t="s">
        <v>217</v>
      </c>
      <c r="E82" s="151" t="s">
        <v>218</v>
      </c>
      <c r="F82" s="151" t="s">
        <v>205</v>
      </c>
      <c r="G82" s="420" t="s">
        <v>175</v>
      </c>
      <c r="H82" s="413">
        <v>1650.0</v>
      </c>
      <c r="I82" s="414">
        <f>3*7</f>
        <v>21</v>
      </c>
      <c r="J82" s="415">
        <f t="shared" si="14"/>
        <v>34650</v>
      </c>
      <c r="K82" s="413" t="s">
        <v>219</v>
      </c>
      <c r="L82" s="429"/>
      <c r="M82" s="430"/>
      <c r="N82" s="431" t="s">
        <v>615</v>
      </c>
      <c r="O82" s="179"/>
      <c r="P82" s="528"/>
      <c r="Q82" s="179"/>
      <c r="R82" s="281"/>
      <c r="S82" s="281"/>
      <c r="T82" s="281"/>
      <c r="U82" s="281"/>
      <c r="V82" s="281"/>
      <c r="W82" s="281"/>
      <c r="X82" s="281"/>
      <c r="Y82" s="281"/>
      <c r="Z82" s="281"/>
      <c r="AA82" s="281"/>
      <c r="AB82" s="281"/>
      <c r="AC82" s="281"/>
      <c r="AD82" s="281"/>
    </row>
    <row r="83">
      <c r="A83" s="432" t="s">
        <v>220</v>
      </c>
      <c r="B83" s="323"/>
      <c r="C83" s="323"/>
      <c r="D83" s="323"/>
      <c r="E83" s="323"/>
      <c r="F83" s="323"/>
      <c r="G83" s="323"/>
      <c r="H83" s="324"/>
      <c r="I83" s="425"/>
      <c r="J83" s="323"/>
      <c r="K83" s="426"/>
      <c r="L83" s="297"/>
      <c r="M83" s="297"/>
      <c r="N83" s="297"/>
      <c r="O83" s="299"/>
      <c r="P83" s="527"/>
      <c r="Q83" s="281"/>
      <c r="R83" s="281"/>
      <c r="S83" s="281"/>
      <c r="T83" s="281"/>
      <c r="U83" s="281"/>
      <c r="V83" s="281"/>
      <c r="W83" s="281"/>
      <c r="X83" s="281"/>
      <c r="Y83" s="281"/>
      <c r="Z83" s="281"/>
      <c r="AA83" s="281"/>
      <c r="AB83" s="281"/>
      <c r="AC83" s="281"/>
      <c r="AD83" s="281"/>
    </row>
    <row r="84">
      <c r="A84" s="408" t="s">
        <v>16</v>
      </c>
      <c r="B84" s="419" t="s">
        <v>170</v>
      </c>
      <c r="C84" s="420" t="str">
        <f>VLOOKUP($B84,'Rate card'!$A$4:$G240,2,FALSE)</f>
        <v>Carpentry</v>
      </c>
      <c r="D84" s="420" t="str">
        <f>VLOOKUP($B84,'Rate card'!$A$4:$G240,3,FALSE)</f>
        <v>Carcass Storage</v>
      </c>
      <c r="E84" s="420" t="str">
        <f>VLOOKUP($B84,'Rate card'!$A$4:$G240,4,FALSE)</f>
        <v>Laminate Finish</v>
      </c>
      <c r="F84" s="413" t="s">
        <v>221</v>
      </c>
      <c r="G84" s="420" t="str">
        <f>VLOOKUP($B84,'Rate card'!$A$4:$G240,6,FALSE)</f>
        <v>Sqft</v>
      </c>
      <c r="H84" s="413">
        <v>1800.0</v>
      </c>
      <c r="I84" s="422">
        <f>5.5*2.5</f>
        <v>13.75</v>
      </c>
      <c r="J84" s="415">
        <f t="shared" ref="J84:J86" si="15">H84*I84</f>
        <v>24750</v>
      </c>
      <c r="K84" s="413" t="s">
        <v>208</v>
      </c>
      <c r="L84" s="427"/>
      <c r="M84" s="297"/>
      <c r="N84" s="297"/>
      <c r="O84" s="428"/>
      <c r="P84" s="527"/>
      <c r="Q84" s="281"/>
      <c r="R84" s="281"/>
      <c r="S84" s="281"/>
      <c r="T84" s="281"/>
      <c r="U84" s="281"/>
      <c r="V84" s="281"/>
      <c r="W84" s="281"/>
      <c r="X84" s="281"/>
      <c r="Y84" s="281"/>
      <c r="Z84" s="281"/>
      <c r="AA84" s="281"/>
      <c r="AB84" s="281"/>
      <c r="AC84" s="281"/>
      <c r="AD84" s="281"/>
    </row>
    <row r="85">
      <c r="A85" s="408" t="s">
        <v>18</v>
      </c>
      <c r="B85" s="419" t="s">
        <v>170</v>
      </c>
      <c r="C85" s="420" t="str">
        <f>VLOOKUP($B85,'Rate card'!$A$4:$G240,2,FALSE)</f>
        <v>Carpentry</v>
      </c>
      <c r="D85" s="420" t="str">
        <f>VLOOKUP($B85,'Rate card'!$A$4:$G240,3,FALSE)</f>
        <v>Carcass Storage</v>
      </c>
      <c r="E85" s="420" t="str">
        <f>VLOOKUP($B85,'Rate card'!$A$4:$G240,4,FALSE)</f>
        <v>Laminate Finish</v>
      </c>
      <c r="F85" s="413" t="s">
        <v>221</v>
      </c>
      <c r="G85" s="420" t="str">
        <f>VLOOKUP($B85,'Rate card'!$A$4:$G240,6,FALSE)</f>
        <v>Sqft</v>
      </c>
      <c r="H85" s="413">
        <v>1800.0</v>
      </c>
      <c r="I85" s="408">
        <f>10*10</f>
        <v>100</v>
      </c>
      <c r="J85" s="415">
        <f t="shared" si="15"/>
        <v>180000</v>
      </c>
      <c r="K85" s="413" t="s">
        <v>618</v>
      </c>
      <c r="M85" s="325"/>
      <c r="N85" s="281"/>
      <c r="O85" s="416"/>
      <c r="P85" s="463"/>
      <c r="Q85" s="281"/>
      <c r="R85" s="281"/>
      <c r="S85" s="281"/>
      <c r="T85" s="281"/>
      <c r="U85" s="281"/>
      <c r="V85" s="281"/>
      <c r="W85" s="281"/>
      <c r="X85" s="281"/>
      <c r="Y85" s="281"/>
      <c r="Z85" s="281"/>
      <c r="AA85" s="281"/>
      <c r="AB85" s="281"/>
      <c r="AC85" s="281"/>
      <c r="AD85" s="281"/>
    </row>
    <row r="86">
      <c r="A86" s="408" t="s">
        <v>24</v>
      </c>
      <c r="B86" s="419" t="s">
        <v>223</v>
      </c>
      <c r="C86" s="420" t="str">
        <f>VLOOKUP($B86,'Rate card'!$A$4:$G240,2,FALSE)</f>
        <v>Carpentry</v>
      </c>
      <c r="D86" s="433" t="str">
        <f>VLOOKUP($B86,'Rate card'!$A$4:$G240,3,FALSE)</f>
        <v>Carcass Storage</v>
      </c>
      <c r="E86" s="433" t="str">
        <f>VLOOKUP($B86,'Rate card'!$A$4:$G240,4,FALSE)</f>
        <v>Laminate Finish</v>
      </c>
      <c r="F86" s="413" t="s">
        <v>221</v>
      </c>
      <c r="G86" s="420" t="str">
        <f>VLOOKUP($B86,'Rate card'!$A$4:$G240,6,FALSE)</f>
        <v>Sqft</v>
      </c>
      <c r="H86" s="413">
        <v>1800.0</v>
      </c>
      <c r="I86" s="408" t="s">
        <v>224</v>
      </c>
      <c r="J86" s="415">
        <f t="shared" si="15"/>
        <v>39600</v>
      </c>
      <c r="K86" s="422" t="s">
        <v>225</v>
      </c>
      <c r="L86" s="281"/>
      <c r="M86" s="281"/>
      <c r="N86" s="434">
        <f>VLOOKUP($B86,'Rate card'!$A$4:$J240,7,FALSE)</f>
        <v>2000</v>
      </c>
      <c r="O86" s="282">
        <f>I86*N86</f>
        <v>44000</v>
      </c>
      <c r="P86" s="463"/>
      <c r="Q86" s="281"/>
      <c r="R86" s="281"/>
      <c r="S86" s="281"/>
      <c r="T86" s="281"/>
      <c r="U86" s="281"/>
      <c r="V86" s="281"/>
      <c r="W86" s="281"/>
      <c r="X86" s="281"/>
      <c r="Y86" s="281"/>
      <c r="Z86" s="281"/>
      <c r="AA86" s="281"/>
      <c r="AB86" s="281"/>
      <c r="AC86" s="281"/>
      <c r="AD86" s="281"/>
    </row>
    <row r="87">
      <c r="A87" s="432" t="s">
        <v>226</v>
      </c>
      <c r="B87" s="323"/>
      <c r="C87" s="323"/>
      <c r="D87" s="323"/>
      <c r="E87" s="323"/>
      <c r="F87" s="323"/>
      <c r="G87" s="323"/>
      <c r="H87" s="324"/>
      <c r="I87" s="322"/>
      <c r="J87" s="324"/>
      <c r="K87" s="294"/>
      <c r="L87" s="281"/>
      <c r="M87" s="281"/>
      <c r="N87" s="416"/>
      <c r="O87" s="281"/>
      <c r="P87" s="463"/>
      <c r="Q87" s="281"/>
      <c r="R87" s="281"/>
      <c r="S87" s="281"/>
      <c r="T87" s="281"/>
      <c r="U87" s="281"/>
      <c r="V87" s="281"/>
      <c r="W87" s="281"/>
      <c r="X87" s="281"/>
      <c r="Y87" s="281"/>
      <c r="Z87" s="281"/>
      <c r="AA87" s="281"/>
      <c r="AB87" s="281"/>
      <c r="AC87" s="281"/>
      <c r="AD87" s="281"/>
    </row>
    <row r="88">
      <c r="A88" s="382" t="s">
        <v>16</v>
      </c>
      <c r="B88" s="435" t="s">
        <v>227</v>
      </c>
      <c r="C88" s="151" t="str">
        <f>VLOOKUP($B88,'Rate card'!$A$4:$G240,2,FALSE)</f>
        <v>Carpentry</v>
      </c>
      <c r="D88" s="151" t="str">
        <f>VLOOKUP($B88,'Rate card'!$A$4:$G240,3,FALSE)</f>
        <v>Bed</v>
      </c>
      <c r="E88" s="151" t="str">
        <f>VLOOKUP($B88,'Rate card'!$A$4:$G240,4,FALSE)</f>
        <v>Laminate Finish</v>
      </c>
      <c r="F88" s="151" t="str">
        <f>VLOOKUP($B88,'Rate card'!$A$4:$G240,5,FALSE)</f>
        <v>MR ply + Inside laminate + finish laminate</v>
      </c>
      <c r="G88" s="151" t="str">
        <f>VLOOKUP($B88,'Rate card'!$A$4:$G240,6,FALSE)</f>
        <v>Sqft</v>
      </c>
      <c r="H88" s="185">
        <v>1800.0</v>
      </c>
      <c r="I88" s="362">
        <f>5.5*6.5</f>
        <v>35.75</v>
      </c>
      <c r="J88" s="358">
        <f t="shared" ref="J88:J96" si="16">H88*I88</f>
        <v>64350</v>
      </c>
      <c r="K88" s="72" t="s">
        <v>620</v>
      </c>
      <c r="L88" s="148"/>
      <c r="M88" s="148"/>
      <c r="N88" s="375">
        <f>VLOOKUP($B88,'Rate card'!$A$4:$J240,7,FALSE)</f>
        <v>1400</v>
      </c>
      <c r="O88" s="376">
        <f t="shared" ref="O88:O89" si="17">I88*N88</f>
        <v>50050</v>
      </c>
      <c r="P88" s="522"/>
      <c r="Q88" s="436"/>
      <c r="R88" s="355"/>
      <c r="S88" s="148"/>
      <c r="T88" s="148"/>
      <c r="U88" s="148"/>
      <c r="V88" s="148"/>
      <c r="W88" s="148"/>
      <c r="X88" s="148"/>
      <c r="Y88" s="148"/>
      <c r="Z88" s="148"/>
      <c r="AA88" s="148"/>
      <c r="AB88" s="148"/>
      <c r="AC88" s="148"/>
      <c r="AD88" s="148"/>
    </row>
    <row r="89">
      <c r="A89" s="382" t="s">
        <v>18</v>
      </c>
      <c r="B89" s="435" t="s">
        <v>230</v>
      </c>
      <c r="C89" s="151" t="str">
        <f>VLOOKUP($B89,'Rate card'!$A$4:$G240,2,FALSE)</f>
        <v>Carpentry</v>
      </c>
      <c r="D89" s="151" t="str">
        <f>VLOOKUP($B89,'Rate card'!$A$4:$G240,3,FALSE)</f>
        <v>Headboard</v>
      </c>
      <c r="E89" s="151" t="str">
        <f>VLOOKUP($B89,'Rate card'!$A$4:$G240,4,FALSE)</f>
        <v>Fabric Finish</v>
      </c>
      <c r="F89" s="151" t="str">
        <f>VLOOKUP($B89,'Rate card'!$A$4:$G240,5,FALSE)</f>
        <v>MR ply panelling + Foam material and labour. Excludes Fabric cost</v>
      </c>
      <c r="G89" s="151" t="str">
        <f>VLOOKUP($B89,'Rate card'!$A$4:$G240,6,FALSE)</f>
        <v>Sqft</v>
      </c>
      <c r="H89" s="151">
        <v>1300.0</v>
      </c>
      <c r="I89" s="362">
        <f>5.5*3</f>
        <v>16.5</v>
      </c>
      <c r="J89" s="358">
        <f t="shared" si="16"/>
        <v>21450</v>
      </c>
      <c r="K89" s="437" t="s">
        <v>231</v>
      </c>
      <c r="L89" s="148"/>
      <c r="M89" s="148"/>
      <c r="N89" s="375">
        <f>VLOOKUP($B89,'Rate card'!$A$4:$J240,7,FALSE)</f>
        <v>950</v>
      </c>
      <c r="O89" s="376">
        <f t="shared" si="17"/>
        <v>15675</v>
      </c>
      <c r="P89" s="522"/>
      <c r="Q89" s="436"/>
      <c r="R89" s="355"/>
      <c r="S89" s="148"/>
      <c r="T89" s="148"/>
      <c r="U89" s="148"/>
      <c r="V89" s="148"/>
      <c r="W89" s="148"/>
      <c r="X89" s="148"/>
      <c r="Y89" s="148"/>
      <c r="Z89" s="148"/>
      <c r="AA89" s="148"/>
      <c r="AB89" s="148"/>
      <c r="AC89" s="148"/>
      <c r="AD89" s="148"/>
    </row>
    <row r="90">
      <c r="A90" s="382" t="s">
        <v>24</v>
      </c>
      <c r="B90" s="419" t="s">
        <v>232</v>
      </c>
      <c r="C90" s="420" t="str">
        <f>VLOOKUP($B90,'Rate card'!$A$4:$G240,2,FALSE)</f>
        <v>Carpentry</v>
      </c>
      <c r="D90" s="413" t="s">
        <v>233</v>
      </c>
      <c r="E90" s="420" t="str">
        <f>VLOOKUP($B90,'Rate card'!$A$4:$G240,4,FALSE)</f>
        <v>Laminate Finish</v>
      </c>
      <c r="F90" s="420" t="str">
        <f>VLOOKUP($B90,'Rate card'!$A$4:$G240,5,FALSE)</f>
        <v>MR ply + Inside laminate + finish laminate (1 Drawer)</v>
      </c>
      <c r="G90" s="420" t="str">
        <f>VLOOKUP($B90,'Rate card'!$A$4:$G240,6,FALSE)</f>
        <v>Nos</v>
      </c>
      <c r="H90" s="413">
        <v>13000.0</v>
      </c>
      <c r="I90" s="438" t="s">
        <v>18</v>
      </c>
      <c r="J90" s="415">
        <f t="shared" si="16"/>
        <v>26000</v>
      </c>
      <c r="K90" s="411" t="s">
        <v>233</v>
      </c>
      <c r="L90" s="281"/>
      <c r="M90" s="281"/>
      <c r="N90" s="416"/>
      <c r="O90" s="281"/>
      <c r="P90" s="463"/>
      <c r="Q90" s="281"/>
      <c r="R90" s="281"/>
      <c r="S90" s="281"/>
      <c r="T90" s="281"/>
      <c r="U90" s="281"/>
      <c r="V90" s="281"/>
      <c r="W90" s="281"/>
      <c r="X90" s="281"/>
      <c r="Y90" s="281"/>
      <c r="Z90" s="281"/>
      <c r="AA90" s="281"/>
      <c r="AB90" s="281"/>
      <c r="AC90" s="281"/>
      <c r="AD90" s="281"/>
    </row>
    <row r="91">
      <c r="A91" s="382" t="s">
        <v>27</v>
      </c>
      <c r="B91" s="419" t="s">
        <v>170</v>
      </c>
      <c r="C91" s="420" t="str">
        <f>VLOOKUP($B91,'Rate card'!$A$4:$G240,2,FALSE)</f>
        <v>Carpentry</v>
      </c>
      <c r="D91" s="420" t="str">
        <f>VLOOKUP($B91,'Rate card'!$A$4:$G240,3,FALSE)</f>
        <v>Carcass Storage</v>
      </c>
      <c r="E91" s="420" t="str">
        <f>VLOOKUP($B91,'Rate card'!$A$4:$G240,4,FALSE)</f>
        <v>Laminate Finish</v>
      </c>
      <c r="F91" s="420" t="str">
        <f>VLOOKUP($B91,'Rate card'!$A$4:$G240,5,FALSE)</f>
        <v>MR ply + Inside laminate + finish laminate</v>
      </c>
      <c r="G91" s="413" t="s">
        <v>188</v>
      </c>
      <c r="H91" s="413">
        <v>4500.0</v>
      </c>
      <c r="I91" s="421" t="s">
        <v>34</v>
      </c>
      <c r="J91" s="415">
        <f t="shared" si="16"/>
        <v>31500</v>
      </c>
      <c r="K91" s="422" t="s">
        <v>621</v>
      </c>
      <c r="L91" s="281"/>
      <c r="M91" s="281"/>
      <c r="N91" s="416">
        <f>VLOOKUP($B91,'Rate card'!$A$4:$J240,7,FALSE)</f>
        <v>1350</v>
      </c>
      <c r="O91" s="281">
        <f>I91*N91</f>
        <v>9450</v>
      </c>
      <c r="P91" s="463"/>
      <c r="Q91" s="281"/>
      <c r="R91" s="281"/>
      <c r="S91" s="281"/>
      <c r="T91" s="281"/>
      <c r="U91" s="281"/>
      <c r="V91" s="281"/>
      <c r="W91" s="281"/>
      <c r="X91" s="281"/>
      <c r="Y91" s="281"/>
      <c r="Z91" s="281"/>
      <c r="AA91" s="281"/>
      <c r="AB91" s="281"/>
      <c r="AC91" s="281"/>
      <c r="AD91" s="281"/>
    </row>
    <row r="92">
      <c r="A92" s="382" t="s">
        <v>30</v>
      </c>
      <c r="B92" s="419" t="s">
        <v>170</v>
      </c>
      <c r="C92" s="420" t="str">
        <f>VLOOKUP($B92,'Rate card'!$A$4:$G240,2,FALSE)</f>
        <v>Carpentry</v>
      </c>
      <c r="D92" s="420" t="str">
        <f>VLOOKUP($B92,'Rate card'!$A$4:$G240,3,FALSE)</f>
        <v>Carcass Storage</v>
      </c>
      <c r="E92" s="420" t="str">
        <f>VLOOKUP($B92,'Rate card'!$A$4:$G240,4,FALSE)</f>
        <v>Laminate Finish</v>
      </c>
      <c r="F92" s="420" t="str">
        <f>VLOOKUP($B92,'Rate card'!$A$4:$G240,5,FALSE)</f>
        <v>MR ply + Inside laminate + finish laminate</v>
      </c>
      <c r="G92" s="420" t="str">
        <f>VLOOKUP($B92,'Rate card'!$A$4:$G240,6,FALSE)</f>
        <v>Sqft</v>
      </c>
      <c r="H92" s="420">
        <f>VLOOKUP($B92,'Rate card'!$A$4:$J240,8,FALSE)</f>
        <v>1800</v>
      </c>
      <c r="I92" s="438">
        <f>5*10</f>
        <v>50</v>
      </c>
      <c r="J92" s="415">
        <f t="shared" si="16"/>
        <v>90000</v>
      </c>
      <c r="K92" s="411" t="s">
        <v>235</v>
      </c>
      <c r="L92" s="281"/>
      <c r="M92" s="281"/>
      <c r="N92" s="416"/>
      <c r="O92" s="281"/>
      <c r="P92" s="463"/>
      <c r="Q92" s="439"/>
      <c r="R92" s="2"/>
      <c r="S92" s="281"/>
      <c r="T92" s="281"/>
      <c r="U92" s="281"/>
      <c r="V92" s="281"/>
      <c r="W92" s="281"/>
      <c r="X92" s="281"/>
      <c r="Y92" s="281"/>
      <c r="Z92" s="281"/>
      <c r="AA92" s="281"/>
      <c r="AB92" s="281"/>
      <c r="AC92" s="281"/>
      <c r="AD92" s="281"/>
    </row>
    <row r="93">
      <c r="A93" s="382" t="s">
        <v>32</v>
      </c>
      <c r="B93" s="419" t="s">
        <v>236</v>
      </c>
      <c r="C93" s="420" t="str">
        <f>VLOOKUP($B93,'Rate card'!$A$4:$G240,2,FALSE)</f>
        <v>Carpentry</v>
      </c>
      <c r="D93" s="420" t="str">
        <f>VLOOKUP($B93,'Rate card'!$A$4:$G240,3,FALSE)</f>
        <v>Panelling with framing</v>
      </c>
      <c r="E93" s="420" t="str">
        <f>VLOOKUP($B93,'Rate card'!$A$4:$G240,4,FALSE)</f>
        <v>Mirror Finish</v>
      </c>
      <c r="F93" s="420" t="str">
        <f>VLOOKUP($B93,'Rate card'!$A$4:$G240,5,FALSE)</f>
        <v>MR ply + ply framing + 5mm clear mirror</v>
      </c>
      <c r="G93" s="420" t="str">
        <f>VLOOKUP($B93,'Rate card'!$A$4:$G240,6,FALSE)</f>
        <v>Sqft</v>
      </c>
      <c r="H93" s="420">
        <f>VLOOKUP($B93,'Rate card'!$A$4:$J240,8,FALSE)</f>
        <v>750</v>
      </c>
      <c r="I93" s="438">
        <f>2.5*7</f>
        <v>17.5</v>
      </c>
      <c r="J93" s="415">
        <f t="shared" si="16"/>
        <v>13125</v>
      </c>
      <c r="K93" s="411" t="s">
        <v>237</v>
      </c>
      <c r="L93" s="281"/>
      <c r="M93" s="281"/>
      <c r="N93" s="416"/>
      <c r="O93" s="281"/>
      <c r="P93" s="463"/>
      <c r="Q93" s="281"/>
      <c r="R93" s="281"/>
      <c r="S93" s="281"/>
      <c r="T93" s="281"/>
      <c r="U93" s="281"/>
      <c r="V93" s="281"/>
      <c r="W93" s="281"/>
      <c r="X93" s="281"/>
      <c r="Y93" s="281"/>
      <c r="Z93" s="281"/>
      <c r="AA93" s="281"/>
      <c r="AB93" s="281"/>
      <c r="AC93" s="281"/>
      <c r="AD93" s="281"/>
    </row>
    <row r="94">
      <c r="A94" s="382" t="s">
        <v>34</v>
      </c>
      <c r="B94" s="440" t="s">
        <v>238</v>
      </c>
      <c r="C94" s="395" t="s">
        <v>31</v>
      </c>
      <c r="D94" s="343" t="s">
        <v>180</v>
      </c>
      <c r="E94" s="395" t="str">
        <f>VLOOKUP($B94,'Rate card'!$A$4:$G240,4,FALSE)</f>
        <v>Laminate Finish</v>
      </c>
      <c r="F94" s="441" t="s">
        <v>239</v>
      </c>
      <c r="G94" s="420" t="str">
        <f>VLOOKUP($B94,'Rate card'!$A$4:$G240,6,FALSE)</f>
        <v>Sqft</v>
      </c>
      <c r="H94" s="420">
        <f>VLOOKUP($B94,'Rate card'!$A$4:$J240,8,FALSE)</f>
        <v>650</v>
      </c>
      <c r="I94" s="438" t="s">
        <v>240</v>
      </c>
      <c r="J94" s="415">
        <f t="shared" si="16"/>
        <v>52000</v>
      </c>
      <c r="K94" s="333" t="s">
        <v>241</v>
      </c>
      <c r="L94" s="346"/>
      <c r="M94" s="346"/>
      <c r="N94" s="371"/>
      <c r="O94" s="346"/>
      <c r="P94" s="516"/>
      <c r="Q94" s="346"/>
      <c r="R94" s="346"/>
      <c r="S94" s="346"/>
      <c r="T94" s="346"/>
      <c r="U94" s="346"/>
      <c r="V94" s="346"/>
      <c r="W94" s="346"/>
      <c r="X94" s="346"/>
      <c r="Y94" s="346"/>
      <c r="Z94" s="346"/>
      <c r="AA94" s="346"/>
      <c r="AB94" s="346"/>
      <c r="AC94" s="281"/>
      <c r="AD94" s="281"/>
    </row>
    <row r="95">
      <c r="A95" s="382" t="s">
        <v>36</v>
      </c>
      <c r="B95" s="419" t="s">
        <v>243</v>
      </c>
      <c r="C95" s="420" t="str">
        <f>VLOOKUP($B95,'Rate card'!$A$4:$G240,2,FALSE)</f>
        <v>Carpentry</v>
      </c>
      <c r="D95" s="420" t="str">
        <f>VLOOKUP($B95,'Rate card'!$A$4:$G240,3,FALSE)</f>
        <v>Wardrobe</v>
      </c>
      <c r="E95" s="420" t="str">
        <f>VLOOKUP($B95,'Rate card'!$A$4:$G240,4,FALSE)</f>
        <v>Laminate Finish</v>
      </c>
      <c r="F95" s="420" t="str">
        <f>VLOOKUP($B95,'Rate card'!$A$4:$G240,5,FALSE)</f>
        <v>MR ply + Inside laminate + finish laminate. (Includes 4 pencil drawers, Handles of base rate Rs.1000/pc)</v>
      </c>
      <c r="G95" s="420" t="str">
        <f>VLOOKUP($B95,'Rate card'!$A$4:$G240,6,FALSE)</f>
        <v>Sqft</v>
      </c>
      <c r="H95" s="413">
        <v>1800.0</v>
      </c>
      <c r="I95" s="438">
        <f>7.5*10</f>
        <v>75</v>
      </c>
      <c r="J95" s="415">
        <f t="shared" si="16"/>
        <v>135000</v>
      </c>
      <c r="K95" s="411" t="s">
        <v>244</v>
      </c>
      <c r="L95" s="281"/>
      <c r="M95" s="281"/>
      <c r="N95" s="416"/>
      <c r="O95" s="281"/>
      <c r="P95" s="463"/>
      <c r="Q95" s="442"/>
      <c r="R95" s="2"/>
      <c r="S95" s="281"/>
      <c r="T95" s="281"/>
      <c r="U95" s="281"/>
      <c r="V95" s="281"/>
      <c r="W95" s="281"/>
      <c r="X95" s="281"/>
      <c r="Y95" s="281"/>
      <c r="Z95" s="281"/>
      <c r="AA95" s="281"/>
      <c r="AB95" s="281"/>
      <c r="AC95" s="281"/>
      <c r="AD95" s="281"/>
    </row>
    <row r="96">
      <c r="A96" s="382" t="s">
        <v>92</v>
      </c>
      <c r="B96" s="419" t="s">
        <v>179</v>
      </c>
      <c r="C96" s="420" t="str">
        <f>VLOOKUP($B96,'Rate card'!$A$4:$G240,2,FALSE)</f>
        <v>Carpentry</v>
      </c>
      <c r="D96" s="420" t="str">
        <f>VLOOKUP($B96,'Rate card'!$A$4:$G240,3,FALSE)</f>
        <v>Panelling with framing</v>
      </c>
      <c r="E96" s="420" t="str">
        <f>VLOOKUP($B96,'Rate card'!$A$4:$G240,4,FALSE)</f>
        <v>MDF</v>
      </c>
      <c r="F96" s="420" t="str">
        <f>VLOOKUP($B96,'Rate card'!$A$4:$G240,5,FALSE)</f>
        <v>MR ply + ply framing + 12mm MDF</v>
      </c>
      <c r="G96" s="420" t="str">
        <f>VLOOKUP($B96,'Rate card'!$A$4:$G240,6,FALSE)</f>
        <v>Sqft</v>
      </c>
      <c r="H96" s="413">
        <v>600.0</v>
      </c>
      <c r="I96" s="438">
        <f>12*2.5</f>
        <v>30</v>
      </c>
      <c r="J96" s="415">
        <f t="shared" si="16"/>
        <v>18000</v>
      </c>
      <c r="K96" s="411" t="s">
        <v>245</v>
      </c>
      <c r="L96" s="281"/>
      <c r="M96" s="281"/>
      <c r="N96" s="416"/>
      <c r="O96" s="281"/>
      <c r="P96" s="463"/>
      <c r="Q96" s="281"/>
      <c r="R96" s="281"/>
      <c r="S96" s="281"/>
      <c r="T96" s="281"/>
      <c r="U96" s="281"/>
      <c r="V96" s="281"/>
      <c r="W96" s="281"/>
      <c r="X96" s="281"/>
      <c r="Y96" s="281"/>
      <c r="Z96" s="281"/>
      <c r="AA96" s="281"/>
      <c r="AB96" s="281"/>
      <c r="AC96" s="281"/>
      <c r="AD96" s="281"/>
    </row>
    <row r="97">
      <c r="A97" s="432" t="s">
        <v>246</v>
      </c>
      <c r="B97" s="323"/>
      <c r="C97" s="323"/>
      <c r="D97" s="323"/>
      <c r="E97" s="323"/>
      <c r="F97" s="323"/>
      <c r="G97" s="323"/>
      <c r="H97" s="324"/>
      <c r="I97" s="322"/>
      <c r="J97" s="324"/>
      <c r="K97" s="294"/>
      <c r="L97" s="281"/>
      <c r="M97" s="281"/>
      <c r="N97" s="416"/>
      <c r="O97" s="281"/>
      <c r="P97" s="463"/>
      <c r="Q97" s="281"/>
      <c r="R97" s="281"/>
      <c r="S97" s="281"/>
      <c r="T97" s="281"/>
      <c r="U97" s="281"/>
      <c r="V97" s="281"/>
      <c r="W97" s="281"/>
      <c r="X97" s="281"/>
      <c r="Y97" s="281"/>
      <c r="Z97" s="281"/>
      <c r="AA97" s="281"/>
      <c r="AB97" s="281"/>
      <c r="AC97" s="281"/>
      <c r="AD97" s="281"/>
    </row>
    <row r="98">
      <c r="A98" s="382" t="s">
        <v>16</v>
      </c>
      <c r="B98" s="435" t="s">
        <v>227</v>
      </c>
      <c r="C98" s="151" t="str">
        <f>VLOOKUP($B98,'Rate card'!$A$4:$G240,2,FALSE)</f>
        <v>Carpentry</v>
      </c>
      <c r="D98" s="151" t="str">
        <f>VLOOKUP($B98,'Rate card'!$A$4:$G240,3,FALSE)</f>
        <v>Bed</v>
      </c>
      <c r="E98" s="151" t="str">
        <f>VLOOKUP($B98,'Rate card'!$A$4:$G240,4,FALSE)</f>
        <v>Laminate Finish</v>
      </c>
      <c r="F98" s="151" t="str">
        <f>VLOOKUP($B98,'Rate card'!$A$4:$G240,5,FALSE)</f>
        <v>MR ply + Inside laminate + finish laminate</v>
      </c>
      <c r="G98" s="151" t="str">
        <f>VLOOKUP($B98,'Rate card'!$A$4:$G240,6,FALSE)</f>
        <v>Sqft</v>
      </c>
      <c r="H98" s="151">
        <v>2200.0</v>
      </c>
      <c r="I98" s="356">
        <f>6*6.5</f>
        <v>39</v>
      </c>
      <c r="J98" s="358">
        <f t="shared" ref="J98:J109" si="18">H98*I98</f>
        <v>85800</v>
      </c>
      <c r="K98" s="401" t="s">
        <v>247</v>
      </c>
      <c r="L98" s="148"/>
      <c r="M98" s="148"/>
      <c r="N98" s="375">
        <f>VLOOKUP($B98,'Rate card'!$A$4:$J240,7,FALSE)</f>
        <v>1400</v>
      </c>
      <c r="O98" s="376">
        <f t="shared" ref="O98:O99" si="19">I98*N98</f>
        <v>54600</v>
      </c>
      <c r="P98" s="522"/>
      <c r="Q98" s="436"/>
      <c r="R98" s="355"/>
      <c r="S98" s="148"/>
      <c r="T98" s="148"/>
      <c r="U98" s="148"/>
      <c r="V98" s="148"/>
      <c r="W98" s="148"/>
      <c r="X98" s="148"/>
      <c r="Y98" s="148"/>
      <c r="Z98" s="148"/>
      <c r="AA98" s="148"/>
      <c r="AB98" s="148"/>
      <c r="AC98" s="148"/>
      <c r="AD98" s="148"/>
    </row>
    <row r="99">
      <c r="A99" s="382" t="s">
        <v>18</v>
      </c>
      <c r="B99" s="435" t="s">
        <v>230</v>
      </c>
      <c r="C99" s="151" t="str">
        <f>VLOOKUP($B99,'Rate card'!$A$4:$G240,2,FALSE)</f>
        <v>Carpentry</v>
      </c>
      <c r="D99" s="151" t="str">
        <f>VLOOKUP($B99,'Rate card'!$A$4:$G240,3,FALSE)</f>
        <v>Headboard</v>
      </c>
      <c r="E99" s="151" t="str">
        <f>VLOOKUP($B99,'Rate card'!$A$4:$G240,4,FALSE)</f>
        <v>Fabric Finish</v>
      </c>
      <c r="F99" s="151" t="str">
        <f>VLOOKUP($B99,'Rate card'!$A$4:$G240,5,FALSE)</f>
        <v>MR ply panelling + Foam material and labour. Excludes Fabric cost</v>
      </c>
      <c r="G99" s="151" t="str">
        <f>VLOOKUP($B99,'Rate card'!$A$4:$G240,6,FALSE)</f>
        <v>Sqft</v>
      </c>
      <c r="H99" s="151">
        <v>1300.0</v>
      </c>
      <c r="I99" s="356">
        <f>6*3.5</f>
        <v>21</v>
      </c>
      <c r="J99" s="358">
        <f t="shared" si="18"/>
        <v>27300</v>
      </c>
      <c r="K99" s="437" t="s">
        <v>231</v>
      </c>
      <c r="L99" s="148"/>
      <c r="M99" s="148"/>
      <c r="N99" s="375">
        <f>VLOOKUP($B99,'Rate card'!$A$4:$J240,7,FALSE)</f>
        <v>950</v>
      </c>
      <c r="O99" s="376">
        <f t="shared" si="19"/>
        <v>19950</v>
      </c>
      <c r="P99" s="522"/>
      <c r="Q99" s="436"/>
      <c r="R99" s="355"/>
      <c r="S99" s="148"/>
      <c r="T99" s="148"/>
      <c r="U99" s="148"/>
      <c r="V99" s="148"/>
      <c r="W99" s="148"/>
      <c r="X99" s="148"/>
      <c r="Y99" s="148"/>
      <c r="Z99" s="148"/>
      <c r="AA99" s="148"/>
      <c r="AB99" s="148"/>
      <c r="AC99" s="148"/>
      <c r="AD99" s="148"/>
    </row>
    <row r="100">
      <c r="A100" s="382" t="s">
        <v>24</v>
      </c>
      <c r="B100" s="419" t="s">
        <v>232</v>
      </c>
      <c r="C100" s="420" t="str">
        <f>VLOOKUP($B100,'Rate card'!$A$4:$G240,2,FALSE)</f>
        <v>Carpentry</v>
      </c>
      <c r="D100" s="413" t="s">
        <v>233</v>
      </c>
      <c r="E100" s="420" t="str">
        <f>VLOOKUP($B100,'Rate card'!$A$4:$G240,4,FALSE)</f>
        <v>Laminate Finish</v>
      </c>
      <c r="F100" s="420" t="str">
        <f>VLOOKUP($B100,'Rate card'!$A$4:$G240,5,FALSE)</f>
        <v>MR ply + Inside laminate + finish laminate (1 Drawer)</v>
      </c>
      <c r="G100" s="420" t="str">
        <f>VLOOKUP($B100,'Rate card'!$A$4:$G240,6,FALSE)</f>
        <v>Nos</v>
      </c>
      <c r="H100" s="413">
        <v>13000.0</v>
      </c>
      <c r="I100" s="438" t="s">
        <v>16</v>
      </c>
      <c r="J100" s="415">
        <f t="shared" si="18"/>
        <v>13000</v>
      </c>
      <c r="K100" s="411" t="s">
        <v>233</v>
      </c>
      <c r="L100" s="281"/>
      <c r="M100" s="281"/>
      <c r="N100" s="416"/>
      <c r="O100" s="281"/>
      <c r="P100" s="463"/>
      <c r="Q100" s="281"/>
      <c r="R100" s="281"/>
      <c r="S100" s="281"/>
      <c r="T100" s="281"/>
      <c r="U100" s="281"/>
      <c r="V100" s="281"/>
      <c r="W100" s="281"/>
      <c r="X100" s="281"/>
      <c r="Y100" s="281"/>
      <c r="Z100" s="281"/>
      <c r="AA100" s="281"/>
      <c r="AB100" s="281"/>
      <c r="AC100" s="281"/>
      <c r="AD100" s="281"/>
    </row>
    <row r="101">
      <c r="A101" s="382" t="s">
        <v>27</v>
      </c>
      <c r="B101" s="419" t="s">
        <v>248</v>
      </c>
      <c r="C101" s="420" t="str">
        <f>VLOOKUP($B101,'Rate card'!$A$4:$G240,2,FALSE)</f>
        <v>Carpentry</v>
      </c>
      <c r="D101" s="420" t="str">
        <f>VLOOKUP($B101,'Rate card'!$A$4:$G240,3,FALSE)</f>
        <v>Study Table</v>
      </c>
      <c r="E101" s="420" t="str">
        <f>VLOOKUP($B101,'Rate card'!$A$4:$G240,4,FALSE)</f>
        <v>Laminate Finish</v>
      </c>
      <c r="F101" s="420" t="str">
        <f>VLOOKUP($B101,'Rate card'!$A$4:$G240,5,FALSE)</f>
        <v>MR ply + Inside laminate + finish laminate (2 pencil drawers)</v>
      </c>
      <c r="G101" s="420" t="str">
        <f>VLOOKUP($B101,'Rate card'!$A$4:$G240,6,FALSE)</f>
        <v>Rft</v>
      </c>
      <c r="H101" s="413">
        <v>4500.0</v>
      </c>
      <c r="I101" s="438" t="s">
        <v>27</v>
      </c>
      <c r="J101" s="415">
        <f t="shared" si="18"/>
        <v>18000</v>
      </c>
      <c r="K101" s="411" t="s">
        <v>249</v>
      </c>
      <c r="L101" s="281"/>
      <c r="M101" s="281"/>
      <c r="N101" s="416"/>
      <c r="O101" s="281"/>
      <c r="P101" s="463"/>
      <c r="Q101" s="439"/>
      <c r="R101" s="2"/>
      <c r="S101" s="281"/>
      <c r="T101" s="281"/>
      <c r="U101" s="281"/>
      <c r="V101" s="281"/>
      <c r="W101" s="281"/>
      <c r="X101" s="281"/>
      <c r="Y101" s="281"/>
      <c r="Z101" s="281"/>
      <c r="AA101" s="281"/>
      <c r="AB101" s="281"/>
      <c r="AC101" s="281"/>
      <c r="AD101" s="281"/>
    </row>
    <row r="102">
      <c r="A102" s="382" t="s">
        <v>30</v>
      </c>
      <c r="B102" s="419" t="s">
        <v>170</v>
      </c>
      <c r="C102" s="420" t="str">
        <f>VLOOKUP($B102,'Rate card'!$A$4:$G240,2,FALSE)</f>
        <v>Carpentry</v>
      </c>
      <c r="D102" s="420" t="str">
        <f>VLOOKUP($B102,'Rate card'!$A$4:$G240,3,FALSE)</f>
        <v>Carcass Storage</v>
      </c>
      <c r="E102" s="420" t="str">
        <f>VLOOKUP($B102,'Rate card'!$A$4:$G240,4,FALSE)</f>
        <v>Laminate Finish</v>
      </c>
      <c r="F102" s="420" t="str">
        <f>VLOOKUP($B102,'Rate card'!$A$4:$G240,5,FALSE)</f>
        <v>MR ply + Inside laminate + finish laminate</v>
      </c>
      <c r="G102" s="420" t="str">
        <f>VLOOKUP($B102,'Rate card'!$A$4:$G240,6,FALSE)</f>
        <v>Sqft</v>
      </c>
      <c r="H102" s="420">
        <f>VLOOKUP($B102,'Rate card'!$A$4:$J240,8,FALSE)</f>
        <v>1800</v>
      </c>
      <c r="I102" s="438" t="s">
        <v>121</v>
      </c>
      <c r="J102" s="415">
        <f t="shared" si="18"/>
        <v>36000</v>
      </c>
      <c r="K102" s="411" t="s">
        <v>250</v>
      </c>
      <c r="L102" s="281"/>
      <c r="M102" s="281"/>
      <c r="N102" s="416"/>
      <c r="O102" s="281"/>
      <c r="P102" s="463"/>
      <c r="Q102" s="439"/>
      <c r="R102" s="2"/>
      <c r="S102" s="281"/>
      <c r="T102" s="281"/>
      <c r="U102" s="281"/>
      <c r="V102" s="281"/>
      <c r="W102" s="281"/>
      <c r="X102" s="281"/>
      <c r="Y102" s="281"/>
      <c r="Z102" s="281"/>
      <c r="AA102" s="281"/>
      <c r="AB102" s="281"/>
      <c r="AC102" s="281"/>
      <c r="AD102" s="281"/>
    </row>
    <row r="103">
      <c r="A103" s="382" t="s">
        <v>32</v>
      </c>
      <c r="B103" s="419" t="s">
        <v>170</v>
      </c>
      <c r="C103" s="420" t="str">
        <f>VLOOKUP($B103,'Rate card'!$A$4:$G240,2,FALSE)</f>
        <v>Carpentry</v>
      </c>
      <c r="D103" s="420" t="str">
        <f>VLOOKUP($B103,'Rate card'!$A$4:$G240,3,FALSE)</f>
        <v>Carcass Storage</v>
      </c>
      <c r="E103" s="420" t="str">
        <f>VLOOKUP($B103,'Rate card'!$A$4:$G240,4,FALSE)</f>
        <v>Laminate Finish</v>
      </c>
      <c r="F103" s="420" t="str">
        <f>VLOOKUP($B103,'Rate card'!$A$4:$G240,5,FALSE)</f>
        <v>MR ply + Inside laminate + finish laminate</v>
      </c>
      <c r="G103" s="420" t="str">
        <f>VLOOKUP($B103,'Rate card'!$A$4:$G240,6,FALSE)</f>
        <v>Sqft</v>
      </c>
      <c r="H103" s="420">
        <f>VLOOKUP($B103,'Rate card'!$A$4:$J240,8,FALSE)</f>
        <v>1800</v>
      </c>
      <c r="I103" s="438" t="s">
        <v>116</v>
      </c>
      <c r="J103" s="415">
        <f t="shared" si="18"/>
        <v>32400</v>
      </c>
      <c r="K103" s="411" t="s">
        <v>251</v>
      </c>
      <c r="L103" s="281"/>
      <c r="M103" s="281"/>
      <c r="N103" s="416"/>
      <c r="O103" s="281"/>
      <c r="P103" s="463"/>
      <c r="Q103" s="439"/>
      <c r="R103" s="2"/>
      <c r="S103" s="281"/>
      <c r="T103" s="281"/>
      <c r="U103" s="281"/>
      <c r="V103" s="281"/>
      <c r="W103" s="281"/>
      <c r="X103" s="281"/>
      <c r="Y103" s="281"/>
      <c r="Z103" s="281"/>
      <c r="AA103" s="281"/>
      <c r="AB103" s="281"/>
      <c r="AC103" s="281"/>
      <c r="AD103" s="281"/>
    </row>
    <row r="104">
      <c r="A104" s="382" t="s">
        <v>34</v>
      </c>
      <c r="B104" s="419" t="s">
        <v>236</v>
      </c>
      <c r="C104" s="420" t="str">
        <f>VLOOKUP($B104,'Rate card'!$A$4:$G240,2,FALSE)</f>
        <v>Carpentry</v>
      </c>
      <c r="D104" s="420" t="str">
        <f>VLOOKUP($B104,'Rate card'!$A$4:$G240,3,FALSE)</f>
        <v>Panelling with framing</v>
      </c>
      <c r="E104" s="420" t="str">
        <f>VLOOKUP($B104,'Rate card'!$A$4:$G240,4,FALSE)</f>
        <v>Mirror Finish</v>
      </c>
      <c r="F104" s="420" t="str">
        <f>VLOOKUP($B104,'Rate card'!$A$4:$G240,5,FALSE)</f>
        <v>MR ply + ply framing + 5mm clear mirror</v>
      </c>
      <c r="G104" s="420" t="str">
        <f>VLOOKUP($B104,'Rate card'!$A$4:$G240,6,FALSE)</f>
        <v>Sqft</v>
      </c>
      <c r="H104" s="420">
        <f>VLOOKUP($B104,'Rate card'!$A$4:$J240,8,FALSE)</f>
        <v>750</v>
      </c>
      <c r="I104" s="438">
        <f>2*5</f>
        <v>10</v>
      </c>
      <c r="J104" s="415">
        <f t="shared" si="18"/>
        <v>7500</v>
      </c>
      <c r="K104" s="411" t="s">
        <v>237</v>
      </c>
      <c r="L104" s="281"/>
      <c r="M104" s="281"/>
      <c r="N104" s="416"/>
      <c r="O104" s="281"/>
      <c r="P104" s="463"/>
      <c r="Q104" s="281"/>
      <c r="R104" s="281"/>
      <c r="S104" s="281"/>
      <c r="T104" s="281"/>
      <c r="U104" s="281"/>
      <c r="V104" s="281"/>
      <c r="W104" s="281"/>
      <c r="X104" s="281"/>
      <c r="Y104" s="281"/>
      <c r="Z104" s="281"/>
      <c r="AA104" s="281"/>
      <c r="AB104" s="281"/>
      <c r="AC104" s="281"/>
      <c r="AD104" s="281"/>
    </row>
    <row r="105">
      <c r="A105" s="382" t="s">
        <v>36</v>
      </c>
      <c r="B105" s="419" t="s">
        <v>252</v>
      </c>
      <c r="C105" s="420" t="str">
        <f>VLOOKUP($B105,'Rate card'!$A$4:$G240,2,FALSE)</f>
        <v>Carpentry</v>
      </c>
      <c r="D105" s="420" t="str">
        <f>VLOOKUP($B105,'Rate card'!$A$4:$G240,3,FALSE)</f>
        <v>Dresser</v>
      </c>
      <c r="E105" s="433" t="str">
        <f>VLOOKUP($B105,'Rate card'!$A$4:$G240,4,FALSE)</f>
        <v>Laminate Finish</v>
      </c>
      <c r="F105" s="433" t="str">
        <f>VLOOKUP($B105,'Rate card'!$A$4:$G240,5,FALSE)</f>
        <v>MRply + Inside laminate + finish laminate </v>
      </c>
      <c r="G105" s="420" t="str">
        <f>VLOOKUP($B105,'Rate card'!$A$4:$G240,6,FALSE)</f>
        <v>Sqft</v>
      </c>
      <c r="H105" s="413">
        <v>1800.0</v>
      </c>
      <c r="I105" s="414" t="s">
        <v>32</v>
      </c>
      <c r="J105" s="415">
        <f t="shared" si="18"/>
        <v>10800</v>
      </c>
      <c r="K105" s="411" t="s">
        <v>234</v>
      </c>
      <c r="L105" s="281"/>
      <c r="M105" s="281"/>
      <c r="N105" s="443">
        <f>VLOOKUP($B105,'Rate card'!$A$4:$J240,7,FALSE)</f>
        <v>1400</v>
      </c>
      <c r="O105" s="444">
        <f>I105*N105</f>
        <v>8400</v>
      </c>
      <c r="P105" s="463"/>
      <c r="Q105" s="281"/>
      <c r="R105" s="281"/>
      <c r="S105" s="281"/>
      <c r="T105" s="281"/>
      <c r="U105" s="281"/>
      <c r="V105" s="281"/>
      <c r="W105" s="281"/>
      <c r="X105" s="281"/>
      <c r="Y105" s="281"/>
      <c r="Z105" s="281"/>
      <c r="AA105" s="281"/>
      <c r="AB105" s="281"/>
      <c r="AC105" s="281"/>
      <c r="AD105" s="281"/>
    </row>
    <row r="106">
      <c r="A106" s="382" t="s">
        <v>92</v>
      </c>
      <c r="B106" s="440" t="s">
        <v>238</v>
      </c>
      <c r="C106" s="395" t="s">
        <v>31</v>
      </c>
      <c r="D106" s="343" t="s">
        <v>180</v>
      </c>
      <c r="E106" s="395" t="str">
        <f>VLOOKUP($B106,'Rate card'!$A$4:$G240,4,FALSE)</f>
        <v>Laminate Finish</v>
      </c>
      <c r="F106" s="441" t="s">
        <v>239</v>
      </c>
      <c r="G106" s="420" t="str">
        <f>VLOOKUP($B106,'Rate card'!$A$4:$G240,6,FALSE)</f>
        <v>Sqft</v>
      </c>
      <c r="H106" s="420">
        <f>VLOOKUP($B106,'Rate card'!$A$4:$J240,8,FALSE)</f>
        <v>650</v>
      </c>
      <c r="I106" s="438" t="s">
        <v>64</v>
      </c>
      <c r="J106" s="415">
        <f t="shared" si="18"/>
        <v>26000</v>
      </c>
      <c r="K106" s="333" t="s">
        <v>241</v>
      </c>
      <c r="L106" s="346"/>
      <c r="M106" s="346"/>
      <c r="N106" s="371"/>
      <c r="O106" s="346"/>
      <c r="P106" s="516"/>
      <c r="Q106" s="346"/>
      <c r="R106" s="346"/>
      <c r="S106" s="346"/>
      <c r="T106" s="346"/>
      <c r="U106" s="346"/>
      <c r="V106" s="346"/>
      <c r="W106" s="346"/>
      <c r="X106" s="346"/>
      <c r="Y106" s="346"/>
      <c r="Z106" s="346"/>
      <c r="AA106" s="346"/>
      <c r="AB106" s="346"/>
      <c r="AC106" s="281"/>
      <c r="AD106" s="281"/>
    </row>
    <row r="107">
      <c r="A107" s="382" t="s">
        <v>95</v>
      </c>
      <c r="B107" s="419" t="s">
        <v>243</v>
      </c>
      <c r="C107" s="420" t="str">
        <f>VLOOKUP($B107,'Rate card'!$A$4:$G240,2,FALSE)</f>
        <v>Carpentry</v>
      </c>
      <c r="D107" s="420" t="str">
        <f>VLOOKUP($B107,'Rate card'!$A$4:$G240,3,FALSE)</f>
        <v>Wardrobe</v>
      </c>
      <c r="E107" s="420" t="str">
        <f>VLOOKUP($B107,'Rate card'!$A$4:$G240,4,FALSE)</f>
        <v>Laminate Finish</v>
      </c>
      <c r="F107" s="420" t="str">
        <f>VLOOKUP($B107,'Rate card'!$A$4:$G240,5,FALSE)</f>
        <v>MR ply + Inside laminate + finish laminate. (Includes 4 pencil drawers, Handles of base rate Rs.1000/pc)</v>
      </c>
      <c r="G107" s="420" t="str">
        <f>VLOOKUP($B107,'Rate card'!$A$4:$G240,6,FALSE)</f>
        <v>Sqft</v>
      </c>
      <c r="H107" s="413">
        <v>1800.0</v>
      </c>
      <c r="I107" s="438">
        <f>5*10</f>
        <v>50</v>
      </c>
      <c r="J107" s="415">
        <f t="shared" si="18"/>
        <v>90000</v>
      </c>
      <c r="K107" s="411" t="s">
        <v>254</v>
      </c>
      <c r="L107" s="281"/>
      <c r="M107" s="281"/>
      <c r="N107" s="416"/>
      <c r="O107" s="281"/>
      <c r="P107" s="463"/>
      <c r="Q107" s="442"/>
      <c r="R107" s="2"/>
      <c r="S107" s="281"/>
      <c r="T107" s="281"/>
      <c r="U107" s="281"/>
      <c r="V107" s="281"/>
      <c r="W107" s="281"/>
      <c r="X107" s="281"/>
      <c r="Y107" s="281"/>
      <c r="Z107" s="281"/>
      <c r="AA107" s="281"/>
      <c r="AB107" s="281"/>
      <c r="AC107" s="281"/>
      <c r="AD107" s="281"/>
    </row>
    <row r="108">
      <c r="A108" s="382" t="s">
        <v>95</v>
      </c>
      <c r="B108" s="419" t="s">
        <v>243</v>
      </c>
      <c r="C108" s="420" t="str">
        <f>VLOOKUP($B108,'Rate card'!$A$4:$G240,2,FALSE)</f>
        <v>Carpentry</v>
      </c>
      <c r="D108" s="420" t="str">
        <f>VLOOKUP($B108,'Rate card'!$A$4:$G240,3,FALSE)</f>
        <v>Wardrobe</v>
      </c>
      <c r="E108" s="420" t="str">
        <f>VLOOKUP($B108,'Rate card'!$A$4:$G240,4,FALSE)</f>
        <v>Laminate Finish</v>
      </c>
      <c r="F108" s="420" t="str">
        <f>VLOOKUP($B108,'Rate card'!$A$4:$G240,5,FALSE)</f>
        <v>MR ply + Inside laminate + finish laminate. (Includes 4 pencil drawers, Handles of base rate Rs.1000/pc)</v>
      </c>
      <c r="G108" s="420" t="str">
        <f>VLOOKUP($B108,'Rate card'!$A$4:$G240,6,FALSE)</f>
        <v>Sqft</v>
      </c>
      <c r="H108" s="413">
        <v>1800.0</v>
      </c>
      <c r="I108" s="438">
        <f>4.25*10</f>
        <v>42.5</v>
      </c>
      <c r="J108" s="415">
        <f t="shared" si="18"/>
        <v>76500</v>
      </c>
      <c r="K108" s="411" t="s">
        <v>255</v>
      </c>
      <c r="L108" s="281"/>
      <c r="M108" s="281"/>
      <c r="N108" s="416"/>
      <c r="O108" s="281"/>
      <c r="P108" s="463"/>
      <c r="Q108" s="442"/>
      <c r="R108" s="2"/>
      <c r="S108" s="281"/>
      <c r="T108" s="281"/>
      <c r="U108" s="281"/>
      <c r="V108" s="281"/>
      <c r="W108" s="281"/>
      <c r="X108" s="281"/>
      <c r="Y108" s="281"/>
      <c r="Z108" s="281"/>
      <c r="AA108" s="281"/>
      <c r="AB108" s="281"/>
      <c r="AC108" s="281"/>
      <c r="AD108" s="281"/>
    </row>
    <row r="109">
      <c r="A109" s="382" t="s">
        <v>97</v>
      </c>
      <c r="B109" s="419" t="s">
        <v>179</v>
      </c>
      <c r="C109" s="420" t="str">
        <f>VLOOKUP($B109,'Rate card'!$A$4:$G240,2,FALSE)</f>
        <v>Carpentry</v>
      </c>
      <c r="D109" s="420" t="str">
        <f>VLOOKUP($B109,'Rate card'!$A$4:$G240,3,FALSE)</f>
        <v>Panelling with framing</v>
      </c>
      <c r="E109" s="420" t="str">
        <f>VLOOKUP($B109,'Rate card'!$A$4:$G240,4,FALSE)</f>
        <v>MDF</v>
      </c>
      <c r="F109" s="420" t="str">
        <f>VLOOKUP($B109,'Rate card'!$A$4:$G240,5,FALSE)</f>
        <v>MR ply + ply framing + 12mm MDF</v>
      </c>
      <c r="G109" s="420" t="str">
        <f>VLOOKUP($B109,'Rate card'!$A$4:$G240,6,FALSE)</f>
        <v>Sqft</v>
      </c>
      <c r="H109" s="413">
        <v>600.0</v>
      </c>
      <c r="I109" s="438">
        <f>12*2.5</f>
        <v>30</v>
      </c>
      <c r="J109" s="415">
        <f t="shared" si="18"/>
        <v>18000</v>
      </c>
      <c r="K109" s="411" t="s">
        <v>245</v>
      </c>
      <c r="L109" s="281"/>
      <c r="M109" s="281"/>
      <c r="N109" s="416"/>
      <c r="O109" s="281"/>
      <c r="P109" s="463"/>
      <c r="Q109" s="281"/>
      <c r="R109" s="281"/>
      <c r="S109" s="281"/>
      <c r="T109" s="281"/>
      <c r="U109" s="281"/>
      <c r="V109" s="281"/>
      <c r="W109" s="281"/>
      <c r="X109" s="281"/>
      <c r="Y109" s="281"/>
      <c r="Z109" s="281"/>
      <c r="AA109" s="281"/>
      <c r="AB109" s="281"/>
      <c r="AC109" s="281"/>
      <c r="AD109" s="281"/>
    </row>
    <row r="110">
      <c r="A110" s="432" t="s">
        <v>256</v>
      </c>
      <c r="B110" s="323"/>
      <c r="C110" s="323"/>
      <c r="D110" s="323"/>
      <c r="E110" s="323"/>
      <c r="F110" s="323"/>
      <c r="G110" s="323"/>
      <c r="H110" s="324"/>
      <c r="I110" s="322"/>
      <c r="J110" s="324"/>
      <c r="K110" s="294"/>
      <c r="L110" s="281"/>
      <c r="M110" s="281"/>
      <c r="N110" s="416"/>
      <c r="O110" s="281"/>
      <c r="P110" s="463"/>
      <c r="Q110" s="281"/>
      <c r="R110" s="281"/>
      <c r="S110" s="281"/>
      <c r="T110" s="281"/>
      <c r="U110" s="281"/>
      <c r="V110" s="281"/>
      <c r="W110" s="281"/>
      <c r="X110" s="281"/>
      <c r="Y110" s="281"/>
      <c r="Z110" s="281"/>
      <c r="AA110" s="281"/>
      <c r="AB110" s="281"/>
      <c r="AC110" s="281"/>
      <c r="AD110" s="281"/>
    </row>
    <row r="111">
      <c r="A111" s="408" t="s">
        <v>16</v>
      </c>
      <c r="B111" s="419" t="s">
        <v>227</v>
      </c>
      <c r="C111" s="420" t="str">
        <f>VLOOKUP($B111,'Rate card'!$A$4:$G240,2,FALSE)</f>
        <v>Carpentry</v>
      </c>
      <c r="D111" s="420" t="str">
        <f>VLOOKUP($B111,'Rate card'!$A$4:$G240,3,FALSE)</f>
        <v>Bed</v>
      </c>
      <c r="E111" s="420" t="str">
        <f>VLOOKUP($B111,'Rate card'!$A$4:$G240,4,FALSE)</f>
        <v>Laminate Finish</v>
      </c>
      <c r="F111" s="420" t="str">
        <f>VLOOKUP($B111,'Rate card'!$A$4:$G240,5,FALSE)</f>
        <v>MR ply + Inside laminate + finish laminate</v>
      </c>
      <c r="G111" s="420" t="str">
        <f>VLOOKUP($B111,'Rate card'!$A$4:$G240,6,FALSE)</f>
        <v>Sqft</v>
      </c>
      <c r="H111" s="413">
        <v>2200.0</v>
      </c>
      <c r="I111" s="414">
        <f t="shared" ref="I111:I112" si="20">I98</f>
        <v>39</v>
      </c>
      <c r="J111" s="415">
        <f t="shared" ref="J111:J121" si="21">H111*I111</f>
        <v>85800</v>
      </c>
      <c r="K111" s="72" t="s">
        <v>247</v>
      </c>
      <c r="L111" s="281"/>
      <c r="M111" s="281"/>
      <c r="N111" s="416">
        <f>VLOOKUP($B111,'Rate card'!$A$4:$J240,7,FALSE)</f>
        <v>1400</v>
      </c>
      <c r="O111" s="281">
        <f t="shared" ref="O111:O112" si="22">I111*N111</f>
        <v>54600</v>
      </c>
      <c r="P111" s="463"/>
      <c r="Q111" s="281"/>
      <c r="R111" s="281"/>
      <c r="S111" s="281"/>
      <c r="T111" s="281"/>
      <c r="U111" s="281"/>
      <c r="V111" s="281"/>
      <c r="W111" s="281"/>
      <c r="X111" s="281"/>
      <c r="Y111" s="281"/>
      <c r="Z111" s="281"/>
      <c r="AA111" s="281"/>
      <c r="AB111" s="281"/>
      <c r="AC111" s="281"/>
      <c r="AD111" s="281"/>
    </row>
    <row r="112">
      <c r="A112" s="408" t="s">
        <v>18</v>
      </c>
      <c r="B112" s="419" t="s">
        <v>230</v>
      </c>
      <c r="C112" s="420" t="str">
        <f>VLOOKUP($B112,'Rate card'!$A$4:$G240,2,FALSE)</f>
        <v>Carpentry</v>
      </c>
      <c r="D112" s="420" t="str">
        <f>VLOOKUP($B112,'Rate card'!$A$4:$G240,3,FALSE)</f>
        <v>Headboard</v>
      </c>
      <c r="E112" s="420" t="str">
        <f>VLOOKUP($B112,'Rate card'!$A$4:$G240,4,FALSE)</f>
        <v>Fabric Finish</v>
      </c>
      <c r="F112" s="420" t="str">
        <f>VLOOKUP($B112,'Rate card'!$A$4:$G240,5,FALSE)</f>
        <v>MR ply panelling + Foam material and labour. Excludes Fabric cost</v>
      </c>
      <c r="G112" s="420" t="str">
        <f>VLOOKUP($B112,'Rate card'!$A$4:$G240,6,FALSE)</f>
        <v>Sqft</v>
      </c>
      <c r="H112" s="413">
        <v>1300.0</v>
      </c>
      <c r="I112" s="414">
        <f t="shared" si="20"/>
        <v>21</v>
      </c>
      <c r="J112" s="415">
        <f t="shared" si="21"/>
        <v>27300</v>
      </c>
      <c r="K112" s="411" t="s">
        <v>231</v>
      </c>
      <c r="L112" s="281"/>
      <c r="M112" s="281"/>
      <c r="N112" s="416">
        <f>VLOOKUP($B112,'Rate card'!$A$4:$J240,7,FALSE)</f>
        <v>950</v>
      </c>
      <c r="O112" s="281">
        <f t="shared" si="22"/>
        <v>19950</v>
      </c>
      <c r="P112" s="463"/>
      <c r="Q112" s="281"/>
      <c r="R112" s="281"/>
      <c r="S112" s="281"/>
      <c r="T112" s="281"/>
      <c r="U112" s="281"/>
      <c r="V112" s="281"/>
      <c r="W112" s="281"/>
      <c r="X112" s="281"/>
      <c r="Y112" s="281"/>
      <c r="Z112" s="281"/>
      <c r="AA112" s="281"/>
      <c r="AB112" s="281"/>
      <c r="AC112" s="281"/>
      <c r="AD112" s="281"/>
    </row>
    <row r="113">
      <c r="A113" s="408" t="s">
        <v>24</v>
      </c>
      <c r="B113" s="419" t="s">
        <v>232</v>
      </c>
      <c r="C113" s="420" t="str">
        <f>VLOOKUP($B113,'Rate card'!$A$4:$G240,2,FALSE)</f>
        <v>Carpentry</v>
      </c>
      <c r="D113" s="413" t="s">
        <v>233</v>
      </c>
      <c r="E113" s="420" t="str">
        <f>VLOOKUP($B113,'Rate card'!$A$4:$G240,4,FALSE)</f>
        <v>Laminate Finish</v>
      </c>
      <c r="F113" s="420" t="str">
        <f>VLOOKUP($B113,'Rate card'!$A$4:$G240,5,FALSE)</f>
        <v>MR ply + Inside laminate + finish laminate (1 Drawer)</v>
      </c>
      <c r="G113" s="420" t="str">
        <f>VLOOKUP($B113,'Rate card'!$A$4:$G240,6,FALSE)</f>
        <v>Nos</v>
      </c>
      <c r="H113" s="413">
        <v>13000.0</v>
      </c>
      <c r="I113" s="438" t="s">
        <v>18</v>
      </c>
      <c r="J113" s="415">
        <f t="shared" si="21"/>
        <v>26000</v>
      </c>
      <c r="K113" s="411" t="s">
        <v>233</v>
      </c>
      <c r="L113" s="281"/>
      <c r="M113" s="281"/>
      <c r="N113" s="416"/>
      <c r="O113" s="281"/>
      <c r="P113" s="463"/>
      <c r="Q113" s="281"/>
      <c r="R113" s="281"/>
      <c r="S113" s="281"/>
      <c r="T113" s="281"/>
      <c r="U113" s="281"/>
      <c r="V113" s="281"/>
      <c r="W113" s="281"/>
      <c r="X113" s="281"/>
      <c r="Y113" s="281"/>
      <c r="Z113" s="281"/>
      <c r="AA113" s="281"/>
      <c r="AB113" s="281"/>
      <c r="AC113" s="281"/>
      <c r="AD113" s="281"/>
    </row>
    <row r="114">
      <c r="A114" s="408" t="s">
        <v>27</v>
      </c>
      <c r="B114" s="419" t="s">
        <v>248</v>
      </c>
      <c r="C114" s="420" t="str">
        <f>VLOOKUP($B114,'Rate card'!$A$4:$G240,2,FALSE)</f>
        <v>Carpentry</v>
      </c>
      <c r="D114" s="420" t="str">
        <f>VLOOKUP($B114,'Rate card'!$A$4:$G240,3,FALSE)</f>
        <v>Study Table</v>
      </c>
      <c r="E114" s="420" t="str">
        <f>VLOOKUP($B114,'Rate card'!$A$4:$G240,4,FALSE)</f>
        <v>Laminate Finish</v>
      </c>
      <c r="F114" s="420" t="str">
        <f>VLOOKUP($B114,'Rate card'!$A$4:$G240,5,FALSE)</f>
        <v>MR ply + Inside laminate + finish laminate (2 pencil drawers)</v>
      </c>
      <c r="G114" s="420" t="str">
        <f>VLOOKUP($B114,'Rate card'!$A$4:$G240,6,FALSE)</f>
        <v>Rft</v>
      </c>
      <c r="H114" s="413">
        <v>4500.0</v>
      </c>
      <c r="I114" s="438" t="s">
        <v>27</v>
      </c>
      <c r="J114" s="415">
        <f t="shared" si="21"/>
        <v>18000</v>
      </c>
      <c r="K114" s="411" t="s">
        <v>249</v>
      </c>
      <c r="L114" s="281"/>
      <c r="M114" s="281"/>
      <c r="N114" s="416"/>
      <c r="O114" s="281"/>
      <c r="P114" s="463"/>
      <c r="Q114" s="439"/>
      <c r="R114" s="2"/>
      <c r="S114" s="281"/>
      <c r="T114" s="281"/>
      <c r="U114" s="281"/>
      <c r="V114" s="281"/>
      <c r="W114" s="281"/>
      <c r="X114" s="281"/>
      <c r="Y114" s="281"/>
      <c r="Z114" s="281"/>
      <c r="AA114" s="281"/>
      <c r="AB114" s="281"/>
      <c r="AC114" s="281"/>
      <c r="AD114" s="281"/>
    </row>
    <row r="115">
      <c r="A115" s="408" t="s">
        <v>30</v>
      </c>
      <c r="B115" s="419" t="s">
        <v>170</v>
      </c>
      <c r="C115" s="420" t="str">
        <f>VLOOKUP($B115,'Rate card'!$A$4:$G240,2,FALSE)</f>
        <v>Carpentry</v>
      </c>
      <c r="D115" s="420" t="str">
        <f>VLOOKUP($B115,'Rate card'!$A$4:$G240,3,FALSE)</f>
        <v>Carcass Storage</v>
      </c>
      <c r="E115" s="420" t="str">
        <f>VLOOKUP($B115,'Rate card'!$A$4:$G240,4,FALSE)</f>
        <v>Laminate Finish</v>
      </c>
      <c r="F115" s="420" t="str">
        <f>VLOOKUP($B115,'Rate card'!$A$4:$G240,5,FALSE)</f>
        <v>MR ply + Inside laminate + finish laminate</v>
      </c>
      <c r="G115" s="420" t="str">
        <f>VLOOKUP($B115,'Rate card'!$A$4:$G240,6,FALSE)</f>
        <v>Sqft</v>
      </c>
      <c r="H115" s="420">
        <f>VLOOKUP($B115,'Rate card'!$A$4:$J240,8,FALSE)</f>
        <v>1800</v>
      </c>
      <c r="I115" s="438">
        <f>4*3</f>
        <v>12</v>
      </c>
      <c r="J115" s="415">
        <f t="shared" si="21"/>
        <v>21600</v>
      </c>
      <c r="K115" s="411" t="s">
        <v>250</v>
      </c>
      <c r="L115" s="281"/>
      <c r="M115" s="281"/>
      <c r="N115" s="416"/>
      <c r="O115" s="281"/>
      <c r="P115" s="463"/>
      <c r="Q115" s="439"/>
      <c r="R115" s="2"/>
      <c r="S115" s="281"/>
      <c r="T115" s="281"/>
      <c r="U115" s="281"/>
      <c r="V115" s="281"/>
      <c r="W115" s="281"/>
      <c r="X115" s="281"/>
      <c r="Y115" s="281"/>
      <c r="Z115" s="281"/>
      <c r="AA115" s="281"/>
      <c r="AB115" s="281"/>
      <c r="AC115" s="281"/>
      <c r="AD115" s="281"/>
    </row>
    <row r="116">
      <c r="A116" s="408" t="s">
        <v>32</v>
      </c>
      <c r="B116" s="419" t="s">
        <v>170</v>
      </c>
      <c r="C116" s="420" t="str">
        <f>VLOOKUP($B116,'Rate card'!$A$4:$G240,2,FALSE)</f>
        <v>Carpentry</v>
      </c>
      <c r="D116" s="420" t="str">
        <f>VLOOKUP($B116,'Rate card'!$A$4:$G240,3,FALSE)</f>
        <v>Carcass Storage</v>
      </c>
      <c r="E116" s="420" t="str">
        <f>VLOOKUP($B116,'Rate card'!$A$4:$G240,4,FALSE)</f>
        <v>Laminate Finish</v>
      </c>
      <c r="F116" s="420" t="str">
        <f>VLOOKUP($B116,'Rate card'!$A$4:$G240,5,FALSE)</f>
        <v>MR ply + Inside laminate + finish laminate</v>
      </c>
      <c r="G116" s="413" t="s">
        <v>188</v>
      </c>
      <c r="H116" s="413">
        <v>4500.0</v>
      </c>
      <c r="I116" s="421" t="s">
        <v>258</v>
      </c>
      <c r="J116" s="415">
        <f t="shared" si="21"/>
        <v>42750</v>
      </c>
      <c r="K116" s="422" t="s">
        <v>190</v>
      </c>
      <c r="L116" s="281"/>
      <c r="M116" s="281"/>
      <c r="N116" s="416">
        <f>VLOOKUP($B116,'Rate card'!$A$4:$J240,7,FALSE)</f>
        <v>1350</v>
      </c>
      <c r="O116" s="281">
        <f>I116*N116</f>
        <v>12825</v>
      </c>
      <c r="P116" s="463"/>
      <c r="Q116" s="281"/>
      <c r="R116" s="281"/>
      <c r="S116" s="281"/>
      <c r="T116" s="281"/>
      <c r="U116" s="281"/>
      <c r="V116" s="281"/>
      <c r="W116" s="281"/>
      <c r="X116" s="281"/>
      <c r="Y116" s="281"/>
      <c r="Z116" s="281"/>
      <c r="AA116" s="281"/>
      <c r="AB116" s="281"/>
      <c r="AC116" s="281"/>
      <c r="AD116" s="281"/>
    </row>
    <row r="117">
      <c r="A117" s="408" t="s">
        <v>34</v>
      </c>
      <c r="B117" s="419" t="s">
        <v>236</v>
      </c>
      <c r="C117" s="420" t="str">
        <f>VLOOKUP($B117,'Rate card'!$A$4:$G240,2,FALSE)</f>
        <v>Carpentry</v>
      </c>
      <c r="D117" s="420" t="str">
        <f>VLOOKUP($B117,'Rate card'!$A$4:$G240,3,FALSE)</f>
        <v>Panelling with framing</v>
      </c>
      <c r="E117" s="420" t="str">
        <f>VLOOKUP($B117,'Rate card'!$A$4:$G240,4,FALSE)</f>
        <v>Mirror Finish</v>
      </c>
      <c r="F117" s="420" t="str">
        <f>VLOOKUP($B117,'Rate card'!$A$4:$G240,5,FALSE)</f>
        <v>MR ply + ply framing + 5mm clear mirror</v>
      </c>
      <c r="G117" s="420" t="str">
        <f>VLOOKUP($B117,'Rate card'!$A$4:$G240,6,FALSE)</f>
        <v>Sqft</v>
      </c>
      <c r="H117" s="420">
        <f>VLOOKUP($B117,'Rate card'!$A$4:$J240,8,FALSE)</f>
        <v>750</v>
      </c>
      <c r="I117" s="438">
        <f>2.5*10</f>
        <v>25</v>
      </c>
      <c r="J117" s="415">
        <f t="shared" si="21"/>
        <v>18750</v>
      </c>
      <c r="K117" s="411" t="s">
        <v>237</v>
      </c>
      <c r="L117" s="281"/>
      <c r="M117" s="281"/>
      <c r="N117" s="416"/>
      <c r="O117" s="281"/>
      <c r="P117" s="463"/>
      <c r="Q117" s="281"/>
      <c r="R117" s="281"/>
      <c r="S117" s="281"/>
      <c r="T117" s="281"/>
      <c r="U117" s="281"/>
      <c r="V117" s="281"/>
      <c r="W117" s="281"/>
      <c r="X117" s="281"/>
      <c r="Y117" s="281"/>
      <c r="Z117" s="281"/>
      <c r="AA117" s="281"/>
      <c r="AB117" s="281"/>
      <c r="AC117" s="281"/>
      <c r="AD117" s="281"/>
    </row>
    <row r="118">
      <c r="A118" s="408" t="s">
        <v>36</v>
      </c>
      <c r="B118" s="419" t="s">
        <v>252</v>
      </c>
      <c r="C118" s="420" t="str">
        <f>VLOOKUP($B118,'Rate card'!$A$4:$G240,2,FALSE)</f>
        <v>Carpentry</v>
      </c>
      <c r="D118" s="420" t="str">
        <f>VLOOKUP($B118,'Rate card'!$A$4:$G240,3,FALSE)</f>
        <v>Dresser</v>
      </c>
      <c r="E118" s="433" t="str">
        <f>VLOOKUP($B118,'Rate card'!$A$4:$G240,4,FALSE)</f>
        <v>Laminate Finish</v>
      </c>
      <c r="F118" s="433" t="str">
        <f>VLOOKUP($B118,'Rate card'!$A$4:$G240,5,FALSE)</f>
        <v>MRply + Inside laminate + finish laminate </v>
      </c>
      <c r="G118" s="420" t="str">
        <f>VLOOKUP($B118,'Rate card'!$A$4:$G240,6,FALSE)</f>
        <v>Sqft</v>
      </c>
      <c r="H118" s="413">
        <v>1800.0</v>
      </c>
      <c r="I118" s="414">
        <f>3*7</f>
        <v>21</v>
      </c>
      <c r="J118" s="415">
        <f t="shared" si="21"/>
        <v>37800</v>
      </c>
      <c r="K118" s="411" t="s">
        <v>234</v>
      </c>
      <c r="L118" s="281"/>
      <c r="M118" s="281"/>
      <c r="N118" s="443">
        <f>VLOOKUP($B118,'Rate card'!$A$4:$J240,7,FALSE)</f>
        <v>1400</v>
      </c>
      <c r="O118" s="444">
        <f>I118*N118</f>
        <v>29400</v>
      </c>
      <c r="P118" s="463"/>
      <c r="Q118" s="281"/>
      <c r="R118" s="281"/>
      <c r="S118" s="281"/>
      <c r="T118" s="281"/>
      <c r="U118" s="281"/>
      <c r="V118" s="281"/>
      <c r="W118" s="281"/>
      <c r="X118" s="281"/>
      <c r="Y118" s="281"/>
      <c r="Z118" s="281"/>
      <c r="AA118" s="281"/>
      <c r="AB118" s="281"/>
      <c r="AC118" s="281"/>
      <c r="AD118" s="281"/>
    </row>
    <row r="119">
      <c r="A119" s="408" t="s">
        <v>92</v>
      </c>
      <c r="B119" s="440" t="s">
        <v>238</v>
      </c>
      <c r="C119" s="395" t="s">
        <v>31</v>
      </c>
      <c r="D119" s="343" t="s">
        <v>180</v>
      </c>
      <c r="E119" s="395" t="str">
        <f>VLOOKUP($B119,'Rate card'!$A$4:$G240,4,FALSE)</f>
        <v>Laminate Finish</v>
      </c>
      <c r="F119" s="441" t="s">
        <v>239</v>
      </c>
      <c r="G119" s="420" t="str">
        <f>VLOOKUP($B119,'Rate card'!$A$4:$G240,6,FALSE)</f>
        <v>Sqft</v>
      </c>
      <c r="H119" s="420">
        <f>VLOOKUP($B119,'Rate card'!$A$4:$J240,8,FALSE)</f>
        <v>650</v>
      </c>
      <c r="I119" s="438" t="s">
        <v>262</v>
      </c>
      <c r="J119" s="415">
        <f t="shared" si="21"/>
        <v>58500</v>
      </c>
      <c r="K119" s="333" t="s">
        <v>241</v>
      </c>
      <c r="L119" s="346"/>
      <c r="M119" s="346"/>
      <c r="N119" s="371"/>
      <c r="O119" s="346"/>
      <c r="P119" s="516"/>
      <c r="Q119" s="346"/>
      <c r="R119" s="346"/>
      <c r="S119" s="346"/>
      <c r="T119" s="346"/>
      <c r="U119" s="346"/>
      <c r="V119" s="346"/>
      <c r="W119" s="346"/>
      <c r="X119" s="346"/>
      <c r="Y119" s="346"/>
      <c r="Z119" s="346"/>
      <c r="AA119" s="346"/>
      <c r="AB119" s="346"/>
      <c r="AC119" s="281"/>
      <c r="AD119" s="281"/>
    </row>
    <row r="120">
      <c r="A120" s="408" t="s">
        <v>95</v>
      </c>
      <c r="B120" s="419" t="s">
        <v>263</v>
      </c>
      <c r="C120" s="420" t="str">
        <f>VLOOKUP($B120,'Rate card'!$A$4:$G240,2,FALSE)</f>
        <v>Carpentry</v>
      </c>
      <c r="D120" s="420" t="str">
        <f>VLOOKUP($B120,'Rate card'!$A$4:$G240,3,FALSE)</f>
        <v>Wardrobe</v>
      </c>
      <c r="E120" s="420" t="str">
        <f>VLOOKUP($B120,'Rate card'!$A$4:$G240,4,FALSE)</f>
        <v>Backpainted glass</v>
      </c>
      <c r="F120" s="420" t="str">
        <f>VLOOKUP($B120,'Rate card'!$A$4:$G240,5,FALSE)</f>
        <v>MR ply + Inside laminate + Profile section for glass+ 5mm toughned backpainted extra clear glass(Includes 4 pencil drawers, Handles of base rate Rs.1000/pc)</v>
      </c>
      <c r="G120" s="420" t="str">
        <f>VLOOKUP($B120,'Rate card'!$A$4:$G240,6,FALSE)</f>
        <v>Sqft</v>
      </c>
      <c r="H120" s="413">
        <v>2800.0</v>
      </c>
      <c r="I120" s="438">
        <f>6.5*10</f>
        <v>65</v>
      </c>
      <c r="J120" s="415">
        <f t="shared" si="21"/>
        <v>182000</v>
      </c>
      <c r="K120" s="411" t="s">
        <v>244</v>
      </c>
      <c r="L120" s="281"/>
      <c r="M120" s="281"/>
      <c r="N120" s="416">
        <f>VLOOKUP($B120,'Rate card'!$A$4:$J240,7,FALSE)</f>
        <v>1800</v>
      </c>
      <c r="O120" s="281">
        <f>I120*N120</f>
        <v>117000</v>
      </c>
      <c r="P120" s="463"/>
      <c r="Q120" s="281"/>
      <c r="R120" s="281"/>
      <c r="S120" s="281"/>
      <c r="T120" s="281"/>
      <c r="U120" s="281"/>
      <c r="V120" s="281"/>
      <c r="W120" s="281"/>
      <c r="X120" s="281"/>
      <c r="Y120" s="281"/>
      <c r="Z120" s="281"/>
      <c r="AA120" s="281"/>
      <c r="AB120" s="281"/>
      <c r="AC120" s="281"/>
      <c r="AD120" s="281"/>
    </row>
    <row r="121">
      <c r="A121" s="408" t="s">
        <v>97</v>
      </c>
      <c r="B121" s="419" t="s">
        <v>179</v>
      </c>
      <c r="C121" s="420" t="str">
        <f>VLOOKUP($B121,'Rate card'!$A$4:$G240,2,FALSE)</f>
        <v>Carpentry</v>
      </c>
      <c r="D121" s="420" t="str">
        <f>VLOOKUP($B121,'Rate card'!$A$4:$G240,3,FALSE)</f>
        <v>Panelling with framing</v>
      </c>
      <c r="E121" s="420" t="str">
        <f>VLOOKUP($B121,'Rate card'!$A$4:$G240,4,FALSE)</f>
        <v>MDF</v>
      </c>
      <c r="F121" s="420" t="str">
        <f>VLOOKUP($B121,'Rate card'!$A$4:$G240,5,FALSE)</f>
        <v>MR ply + ply framing + 12mm MDF</v>
      </c>
      <c r="G121" s="420" t="str">
        <f>VLOOKUP($B121,'Rate card'!$A$4:$G240,6,FALSE)</f>
        <v>Sqft</v>
      </c>
      <c r="H121" s="413">
        <v>600.0</v>
      </c>
      <c r="I121" s="438">
        <f>11*2.5</f>
        <v>27.5</v>
      </c>
      <c r="J121" s="415">
        <f t="shared" si="21"/>
        <v>16500</v>
      </c>
      <c r="K121" s="411" t="s">
        <v>245</v>
      </c>
      <c r="L121" s="281"/>
      <c r="M121" s="281"/>
      <c r="N121" s="416"/>
      <c r="O121" s="281"/>
      <c r="P121" s="463"/>
      <c r="Q121" s="281"/>
      <c r="R121" s="281"/>
      <c r="S121" s="281"/>
      <c r="T121" s="281"/>
      <c r="U121" s="281"/>
      <c r="V121" s="281"/>
      <c r="W121" s="281"/>
      <c r="X121" s="281"/>
      <c r="Y121" s="281"/>
      <c r="Z121" s="281"/>
      <c r="AA121" s="281"/>
      <c r="AB121" s="281"/>
      <c r="AC121" s="281"/>
      <c r="AD121" s="281"/>
    </row>
    <row r="122">
      <c r="A122" s="432" t="s">
        <v>265</v>
      </c>
      <c r="B122" s="323"/>
      <c r="C122" s="323"/>
      <c r="D122" s="323"/>
      <c r="E122" s="323"/>
      <c r="F122" s="323"/>
      <c r="G122" s="323"/>
      <c r="H122" s="324"/>
      <c r="I122" s="322"/>
      <c r="J122" s="324"/>
      <c r="K122" s="294"/>
      <c r="L122" s="281"/>
      <c r="M122" s="281"/>
      <c r="N122" s="416"/>
      <c r="O122" s="281"/>
      <c r="P122" s="463"/>
      <c r="Q122" s="281"/>
      <c r="R122" s="281"/>
      <c r="S122" s="281"/>
      <c r="T122" s="281"/>
      <c r="U122" s="281"/>
      <c r="V122" s="281"/>
      <c r="W122" s="281"/>
      <c r="X122" s="281"/>
      <c r="Y122" s="281"/>
      <c r="Z122" s="281"/>
      <c r="AA122" s="281"/>
      <c r="AB122" s="281"/>
      <c r="AC122" s="281"/>
      <c r="AD122" s="281"/>
    </row>
    <row r="123">
      <c r="A123" s="408" t="s">
        <v>16</v>
      </c>
      <c r="B123" s="419" t="s">
        <v>227</v>
      </c>
      <c r="C123" s="420" t="str">
        <f>VLOOKUP($B123,'Rate card'!$A$4:$G240,2,FALSE)</f>
        <v>Carpentry</v>
      </c>
      <c r="D123" s="420" t="str">
        <f>VLOOKUP($B123,'Rate card'!$A$4:$G240,3,FALSE)</f>
        <v>Bed</v>
      </c>
      <c r="E123" s="420" t="str">
        <f>VLOOKUP($B123,'Rate card'!$A$4:$G240,4,FALSE)</f>
        <v>Laminate Finish</v>
      </c>
      <c r="F123" s="420" t="str">
        <f>VLOOKUP($B123,'Rate card'!$A$4:$G240,5,FALSE)</f>
        <v>MR ply + Inside laminate + finish laminate</v>
      </c>
      <c r="G123" s="420" t="str">
        <f>VLOOKUP($B123,'Rate card'!$A$4:$G240,6,FALSE)</f>
        <v>Sqft</v>
      </c>
      <c r="H123" s="413">
        <v>2200.0</v>
      </c>
      <c r="I123" s="414">
        <f t="shared" ref="I123:I124" si="23">I111</f>
        <v>39</v>
      </c>
      <c r="J123" s="415">
        <f t="shared" ref="J123:J132" si="24">H123*I123</f>
        <v>85800</v>
      </c>
      <c r="K123" s="72" t="s">
        <v>247</v>
      </c>
      <c r="L123" s="281"/>
      <c r="M123" s="281"/>
      <c r="N123" s="416">
        <f>VLOOKUP($B123,'Rate card'!$A$4:$J240,7,FALSE)</f>
        <v>1400</v>
      </c>
      <c r="O123" s="281">
        <f t="shared" ref="O123:O124" si="25">I123*N123</f>
        <v>54600</v>
      </c>
      <c r="P123" s="463"/>
      <c r="Q123" s="281"/>
      <c r="R123" s="281"/>
      <c r="S123" s="281"/>
      <c r="T123" s="281"/>
      <c r="U123" s="281"/>
      <c r="V123" s="281"/>
      <c r="W123" s="281"/>
      <c r="X123" s="281"/>
      <c r="Y123" s="281"/>
      <c r="Z123" s="281"/>
      <c r="AA123" s="281"/>
      <c r="AB123" s="281"/>
      <c r="AC123" s="281"/>
      <c r="AD123" s="281"/>
    </row>
    <row r="124">
      <c r="A124" s="408" t="s">
        <v>18</v>
      </c>
      <c r="B124" s="419" t="s">
        <v>230</v>
      </c>
      <c r="C124" s="420" t="str">
        <f>VLOOKUP($B124,'Rate card'!$A$4:$G240,2,FALSE)</f>
        <v>Carpentry</v>
      </c>
      <c r="D124" s="420" t="str">
        <f>VLOOKUP($B124,'Rate card'!$A$4:$G240,3,FALSE)</f>
        <v>Headboard</v>
      </c>
      <c r="E124" s="420" t="str">
        <f>VLOOKUP($B124,'Rate card'!$A$4:$G240,4,FALSE)</f>
        <v>Fabric Finish</v>
      </c>
      <c r="F124" s="420" t="str">
        <f>VLOOKUP($B124,'Rate card'!$A$4:$G240,5,FALSE)</f>
        <v>MR ply panelling + Foam material and labour. Excludes Fabric cost</v>
      </c>
      <c r="G124" s="420" t="str">
        <f>VLOOKUP($B124,'Rate card'!$A$4:$G240,6,FALSE)</f>
        <v>Sqft</v>
      </c>
      <c r="H124" s="413">
        <v>1300.0</v>
      </c>
      <c r="I124" s="414">
        <f t="shared" si="23"/>
        <v>21</v>
      </c>
      <c r="J124" s="415">
        <f t="shared" si="24"/>
        <v>27300</v>
      </c>
      <c r="K124" s="411" t="s">
        <v>231</v>
      </c>
      <c r="L124" s="281"/>
      <c r="M124" s="281"/>
      <c r="N124" s="416">
        <f>VLOOKUP($B124,'Rate card'!$A$4:$J240,7,FALSE)</f>
        <v>950</v>
      </c>
      <c r="O124" s="281">
        <f t="shared" si="25"/>
        <v>19950</v>
      </c>
      <c r="P124" s="463"/>
      <c r="Q124" s="281"/>
      <c r="R124" s="281"/>
      <c r="S124" s="281"/>
      <c r="T124" s="281"/>
      <c r="U124" s="281"/>
      <c r="V124" s="281"/>
      <c r="W124" s="281"/>
      <c r="X124" s="281"/>
      <c r="Y124" s="281"/>
      <c r="Z124" s="281"/>
      <c r="AA124" s="281"/>
      <c r="AB124" s="281"/>
      <c r="AC124" s="281"/>
      <c r="AD124" s="281"/>
    </row>
    <row r="125">
      <c r="A125" s="408" t="s">
        <v>24</v>
      </c>
      <c r="B125" s="419" t="s">
        <v>232</v>
      </c>
      <c r="C125" s="420" t="str">
        <f>VLOOKUP($B125,'Rate card'!$A$4:$G240,2,FALSE)</f>
        <v>Carpentry</v>
      </c>
      <c r="D125" s="413" t="s">
        <v>233</v>
      </c>
      <c r="E125" s="420" t="str">
        <f>VLOOKUP($B125,'Rate card'!$A$4:$G240,4,FALSE)</f>
        <v>Laminate Finish</v>
      </c>
      <c r="F125" s="420" t="str">
        <f>VLOOKUP($B125,'Rate card'!$A$4:$G240,5,FALSE)</f>
        <v>MR ply + Inside laminate + finish laminate (1 Drawer)</v>
      </c>
      <c r="G125" s="420" t="str">
        <f>VLOOKUP($B125,'Rate card'!$A$4:$G240,6,FALSE)</f>
        <v>Nos</v>
      </c>
      <c r="H125" s="413">
        <v>13000.0</v>
      </c>
      <c r="I125" s="438" t="s">
        <v>18</v>
      </c>
      <c r="J125" s="415">
        <f t="shared" si="24"/>
        <v>26000</v>
      </c>
      <c r="K125" s="411" t="s">
        <v>233</v>
      </c>
      <c r="L125" s="281"/>
      <c r="M125" s="281"/>
      <c r="N125" s="416"/>
      <c r="O125" s="281"/>
      <c r="P125" s="463"/>
      <c r="Q125" s="281"/>
      <c r="R125" s="281"/>
      <c r="S125" s="281"/>
      <c r="T125" s="281"/>
      <c r="U125" s="281"/>
      <c r="V125" s="281"/>
      <c r="W125" s="281"/>
      <c r="X125" s="281"/>
      <c r="Y125" s="281"/>
      <c r="Z125" s="281"/>
      <c r="AA125" s="281"/>
      <c r="AB125" s="281"/>
      <c r="AC125" s="281"/>
      <c r="AD125" s="281"/>
    </row>
    <row r="126">
      <c r="A126" s="408" t="s">
        <v>27</v>
      </c>
      <c r="B126" s="419" t="s">
        <v>236</v>
      </c>
      <c r="C126" s="420" t="str">
        <f>VLOOKUP($B126,'Rate card'!$A$4:$G240,2,FALSE)</f>
        <v>Carpentry</v>
      </c>
      <c r="D126" s="420" t="str">
        <f>VLOOKUP($B126,'Rate card'!$A$4:$G240,3,FALSE)</f>
        <v>Panelling with framing</v>
      </c>
      <c r="E126" s="420" t="str">
        <f>VLOOKUP($B126,'Rate card'!$A$4:$G240,4,FALSE)</f>
        <v>Mirror Finish</v>
      </c>
      <c r="F126" s="420" t="str">
        <f>VLOOKUP($B126,'Rate card'!$A$4:$G240,5,FALSE)</f>
        <v>MR ply + ply framing + 5mm clear mirror</v>
      </c>
      <c r="G126" s="420" t="str">
        <f>VLOOKUP($B126,'Rate card'!$A$4:$G240,6,FALSE)</f>
        <v>Sqft</v>
      </c>
      <c r="H126" s="420">
        <f>VLOOKUP($B126,'Rate card'!$A$4:$J240,8,FALSE)</f>
        <v>750</v>
      </c>
      <c r="I126" s="438">
        <f>3*10</f>
        <v>30</v>
      </c>
      <c r="J126" s="415">
        <f t="shared" si="24"/>
        <v>22500</v>
      </c>
      <c r="K126" s="411" t="s">
        <v>237</v>
      </c>
      <c r="L126" s="281"/>
      <c r="M126" s="281"/>
      <c r="N126" s="416"/>
      <c r="O126" s="281"/>
      <c r="P126" s="463"/>
      <c r="Q126" s="281"/>
      <c r="R126" s="281"/>
      <c r="S126" s="281"/>
      <c r="T126" s="281"/>
      <c r="U126" s="281"/>
      <c r="V126" s="281"/>
      <c r="W126" s="281"/>
      <c r="X126" s="281"/>
      <c r="Y126" s="281"/>
      <c r="Z126" s="281"/>
      <c r="AA126" s="281"/>
      <c r="AB126" s="281"/>
      <c r="AC126" s="281"/>
      <c r="AD126" s="281"/>
    </row>
    <row r="127">
      <c r="A127" s="408" t="s">
        <v>30</v>
      </c>
      <c r="B127" s="419" t="s">
        <v>252</v>
      </c>
      <c r="C127" s="420" t="str">
        <f>VLOOKUP($B127,'Rate card'!$A$4:$G240,2,FALSE)</f>
        <v>Carpentry</v>
      </c>
      <c r="D127" s="420" t="str">
        <f>VLOOKUP($B127,'Rate card'!$A$4:$G240,3,FALSE)</f>
        <v>Dresser</v>
      </c>
      <c r="E127" s="433" t="str">
        <f>VLOOKUP($B127,'Rate card'!$A$4:$G240,4,FALSE)</f>
        <v>Laminate Finish</v>
      </c>
      <c r="F127" s="433" t="str">
        <f>VLOOKUP($B127,'Rate card'!$A$4:$G240,5,FALSE)</f>
        <v>MRply + Inside laminate + finish laminate </v>
      </c>
      <c r="G127" s="420" t="str">
        <f>VLOOKUP($B127,'Rate card'!$A$4:$G240,6,FALSE)</f>
        <v>Sqft</v>
      </c>
      <c r="H127" s="413">
        <v>1800.0</v>
      </c>
      <c r="I127" s="414">
        <f>2.5*7</f>
        <v>17.5</v>
      </c>
      <c r="J127" s="415">
        <f t="shared" si="24"/>
        <v>31500</v>
      </c>
      <c r="K127" s="411" t="s">
        <v>234</v>
      </c>
      <c r="L127" s="281"/>
      <c r="M127" s="281"/>
      <c r="N127" s="443">
        <f>VLOOKUP($B127,'Rate card'!$A$4:$J240,7,FALSE)</f>
        <v>1400</v>
      </c>
      <c r="O127" s="444">
        <f>I127*N127</f>
        <v>24500</v>
      </c>
      <c r="P127" s="463"/>
      <c r="Q127" s="281"/>
      <c r="R127" s="281"/>
      <c r="S127" s="281"/>
      <c r="T127" s="281"/>
      <c r="U127" s="281"/>
      <c r="V127" s="281"/>
      <c r="W127" s="281"/>
      <c r="X127" s="281"/>
      <c r="Y127" s="281"/>
      <c r="Z127" s="281"/>
      <c r="AA127" s="281"/>
      <c r="AB127" s="281"/>
      <c r="AC127" s="281"/>
      <c r="AD127" s="281"/>
    </row>
    <row r="128">
      <c r="A128" s="408" t="s">
        <v>32</v>
      </c>
      <c r="B128" s="440" t="s">
        <v>238</v>
      </c>
      <c r="C128" s="395" t="s">
        <v>31</v>
      </c>
      <c r="D128" s="343" t="s">
        <v>180</v>
      </c>
      <c r="E128" s="395" t="str">
        <f>VLOOKUP($B128,'Rate card'!$A$4:$G240,4,FALSE)</f>
        <v>Laminate Finish</v>
      </c>
      <c r="F128" s="441" t="s">
        <v>239</v>
      </c>
      <c r="G128" s="420" t="str">
        <f>VLOOKUP($B128,'Rate card'!$A$4:$G240,6,FALSE)</f>
        <v>Sqft</v>
      </c>
      <c r="H128" s="420">
        <f>VLOOKUP($B128,'Rate card'!$A$4:$J240,8,FALSE)</f>
        <v>650</v>
      </c>
      <c r="I128" s="438" t="s">
        <v>270</v>
      </c>
      <c r="J128" s="415">
        <f t="shared" si="24"/>
        <v>32500</v>
      </c>
      <c r="K128" s="333" t="s">
        <v>241</v>
      </c>
      <c r="L128" s="346"/>
      <c r="M128" s="346"/>
      <c r="N128" s="371"/>
      <c r="O128" s="346"/>
      <c r="P128" s="516"/>
      <c r="Q128" s="346"/>
      <c r="R128" s="346"/>
      <c r="S128" s="346"/>
      <c r="T128" s="346"/>
      <c r="U128" s="346"/>
      <c r="V128" s="346"/>
      <c r="W128" s="346"/>
      <c r="X128" s="346"/>
      <c r="Y128" s="346"/>
      <c r="Z128" s="346"/>
      <c r="AA128" s="346"/>
      <c r="AB128" s="346"/>
      <c r="AC128" s="281"/>
      <c r="AD128" s="281"/>
    </row>
    <row r="129">
      <c r="A129" s="408" t="s">
        <v>30</v>
      </c>
      <c r="B129" s="419" t="s">
        <v>170</v>
      </c>
      <c r="C129" s="420" t="str">
        <f>VLOOKUP($B129,'Rate card'!$A$4:$G240,2,FALSE)</f>
        <v>Carpentry</v>
      </c>
      <c r="D129" s="420" t="str">
        <f>VLOOKUP($B129,'Rate card'!$A$4:$G240,3,FALSE)</f>
        <v>Carcass Storage</v>
      </c>
      <c r="E129" s="420" t="str">
        <f>VLOOKUP($B129,'Rate card'!$A$4:$G240,4,FALSE)</f>
        <v>Laminate Finish</v>
      </c>
      <c r="F129" s="420" t="str">
        <f>VLOOKUP($B129,'Rate card'!$A$4:$G240,5,FALSE)</f>
        <v>MR ply + Inside laminate + finish laminate</v>
      </c>
      <c r="G129" s="420" t="str">
        <f>VLOOKUP($B129,'Rate card'!$A$4:$G240,6,FALSE)</f>
        <v>Sqft</v>
      </c>
      <c r="H129" s="420">
        <f>VLOOKUP($B129,'Rate card'!$A$4:$J240,8,FALSE)</f>
        <v>1800</v>
      </c>
      <c r="I129" s="421">
        <f>4*3.5</f>
        <v>14</v>
      </c>
      <c r="J129" s="415">
        <f t="shared" si="24"/>
        <v>25200</v>
      </c>
      <c r="K129" s="422" t="s">
        <v>183</v>
      </c>
      <c r="L129" s="281"/>
      <c r="M129" s="281"/>
      <c r="N129" s="416">
        <f>VLOOKUP($B129,'Rate card'!$A$4:$J240,7,FALSE)</f>
        <v>1350</v>
      </c>
      <c r="O129" s="281">
        <f t="shared" ref="O129:O151" si="26">I129*N129</f>
        <v>18900</v>
      </c>
      <c r="P129" s="463"/>
      <c r="Q129" s="281"/>
      <c r="R129" s="281"/>
      <c r="S129" s="281"/>
      <c r="T129" s="281"/>
      <c r="U129" s="281"/>
      <c r="V129" s="281"/>
      <c r="W129" s="281"/>
      <c r="X129" s="281"/>
      <c r="Y129" s="281"/>
      <c r="Z129" s="281"/>
      <c r="AA129" s="281"/>
      <c r="AB129" s="281"/>
      <c r="AC129" s="281"/>
      <c r="AD129" s="281"/>
    </row>
    <row r="130">
      <c r="A130" s="445" t="s">
        <v>27</v>
      </c>
      <c r="B130" s="419" t="s">
        <v>170</v>
      </c>
      <c r="C130" s="420" t="str">
        <f>VLOOKUP($B130,'Rate card'!$A$4:$G240,2,FALSE)</f>
        <v>Carpentry</v>
      </c>
      <c r="D130" s="420" t="str">
        <f>VLOOKUP($B130,'Rate card'!$A$4:$G240,3,FALSE)</f>
        <v>Carcass Storage</v>
      </c>
      <c r="E130" s="420" t="str">
        <f>VLOOKUP($B130,'Rate card'!$A$4:$G240,4,FALSE)</f>
        <v>Laminate Finish</v>
      </c>
      <c r="F130" s="420" t="str">
        <f>VLOOKUP($B130,'Rate card'!$A$4:$G240,5,FALSE)</f>
        <v>MR ply + Inside laminate + finish laminate</v>
      </c>
      <c r="G130" s="413" t="s">
        <v>188</v>
      </c>
      <c r="H130" s="413">
        <v>4500.0</v>
      </c>
      <c r="I130" s="421" t="s">
        <v>274</v>
      </c>
      <c r="J130" s="415">
        <f t="shared" si="24"/>
        <v>32625</v>
      </c>
      <c r="K130" s="422" t="s">
        <v>190</v>
      </c>
      <c r="L130" s="281"/>
      <c r="M130" s="281"/>
      <c r="N130" s="416">
        <f>VLOOKUP($B130,'Rate card'!$A$4:$J240,7,FALSE)</f>
        <v>1350</v>
      </c>
      <c r="O130" s="281">
        <f t="shared" si="26"/>
        <v>9787.5</v>
      </c>
      <c r="P130" s="463"/>
      <c r="Q130" s="281"/>
      <c r="R130" s="281"/>
      <c r="S130" s="281"/>
      <c r="T130" s="281"/>
      <c r="U130" s="281"/>
      <c r="V130" s="281"/>
      <c r="W130" s="281"/>
      <c r="X130" s="281"/>
      <c r="Y130" s="281"/>
      <c r="Z130" s="281"/>
      <c r="AA130" s="281"/>
      <c r="AB130" s="281"/>
      <c r="AC130" s="281"/>
      <c r="AD130" s="281"/>
    </row>
    <row r="131">
      <c r="A131" s="408" t="s">
        <v>92</v>
      </c>
      <c r="B131" s="419" t="s">
        <v>263</v>
      </c>
      <c r="C131" s="420" t="str">
        <f>VLOOKUP($B131,'Rate card'!$A$4:$G240,2,FALSE)</f>
        <v>Carpentry</v>
      </c>
      <c r="D131" s="420" t="str">
        <f>VLOOKUP($B131,'Rate card'!$A$4:$G240,3,FALSE)</f>
        <v>Wardrobe</v>
      </c>
      <c r="E131" s="420" t="str">
        <f>VLOOKUP($B131,'Rate card'!$A$4:$G240,4,FALSE)</f>
        <v>Backpainted glass</v>
      </c>
      <c r="F131" s="420" t="str">
        <f>VLOOKUP($B131,'Rate card'!$A$4:$G240,5,FALSE)</f>
        <v>MR ply + Inside laminate + Profile section for glass+ 5mm toughned backpainted extra clear glass(Includes 4 pencil drawers, Handles of base rate Rs.1000/pc)</v>
      </c>
      <c r="G131" s="420" t="str">
        <f>VLOOKUP($B131,'Rate card'!$A$4:$G240,6,FALSE)</f>
        <v>Sqft</v>
      </c>
      <c r="H131" s="413">
        <v>2800.0</v>
      </c>
      <c r="I131" s="438">
        <f>8.75*10</f>
        <v>87.5</v>
      </c>
      <c r="J131" s="415">
        <f t="shared" si="24"/>
        <v>245000</v>
      </c>
      <c r="K131" s="411" t="s">
        <v>244</v>
      </c>
      <c r="L131" s="281"/>
      <c r="M131" s="281"/>
      <c r="N131" s="416">
        <f>VLOOKUP($B131,'Rate card'!$A$4:$J240,7,FALSE)</f>
        <v>1800</v>
      </c>
      <c r="O131" s="281">
        <f t="shared" si="26"/>
        <v>157500</v>
      </c>
      <c r="P131" s="463"/>
      <c r="Q131" s="281"/>
      <c r="R131" s="281"/>
      <c r="S131" s="281"/>
      <c r="T131" s="281"/>
      <c r="U131" s="281"/>
      <c r="V131" s="281"/>
      <c r="W131" s="281"/>
      <c r="X131" s="281"/>
      <c r="Y131" s="281"/>
      <c r="Z131" s="281"/>
      <c r="AA131" s="281"/>
      <c r="AB131" s="281"/>
      <c r="AC131" s="281"/>
      <c r="AD131" s="281"/>
    </row>
    <row r="132">
      <c r="A132" s="408" t="s">
        <v>95</v>
      </c>
      <c r="B132" s="419" t="s">
        <v>179</v>
      </c>
      <c r="C132" s="420" t="str">
        <f>VLOOKUP($B132,'Rate card'!$A$4:$G240,2,FALSE)</f>
        <v>Carpentry</v>
      </c>
      <c r="D132" s="420" t="str">
        <f>VLOOKUP($B132,'Rate card'!$A$4:$G240,3,FALSE)</f>
        <v>Panelling with framing</v>
      </c>
      <c r="E132" s="420" t="str">
        <f>VLOOKUP($B132,'Rate card'!$A$4:$G240,4,FALSE)</f>
        <v>MDF</v>
      </c>
      <c r="F132" s="420" t="str">
        <f>VLOOKUP($B132,'Rate card'!$A$4:$G240,5,FALSE)</f>
        <v>MR ply + ply framing + 12mm MDF</v>
      </c>
      <c r="G132" s="420" t="str">
        <f>VLOOKUP($B132,'Rate card'!$A$4:$G240,6,FALSE)</f>
        <v>Sqft</v>
      </c>
      <c r="H132" s="413">
        <v>600.0</v>
      </c>
      <c r="I132" s="438">
        <f>14.25*2.5</f>
        <v>35.625</v>
      </c>
      <c r="J132" s="415">
        <f t="shared" si="24"/>
        <v>21375</v>
      </c>
      <c r="K132" s="411" t="s">
        <v>245</v>
      </c>
      <c r="L132" s="281"/>
      <c r="M132" s="281"/>
      <c r="N132" s="416">
        <f>VLOOKUP($B132,'Rate card'!$A$4:$J240,7,FALSE)</f>
        <v>450</v>
      </c>
      <c r="O132" s="281">
        <f t="shared" si="26"/>
        <v>16031.25</v>
      </c>
      <c r="P132" s="463"/>
      <c r="Q132" s="281"/>
      <c r="R132" s="281"/>
      <c r="S132" s="281"/>
      <c r="T132" s="281"/>
      <c r="U132" s="281"/>
      <c r="V132" s="281"/>
      <c r="W132" s="281"/>
      <c r="X132" s="281"/>
      <c r="Y132" s="281"/>
      <c r="Z132" s="281"/>
      <c r="AA132" s="281"/>
      <c r="AB132" s="281"/>
      <c r="AC132" s="281"/>
      <c r="AD132" s="281"/>
    </row>
    <row r="133">
      <c r="A133" s="432" t="s">
        <v>278</v>
      </c>
      <c r="B133" s="323"/>
      <c r="C133" s="323"/>
      <c r="D133" s="323"/>
      <c r="E133" s="323"/>
      <c r="F133" s="323"/>
      <c r="G133" s="323"/>
      <c r="H133" s="324"/>
      <c r="I133" s="322"/>
      <c r="J133" s="324"/>
      <c r="K133" s="294"/>
      <c r="L133" s="281"/>
      <c r="M133" s="281"/>
      <c r="N133" s="416">
        <f>VLOOKUP($B133,'Rate card'!$A$4:$J240,7,FALSE)</f>
        <v>0</v>
      </c>
      <c r="O133" s="281">
        <f t="shared" si="26"/>
        <v>0</v>
      </c>
      <c r="P133" s="463"/>
      <c r="Q133" s="281"/>
      <c r="R133" s="281"/>
      <c r="S133" s="281"/>
      <c r="T133" s="281"/>
      <c r="U133" s="281"/>
      <c r="V133" s="281"/>
      <c r="W133" s="281"/>
      <c r="X133" s="281"/>
      <c r="Y133" s="281"/>
      <c r="Z133" s="281"/>
      <c r="AA133" s="281"/>
      <c r="AB133" s="281"/>
      <c r="AC133" s="281"/>
      <c r="AD133" s="281"/>
    </row>
    <row r="134">
      <c r="A134" s="408" t="s">
        <v>16</v>
      </c>
      <c r="B134" s="419" t="s">
        <v>170</v>
      </c>
      <c r="C134" s="420" t="str">
        <f>VLOOKUP($B134,'Rate card'!$A$4:$G240,2,FALSE)</f>
        <v>Carpentry</v>
      </c>
      <c r="D134" s="420" t="str">
        <f>VLOOKUP($B134,'Rate card'!$A$4:$G240,3,FALSE)</f>
        <v>Carcass Storage</v>
      </c>
      <c r="E134" s="420" t="str">
        <f>VLOOKUP($B134,'Rate card'!$A$4:$G240,4,FALSE)</f>
        <v>Laminate Finish</v>
      </c>
      <c r="F134" s="420" t="str">
        <f>VLOOKUP($B134,'Rate card'!$A$4:$G240,5,FALSE)</f>
        <v>MR ply + Inside laminate + finish laminate</v>
      </c>
      <c r="G134" s="420" t="str">
        <f>VLOOKUP($B134,'Rate card'!$A$4:$G240,6,FALSE)</f>
        <v>Sqft</v>
      </c>
      <c r="H134" s="420">
        <f>VLOOKUP($B134,'Rate card'!$A$4:$J240,8,FALSE)</f>
        <v>1800</v>
      </c>
      <c r="I134" s="446" t="s">
        <v>95</v>
      </c>
      <c r="J134" s="415">
        <f t="shared" ref="J134:J137" si="27">H134*I134</f>
        <v>18000</v>
      </c>
      <c r="K134" s="62" t="s">
        <v>279</v>
      </c>
      <c r="L134" s="281"/>
      <c r="M134" s="281"/>
      <c r="N134" s="416">
        <f>VLOOKUP($B134,'Rate card'!$A$4:$J240,7,FALSE)</f>
        <v>1350</v>
      </c>
      <c r="O134" s="281">
        <f t="shared" si="26"/>
        <v>13500</v>
      </c>
      <c r="P134" s="463"/>
      <c r="Q134" s="281"/>
      <c r="R134" s="281"/>
      <c r="S134" s="281"/>
      <c r="T134" s="281"/>
      <c r="U134" s="281"/>
      <c r="V134" s="281"/>
      <c r="W134" s="281"/>
      <c r="X134" s="281"/>
      <c r="Y134" s="281"/>
      <c r="Z134" s="281"/>
      <c r="AA134" s="281"/>
      <c r="AB134" s="281"/>
      <c r="AC134" s="281"/>
      <c r="AD134" s="281"/>
    </row>
    <row r="135">
      <c r="A135" s="408">
        <f t="shared" ref="A135:A137" si="28">A134+1</f>
        <v>2</v>
      </c>
      <c r="B135" s="419" t="s">
        <v>280</v>
      </c>
      <c r="C135" s="410" t="str">
        <f>VLOOKUP($B135,'Rate card'!$A$4:$G240,2,FALSE)</f>
        <v>Carpentry</v>
      </c>
      <c r="D135" s="412" t="str">
        <f>VLOOKUP($B135,'Rate card'!$A$4:$G240,3,FALSE)</f>
        <v>Mirror panelling</v>
      </c>
      <c r="E135" s="412" t="str">
        <f>VLOOKUP($B135,'Rate card'!$A$4:$G240,4,FALSE)</f>
        <v>Mirror finish</v>
      </c>
      <c r="F135" s="412" t="str">
        <f>VLOOKUP($B135,'Rate card'!$A$4:$G240,5,FALSE)</f>
        <v>MRply + ply framing + finish mirror</v>
      </c>
      <c r="G135" s="410" t="str">
        <f>VLOOKUP($B135,'Rate card'!$A$4:$G240,6,FALSE)</f>
        <v>Ls</v>
      </c>
      <c r="H135" s="420">
        <f>VLOOKUP($B135,'Rate card'!$A$4:$J240,8,FALSE)</f>
        <v>7000</v>
      </c>
      <c r="I135" s="438" t="s">
        <v>16</v>
      </c>
      <c r="J135" s="447">
        <f t="shared" si="27"/>
        <v>7000</v>
      </c>
      <c r="K135" s="62" t="s">
        <v>281</v>
      </c>
      <c r="L135" s="281"/>
      <c r="M135" s="281"/>
      <c r="N135" s="443">
        <f>VLOOKUP($B135,'Rate card'!$A$4:$J240,7,FALSE)</f>
        <v>5500</v>
      </c>
      <c r="O135" s="444">
        <f t="shared" si="26"/>
        <v>5500</v>
      </c>
      <c r="P135" s="463"/>
      <c r="Q135" s="281"/>
      <c r="R135" s="281"/>
      <c r="S135" s="281"/>
      <c r="T135" s="281"/>
      <c r="U135" s="281"/>
      <c r="V135" s="281"/>
      <c r="W135" s="281"/>
      <c r="X135" s="281"/>
      <c r="Y135" s="281"/>
      <c r="Z135" s="281"/>
      <c r="AA135" s="281"/>
      <c r="AB135" s="281"/>
      <c r="AC135" s="281"/>
      <c r="AD135" s="281"/>
    </row>
    <row r="136">
      <c r="A136" s="408">
        <f t="shared" si="28"/>
        <v>3</v>
      </c>
      <c r="B136" s="419" t="s">
        <v>282</v>
      </c>
      <c r="C136" s="410" t="str">
        <f>VLOOKUP($B136,'Rate card'!$A$4:$G240,2,FALSE)</f>
        <v>Carpentry</v>
      </c>
      <c r="D136" s="410" t="str">
        <f>VLOOKUP($B136,'Rate card'!$A$4:$G240,3,FALSE)</f>
        <v>Glass Partiton</v>
      </c>
      <c r="E136" s="410" t="str">
        <f>VLOOKUP($B136,'Rate card'!$A$4:$G240,4,FALSE)</f>
        <v>12mm toughned glass</v>
      </c>
      <c r="F136" s="410" t="str">
        <f>VLOOKUP($B136,'Rate card'!$A$4:$G240,5,FALSE)</f>
        <v>12mm toughned glass + Fitting labour + loading, unloading + All fitting hardware + Silicon etc</v>
      </c>
      <c r="G136" s="410" t="str">
        <f>VLOOKUP($B136,'Rate card'!$A$4:$G240,6,FALSE)</f>
        <v>Sqft</v>
      </c>
      <c r="H136" s="420">
        <f>VLOOKUP($B136,'Rate card'!$A$4:$J240,8,FALSE)</f>
        <v>750</v>
      </c>
      <c r="I136" s="438">
        <f>5*9</f>
        <v>45</v>
      </c>
      <c r="J136" s="447">
        <f t="shared" si="27"/>
        <v>33750</v>
      </c>
      <c r="K136" s="62" t="s">
        <v>283</v>
      </c>
      <c r="L136" s="281"/>
      <c r="M136" s="281"/>
      <c r="N136" s="416">
        <f>VLOOKUP($B136,'Rate card'!$A$4:$J240,7,FALSE)</f>
        <v>450</v>
      </c>
      <c r="O136" s="281">
        <f t="shared" si="26"/>
        <v>20250</v>
      </c>
      <c r="P136" s="463"/>
      <c r="Q136" s="281"/>
      <c r="R136" s="281"/>
      <c r="S136" s="281"/>
      <c r="T136" s="281"/>
      <c r="U136" s="281"/>
      <c r="V136" s="281"/>
      <c r="W136" s="281"/>
      <c r="X136" s="281"/>
      <c r="Y136" s="281"/>
      <c r="Z136" s="281"/>
      <c r="AA136" s="281"/>
      <c r="AB136" s="281"/>
      <c r="AC136" s="281"/>
      <c r="AD136" s="281"/>
    </row>
    <row r="137">
      <c r="A137" s="408">
        <f t="shared" si="28"/>
        <v>4</v>
      </c>
      <c r="B137" s="419" t="s">
        <v>282</v>
      </c>
      <c r="C137" s="410" t="str">
        <f>VLOOKUP($B137,'Rate card'!$A$4:$G240,2,FALSE)</f>
        <v>Carpentry</v>
      </c>
      <c r="D137" s="410" t="str">
        <f>VLOOKUP($B137,'Rate card'!$A$4:$G240,3,FALSE)</f>
        <v>Glass Partiton</v>
      </c>
      <c r="E137" s="410" t="str">
        <f>VLOOKUP($B137,'Rate card'!$A$4:$G240,4,FALSE)</f>
        <v>12mm toughned glass</v>
      </c>
      <c r="F137" s="410" t="str">
        <f>VLOOKUP($B137,'Rate card'!$A$4:$G240,5,FALSE)</f>
        <v>12mm toughned glass + Fitting labour + loading, unloading + All fitting hardware + Silicon etc</v>
      </c>
      <c r="G137" s="410" t="str">
        <f>VLOOKUP($B137,'Rate card'!$A$4:$G240,6,FALSE)</f>
        <v>Sqft</v>
      </c>
      <c r="H137" s="420">
        <f>VLOOKUP($B137,'Rate card'!$A$4:$J240,8,FALSE)</f>
        <v>750</v>
      </c>
      <c r="I137" s="438">
        <f>3*8</f>
        <v>24</v>
      </c>
      <c r="J137" s="447">
        <f t="shared" si="27"/>
        <v>18000</v>
      </c>
      <c r="K137" s="62" t="s">
        <v>676</v>
      </c>
      <c r="L137" s="281"/>
      <c r="M137" s="281"/>
      <c r="N137" s="416">
        <f>VLOOKUP($B137,'Rate card'!$A$4:$J240,7,FALSE)</f>
        <v>450</v>
      </c>
      <c r="O137" s="281">
        <f t="shared" si="26"/>
        <v>10800</v>
      </c>
      <c r="P137" s="463"/>
      <c r="Q137" s="281"/>
      <c r="R137" s="281"/>
      <c r="S137" s="281"/>
      <c r="T137" s="281"/>
      <c r="U137" s="281"/>
      <c r="V137" s="281"/>
      <c r="W137" s="281"/>
      <c r="X137" s="281"/>
      <c r="Y137" s="281"/>
      <c r="Z137" s="281"/>
      <c r="AA137" s="281"/>
      <c r="AB137" s="281"/>
      <c r="AC137" s="281"/>
      <c r="AD137" s="281"/>
    </row>
    <row r="138">
      <c r="A138" s="432" t="s">
        <v>284</v>
      </c>
      <c r="B138" s="323"/>
      <c r="C138" s="323"/>
      <c r="D138" s="323"/>
      <c r="E138" s="323"/>
      <c r="F138" s="323"/>
      <c r="G138" s="323"/>
      <c r="H138" s="324"/>
      <c r="I138" s="322"/>
      <c r="J138" s="324"/>
      <c r="K138" s="294"/>
      <c r="L138" s="281"/>
      <c r="M138" s="281"/>
      <c r="N138" s="416">
        <f>VLOOKUP($B138,'Rate card'!$A$4:$J240,7,FALSE)</f>
        <v>0</v>
      </c>
      <c r="O138" s="281">
        <f t="shared" si="26"/>
        <v>0</v>
      </c>
      <c r="P138" s="463"/>
      <c r="Q138" s="281"/>
      <c r="R138" s="281"/>
      <c r="S138" s="281"/>
      <c r="T138" s="281"/>
      <c r="U138" s="281"/>
      <c r="V138" s="281"/>
      <c r="W138" s="281"/>
      <c r="X138" s="281"/>
      <c r="Y138" s="281"/>
      <c r="Z138" s="281"/>
      <c r="AA138" s="281"/>
      <c r="AB138" s="281"/>
      <c r="AC138" s="281"/>
      <c r="AD138" s="281"/>
    </row>
    <row r="139">
      <c r="A139" s="408" t="s">
        <v>16</v>
      </c>
      <c r="B139" s="419" t="s">
        <v>170</v>
      </c>
      <c r="C139" s="420" t="str">
        <f>VLOOKUP($B139,'Rate card'!$A$4:$G240,2,FALSE)</f>
        <v>Carpentry</v>
      </c>
      <c r="D139" s="420" t="str">
        <f>VLOOKUP($B139,'Rate card'!$A$4:$G240,3,FALSE)</f>
        <v>Carcass Storage</v>
      </c>
      <c r="E139" s="420" t="str">
        <f>VLOOKUP($B139,'Rate card'!$A$4:$G240,4,FALSE)</f>
        <v>Laminate Finish</v>
      </c>
      <c r="F139" s="420" t="str">
        <f>VLOOKUP($B139,'Rate card'!$A$4:$G240,5,FALSE)</f>
        <v>MR ply + Inside laminate + finish laminate</v>
      </c>
      <c r="G139" s="420" t="str">
        <f>VLOOKUP($B139,'Rate card'!$A$4:$G240,6,FALSE)</f>
        <v>Sqft</v>
      </c>
      <c r="H139" s="420">
        <f>VLOOKUP($B139,'Rate card'!$A$4:$J240,8,FALSE)</f>
        <v>1800</v>
      </c>
      <c r="I139" s="446" t="s">
        <v>32</v>
      </c>
      <c r="J139" s="415">
        <f t="shared" ref="J139:J141" si="29">H139*I139</f>
        <v>10800</v>
      </c>
      <c r="K139" s="62" t="s">
        <v>279</v>
      </c>
      <c r="L139" s="281"/>
      <c r="M139" s="281"/>
      <c r="N139" s="416">
        <f>VLOOKUP($B139,'Rate card'!$A$4:$J240,7,FALSE)</f>
        <v>1350</v>
      </c>
      <c r="O139" s="281">
        <f t="shared" si="26"/>
        <v>8100</v>
      </c>
      <c r="P139" s="463"/>
      <c r="Q139" s="281"/>
      <c r="R139" s="281"/>
      <c r="S139" s="281"/>
      <c r="T139" s="281"/>
      <c r="U139" s="281"/>
      <c r="V139" s="281"/>
      <c r="W139" s="281"/>
      <c r="X139" s="281"/>
      <c r="Y139" s="281"/>
      <c r="Z139" s="281"/>
      <c r="AA139" s="281"/>
      <c r="AB139" s="281"/>
      <c r="AC139" s="281"/>
      <c r="AD139" s="281"/>
    </row>
    <row r="140">
      <c r="A140" s="408">
        <f t="shared" ref="A140:A141" si="30">A139+1</f>
        <v>2</v>
      </c>
      <c r="B140" s="419" t="s">
        <v>280</v>
      </c>
      <c r="C140" s="410" t="str">
        <f>VLOOKUP($B140,'Rate card'!$A$4:$G240,2,FALSE)</f>
        <v>Carpentry</v>
      </c>
      <c r="D140" s="412" t="str">
        <f>VLOOKUP($B140,'Rate card'!$A$4:$G240,3,FALSE)</f>
        <v>Mirror panelling</v>
      </c>
      <c r="E140" s="412" t="str">
        <f>VLOOKUP($B140,'Rate card'!$A$4:$G240,4,FALSE)</f>
        <v>Mirror finish</v>
      </c>
      <c r="F140" s="412" t="str">
        <f>VLOOKUP($B140,'Rate card'!$A$4:$G240,5,FALSE)</f>
        <v>MRply + ply framing + finish mirror</v>
      </c>
      <c r="G140" s="410" t="str">
        <f>VLOOKUP($B140,'Rate card'!$A$4:$G240,6,FALSE)</f>
        <v>Ls</v>
      </c>
      <c r="H140" s="420">
        <f>VLOOKUP($B140,'Rate card'!$A$4:$J240,8,FALSE)</f>
        <v>7000</v>
      </c>
      <c r="I140" s="438" t="s">
        <v>16</v>
      </c>
      <c r="J140" s="447">
        <f t="shared" si="29"/>
        <v>7000</v>
      </c>
      <c r="K140" s="62" t="s">
        <v>281</v>
      </c>
      <c r="L140" s="281"/>
      <c r="M140" s="281"/>
      <c r="N140" s="443">
        <f>VLOOKUP($B140,'Rate card'!$A$4:$J240,7,FALSE)</f>
        <v>5500</v>
      </c>
      <c r="O140" s="444">
        <f t="shared" si="26"/>
        <v>5500</v>
      </c>
      <c r="P140" s="463"/>
      <c r="Q140" s="281"/>
      <c r="R140" s="281"/>
      <c r="S140" s="281"/>
      <c r="T140" s="281"/>
      <c r="U140" s="281"/>
      <c r="V140" s="281"/>
      <c r="W140" s="281"/>
      <c r="X140" s="281"/>
      <c r="Y140" s="281"/>
      <c r="Z140" s="281"/>
      <c r="AA140" s="281"/>
      <c r="AB140" s="281"/>
      <c r="AC140" s="281"/>
      <c r="AD140" s="281"/>
    </row>
    <row r="141">
      <c r="A141" s="408">
        <f t="shared" si="30"/>
        <v>3</v>
      </c>
      <c r="B141" s="419" t="s">
        <v>282</v>
      </c>
      <c r="C141" s="410" t="str">
        <f>VLOOKUP($B141,'Rate card'!$A$4:$G240,2,FALSE)</f>
        <v>Carpentry</v>
      </c>
      <c r="D141" s="410" t="str">
        <f>VLOOKUP($B141,'Rate card'!$A$4:$G240,3,FALSE)</f>
        <v>Glass Partiton</v>
      </c>
      <c r="E141" s="410" t="str">
        <f>VLOOKUP($B141,'Rate card'!$A$4:$G240,4,FALSE)</f>
        <v>12mm toughned glass</v>
      </c>
      <c r="F141" s="410" t="str">
        <f>VLOOKUP($B141,'Rate card'!$A$4:$G240,5,FALSE)</f>
        <v>12mm toughned glass + Fitting labour + loading, unloading + All fitting hardware + Silicon etc</v>
      </c>
      <c r="G141" s="410" t="str">
        <f>VLOOKUP($B141,'Rate card'!$A$4:$G240,6,FALSE)</f>
        <v>Sqft</v>
      </c>
      <c r="H141" s="420">
        <f>VLOOKUP($B141,'Rate card'!$A$4:$J240,8,FALSE)</f>
        <v>750</v>
      </c>
      <c r="I141" s="438">
        <f>5*9</f>
        <v>45</v>
      </c>
      <c r="J141" s="447">
        <f t="shared" si="29"/>
        <v>33750</v>
      </c>
      <c r="K141" s="62" t="s">
        <v>283</v>
      </c>
      <c r="L141" s="281"/>
      <c r="M141" s="281"/>
      <c r="N141" s="416">
        <f>VLOOKUP($B141,'Rate card'!$A$4:$J240,7,FALSE)</f>
        <v>450</v>
      </c>
      <c r="O141" s="281">
        <f t="shared" si="26"/>
        <v>20250</v>
      </c>
      <c r="P141" s="463"/>
      <c r="Q141" s="281"/>
      <c r="R141" s="281"/>
      <c r="S141" s="281"/>
      <c r="T141" s="281"/>
      <c r="U141" s="281"/>
      <c r="V141" s="281"/>
      <c r="W141" s="281"/>
      <c r="X141" s="281"/>
      <c r="Y141" s="281"/>
      <c r="Z141" s="281"/>
      <c r="AA141" s="281"/>
      <c r="AB141" s="281"/>
      <c r="AC141" s="281"/>
      <c r="AD141" s="281"/>
    </row>
    <row r="142">
      <c r="A142" s="432" t="s">
        <v>285</v>
      </c>
      <c r="B142" s="323"/>
      <c r="C142" s="323"/>
      <c r="D142" s="323"/>
      <c r="E142" s="323"/>
      <c r="F142" s="323"/>
      <c r="G142" s="323"/>
      <c r="H142" s="324"/>
      <c r="I142" s="322"/>
      <c r="J142" s="324"/>
      <c r="K142" s="294"/>
      <c r="L142" s="281"/>
      <c r="M142" s="281"/>
      <c r="N142" s="416">
        <f>VLOOKUP($B142,'Rate card'!$A$4:$J240,7,FALSE)</f>
        <v>0</v>
      </c>
      <c r="O142" s="281">
        <f t="shared" si="26"/>
        <v>0</v>
      </c>
      <c r="P142" s="463"/>
      <c r="Q142" s="281"/>
      <c r="R142" s="281"/>
      <c r="S142" s="281"/>
      <c r="T142" s="281"/>
      <c r="U142" s="281"/>
      <c r="V142" s="281"/>
      <c r="W142" s="281"/>
      <c r="X142" s="281"/>
      <c r="Y142" s="281"/>
      <c r="Z142" s="281"/>
      <c r="AA142" s="281"/>
      <c r="AB142" s="281"/>
      <c r="AC142" s="281"/>
      <c r="AD142" s="281"/>
    </row>
    <row r="143">
      <c r="A143" s="408" t="s">
        <v>16</v>
      </c>
      <c r="B143" s="419" t="s">
        <v>170</v>
      </c>
      <c r="C143" s="420" t="str">
        <f>VLOOKUP($B143,'Rate card'!$A$4:$G240,2,FALSE)</f>
        <v>Carpentry</v>
      </c>
      <c r="D143" s="420" t="str">
        <f>VLOOKUP($B143,'Rate card'!$A$4:$G240,3,FALSE)</f>
        <v>Carcass Storage</v>
      </c>
      <c r="E143" s="420" t="str">
        <f>VLOOKUP($B143,'Rate card'!$A$4:$G240,4,FALSE)</f>
        <v>Laminate Finish</v>
      </c>
      <c r="F143" s="420" t="str">
        <f>VLOOKUP($B143,'Rate card'!$A$4:$G240,5,FALSE)</f>
        <v>MR ply + Inside laminate + finish laminate</v>
      </c>
      <c r="G143" s="420" t="str">
        <f>VLOOKUP($B143,'Rate card'!$A$4:$G240,6,FALSE)</f>
        <v>Sqft</v>
      </c>
      <c r="H143" s="420">
        <f>VLOOKUP($B143,'Rate card'!$A$4:$J240,8,FALSE)</f>
        <v>1800</v>
      </c>
      <c r="I143" s="446" t="s">
        <v>32</v>
      </c>
      <c r="J143" s="415">
        <f t="shared" ref="J143:J145" si="31">H143*I143</f>
        <v>10800</v>
      </c>
      <c r="K143" s="62" t="s">
        <v>279</v>
      </c>
      <c r="L143" s="281"/>
      <c r="M143" s="281"/>
      <c r="N143" s="416">
        <f>VLOOKUP($B143,'Rate card'!$A$4:$J240,7,FALSE)</f>
        <v>1350</v>
      </c>
      <c r="O143" s="281">
        <f t="shared" si="26"/>
        <v>8100</v>
      </c>
      <c r="P143" s="463"/>
      <c r="Q143" s="281"/>
      <c r="R143" s="281"/>
      <c r="S143" s="281"/>
      <c r="T143" s="281"/>
      <c r="U143" s="281"/>
      <c r="V143" s="281"/>
      <c r="W143" s="281"/>
      <c r="X143" s="281"/>
      <c r="Y143" s="281"/>
      <c r="Z143" s="281"/>
      <c r="AA143" s="281"/>
      <c r="AB143" s="281"/>
      <c r="AC143" s="281"/>
      <c r="AD143" s="281"/>
    </row>
    <row r="144">
      <c r="A144" s="408">
        <f t="shared" ref="A144:A145" si="32">A143+1</f>
        <v>2</v>
      </c>
      <c r="B144" s="419" t="s">
        <v>280</v>
      </c>
      <c r="C144" s="410" t="str">
        <f>VLOOKUP($B144,'Rate card'!$A$4:$G240,2,FALSE)</f>
        <v>Carpentry</v>
      </c>
      <c r="D144" s="412" t="str">
        <f>VLOOKUP($B144,'Rate card'!$A$4:$G240,3,FALSE)</f>
        <v>Mirror panelling</v>
      </c>
      <c r="E144" s="412" t="str">
        <f>VLOOKUP($B144,'Rate card'!$A$4:$G240,4,FALSE)</f>
        <v>Mirror finish</v>
      </c>
      <c r="F144" s="412" t="str">
        <f>VLOOKUP($B144,'Rate card'!$A$4:$G240,5,FALSE)</f>
        <v>MRply + ply framing + finish mirror</v>
      </c>
      <c r="G144" s="410" t="str">
        <f>VLOOKUP($B144,'Rate card'!$A$4:$G240,6,FALSE)</f>
        <v>Ls</v>
      </c>
      <c r="H144" s="420">
        <f>VLOOKUP($B144,'Rate card'!$A$4:$J240,8,FALSE)</f>
        <v>7000</v>
      </c>
      <c r="I144" s="438" t="s">
        <v>16</v>
      </c>
      <c r="J144" s="447">
        <f t="shared" si="31"/>
        <v>7000</v>
      </c>
      <c r="K144" s="62" t="s">
        <v>281</v>
      </c>
      <c r="L144" s="281"/>
      <c r="M144" s="281"/>
      <c r="N144" s="443">
        <f>VLOOKUP($B144,'Rate card'!$A$4:$J240,7,FALSE)</f>
        <v>5500</v>
      </c>
      <c r="O144" s="444">
        <f t="shared" si="26"/>
        <v>5500</v>
      </c>
      <c r="P144" s="463"/>
      <c r="Q144" s="281"/>
      <c r="R144" s="281"/>
      <c r="S144" s="281"/>
      <c r="T144" s="281"/>
      <c r="U144" s="281"/>
      <c r="V144" s="281"/>
      <c r="W144" s="281"/>
      <c r="X144" s="281"/>
      <c r="Y144" s="281"/>
      <c r="Z144" s="281"/>
      <c r="AA144" s="281"/>
      <c r="AB144" s="281"/>
      <c r="AC144" s="281"/>
      <c r="AD144" s="281"/>
    </row>
    <row r="145">
      <c r="A145" s="408">
        <f t="shared" si="32"/>
        <v>3</v>
      </c>
      <c r="B145" s="419" t="s">
        <v>282</v>
      </c>
      <c r="C145" s="410" t="str">
        <f>VLOOKUP($B145,'Rate card'!$A$4:$G240,2,FALSE)</f>
        <v>Carpentry</v>
      </c>
      <c r="D145" s="410" t="str">
        <f>VLOOKUP($B145,'Rate card'!$A$4:$G240,3,FALSE)</f>
        <v>Glass Partiton</v>
      </c>
      <c r="E145" s="410" t="str">
        <f>VLOOKUP($B145,'Rate card'!$A$4:$G240,4,FALSE)</f>
        <v>12mm toughned glass</v>
      </c>
      <c r="F145" s="410" t="str">
        <f>VLOOKUP($B145,'Rate card'!$A$4:$G240,5,FALSE)</f>
        <v>12mm toughned glass + Fitting labour + loading, unloading + All fitting hardware + Silicon etc</v>
      </c>
      <c r="G145" s="410" t="str">
        <f>VLOOKUP($B145,'Rate card'!$A$4:$G240,6,FALSE)</f>
        <v>Sqft</v>
      </c>
      <c r="H145" s="420">
        <f>VLOOKUP($B145,'Rate card'!$A$4:$J240,8,FALSE)</f>
        <v>750</v>
      </c>
      <c r="I145" s="438">
        <f>5*9</f>
        <v>45</v>
      </c>
      <c r="J145" s="447">
        <f t="shared" si="31"/>
        <v>33750</v>
      </c>
      <c r="K145" s="62" t="s">
        <v>283</v>
      </c>
      <c r="L145" s="281"/>
      <c r="M145" s="281"/>
      <c r="N145" s="416">
        <f>VLOOKUP($B145,'Rate card'!$A$4:$J240,7,FALSE)</f>
        <v>450</v>
      </c>
      <c r="O145" s="281">
        <f t="shared" si="26"/>
        <v>20250</v>
      </c>
      <c r="P145" s="463"/>
      <c r="Q145" s="281"/>
      <c r="R145" s="281"/>
      <c r="S145" s="281"/>
      <c r="T145" s="281"/>
      <c r="U145" s="281"/>
      <c r="V145" s="281"/>
      <c r="W145" s="281"/>
      <c r="X145" s="281"/>
      <c r="Y145" s="281"/>
      <c r="Z145" s="281"/>
      <c r="AA145" s="281"/>
      <c r="AB145" s="281"/>
      <c r="AC145" s="281"/>
      <c r="AD145" s="281"/>
    </row>
    <row r="146">
      <c r="A146" s="432" t="s">
        <v>286</v>
      </c>
      <c r="B146" s="323"/>
      <c r="C146" s="323"/>
      <c r="D146" s="323"/>
      <c r="E146" s="323"/>
      <c r="F146" s="323"/>
      <c r="G146" s="323"/>
      <c r="H146" s="324"/>
      <c r="I146" s="322"/>
      <c r="J146" s="324"/>
      <c r="K146" s="294"/>
      <c r="L146" s="281"/>
      <c r="M146" s="281"/>
      <c r="N146" s="416">
        <f>VLOOKUP($B146,'Rate card'!$A$4:$J240,7,FALSE)</f>
        <v>0</v>
      </c>
      <c r="O146" s="281">
        <f t="shared" si="26"/>
        <v>0</v>
      </c>
      <c r="P146" s="463"/>
      <c r="Q146" s="281"/>
      <c r="R146" s="281"/>
      <c r="S146" s="281"/>
      <c r="T146" s="281"/>
      <c r="U146" s="281"/>
      <c r="V146" s="281"/>
      <c r="W146" s="281"/>
      <c r="X146" s="281"/>
      <c r="Y146" s="281"/>
      <c r="Z146" s="281"/>
      <c r="AA146" s="281"/>
      <c r="AB146" s="281"/>
      <c r="AC146" s="281"/>
      <c r="AD146" s="281"/>
    </row>
    <row r="147">
      <c r="A147" s="408" t="s">
        <v>16</v>
      </c>
      <c r="B147" s="419" t="s">
        <v>170</v>
      </c>
      <c r="C147" s="420" t="str">
        <f>VLOOKUP($B147,'Rate card'!$A$4:$G240,2,FALSE)</f>
        <v>Carpentry</v>
      </c>
      <c r="D147" s="420" t="str">
        <f>VLOOKUP($B147,'Rate card'!$A$4:$G240,3,FALSE)</f>
        <v>Carcass Storage</v>
      </c>
      <c r="E147" s="420" t="str">
        <f>VLOOKUP($B147,'Rate card'!$A$4:$G240,4,FALSE)</f>
        <v>Laminate Finish</v>
      </c>
      <c r="F147" s="420" t="str">
        <f>VLOOKUP($B147,'Rate card'!$A$4:$G240,5,FALSE)</f>
        <v>MR ply + Inside laminate + finish laminate</v>
      </c>
      <c r="G147" s="420" t="str">
        <f>VLOOKUP($B147,'Rate card'!$A$4:$G240,6,FALSE)</f>
        <v>Sqft</v>
      </c>
      <c r="H147" s="420">
        <f>VLOOKUP($B147,'Rate card'!$A$4:$J240,8,FALSE)</f>
        <v>1800</v>
      </c>
      <c r="I147" s="446" t="s">
        <v>32</v>
      </c>
      <c r="J147" s="415">
        <f t="shared" ref="J147:J149" si="33">H147*I147</f>
        <v>10800</v>
      </c>
      <c r="K147" s="62" t="s">
        <v>279</v>
      </c>
      <c r="L147" s="281"/>
      <c r="M147" s="281"/>
      <c r="N147" s="416">
        <f>VLOOKUP($B147,'Rate card'!$A$4:$J240,7,FALSE)</f>
        <v>1350</v>
      </c>
      <c r="O147" s="281">
        <f t="shared" si="26"/>
        <v>8100</v>
      </c>
      <c r="P147" s="463"/>
      <c r="Q147" s="281"/>
      <c r="R147" s="281"/>
      <c r="S147" s="281"/>
      <c r="T147" s="281"/>
      <c r="U147" s="281"/>
      <c r="V147" s="281"/>
      <c r="W147" s="281"/>
      <c r="X147" s="281"/>
      <c r="Y147" s="281"/>
      <c r="Z147" s="281"/>
      <c r="AA147" s="281"/>
      <c r="AB147" s="281"/>
      <c r="AC147" s="281"/>
      <c r="AD147" s="281"/>
    </row>
    <row r="148">
      <c r="A148" s="408">
        <f t="shared" ref="A148:A149" si="34">A147+1</f>
        <v>2</v>
      </c>
      <c r="B148" s="419" t="s">
        <v>280</v>
      </c>
      <c r="C148" s="410" t="str">
        <f>VLOOKUP($B148,'Rate card'!$A$4:$G240,2,FALSE)</f>
        <v>Carpentry</v>
      </c>
      <c r="D148" s="412" t="str">
        <f>VLOOKUP($B148,'Rate card'!$A$4:$G240,3,FALSE)</f>
        <v>Mirror panelling</v>
      </c>
      <c r="E148" s="412" t="str">
        <f>VLOOKUP($B148,'Rate card'!$A$4:$G240,4,FALSE)</f>
        <v>Mirror finish</v>
      </c>
      <c r="F148" s="412" t="str">
        <f>VLOOKUP($B148,'Rate card'!$A$4:$G240,5,FALSE)</f>
        <v>MRply + ply framing + finish mirror</v>
      </c>
      <c r="G148" s="410" t="str">
        <f>VLOOKUP($B148,'Rate card'!$A$4:$G240,6,FALSE)</f>
        <v>Ls</v>
      </c>
      <c r="H148" s="420">
        <f>VLOOKUP($B148,'Rate card'!$A$4:$J240,8,FALSE)</f>
        <v>7000</v>
      </c>
      <c r="I148" s="438" t="s">
        <v>16</v>
      </c>
      <c r="J148" s="447">
        <f t="shared" si="33"/>
        <v>7000</v>
      </c>
      <c r="K148" s="62" t="s">
        <v>281</v>
      </c>
      <c r="L148" s="281"/>
      <c r="M148" s="281"/>
      <c r="N148" s="443">
        <f>VLOOKUP($B148,'Rate card'!$A$4:$J240,7,FALSE)</f>
        <v>5500</v>
      </c>
      <c r="O148" s="444">
        <f t="shared" si="26"/>
        <v>5500</v>
      </c>
      <c r="P148" s="463"/>
      <c r="Q148" s="281"/>
      <c r="R148" s="281"/>
      <c r="S148" s="281"/>
      <c r="T148" s="281"/>
      <c r="U148" s="281"/>
      <c r="V148" s="281"/>
      <c r="W148" s="281"/>
      <c r="X148" s="281"/>
      <c r="Y148" s="281"/>
      <c r="Z148" s="281"/>
      <c r="AA148" s="281"/>
      <c r="AB148" s="281"/>
      <c r="AC148" s="281"/>
      <c r="AD148" s="281"/>
    </row>
    <row r="149">
      <c r="A149" s="408">
        <f t="shared" si="34"/>
        <v>3</v>
      </c>
      <c r="B149" s="419" t="s">
        <v>282</v>
      </c>
      <c r="C149" s="410" t="str">
        <f>VLOOKUP($B149,'Rate card'!$A$4:$G240,2,FALSE)</f>
        <v>Carpentry</v>
      </c>
      <c r="D149" s="410" t="str">
        <f>VLOOKUP($B149,'Rate card'!$A$4:$G240,3,FALSE)</f>
        <v>Glass Partiton</v>
      </c>
      <c r="E149" s="410" t="str">
        <f>VLOOKUP($B149,'Rate card'!$A$4:$G240,4,FALSE)</f>
        <v>12mm toughned glass</v>
      </c>
      <c r="F149" s="410" t="str">
        <f>VLOOKUP($B149,'Rate card'!$A$4:$G240,5,FALSE)</f>
        <v>12mm toughned glass + Fitting labour + loading, unloading + All fitting hardware + Silicon etc</v>
      </c>
      <c r="G149" s="410" t="str">
        <f>VLOOKUP($B149,'Rate card'!$A$4:$G240,6,FALSE)</f>
        <v>Sqft</v>
      </c>
      <c r="H149" s="420">
        <f>VLOOKUP($B149,'Rate card'!$A$4:$J240,8,FALSE)</f>
        <v>750</v>
      </c>
      <c r="I149" s="438">
        <f>6.5*9</f>
        <v>58.5</v>
      </c>
      <c r="J149" s="447">
        <f t="shared" si="33"/>
        <v>43875</v>
      </c>
      <c r="K149" s="62" t="s">
        <v>283</v>
      </c>
      <c r="L149" s="281"/>
      <c r="M149" s="281"/>
      <c r="N149" s="416">
        <f>VLOOKUP($B149,'Rate card'!$A$4:$J240,7,FALSE)</f>
        <v>450</v>
      </c>
      <c r="O149" s="281">
        <f t="shared" si="26"/>
        <v>26325</v>
      </c>
      <c r="P149" s="463"/>
      <c r="Q149" s="281"/>
      <c r="R149" s="281"/>
      <c r="S149" s="281"/>
      <c r="T149" s="281"/>
      <c r="U149" s="281"/>
      <c r="V149" s="281"/>
      <c r="W149" s="281"/>
      <c r="X149" s="281"/>
      <c r="Y149" s="281"/>
      <c r="Z149" s="281"/>
      <c r="AA149" s="281"/>
      <c r="AB149" s="281"/>
      <c r="AC149" s="281"/>
      <c r="AD149" s="281"/>
    </row>
    <row r="150">
      <c r="A150" s="432" t="s">
        <v>287</v>
      </c>
      <c r="B150" s="323"/>
      <c r="C150" s="323"/>
      <c r="D150" s="323"/>
      <c r="E150" s="323"/>
      <c r="F150" s="323"/>
      <c r="G150" s="323"/>
      <c r="H150" s="324"/>
      <c r="I150" s="322"/>
      <c r="J150" s="324"/>
      <c r="K150" s="294"/>
      <c r="L150" s="281"/>
      <c r="M150" s="281"/>
      <c r="N150" s="416">
        <f>VLOOKUP($B150,'Rate card'!$A$4:$J240,7,FALSE)</f>
        <v>0</v>
      </c>
      <c r="O150" s="281">
        <f t="shared" si="26"/>
        <v>0</v>
      </c>
      <c r="P150" s="463"/>
      <c r="Q150" s="281"/>
      <c r="R150" s="281"/>
      <c r="S150" s="281"/>
      <c r="T150" s="281"/>
      <c r="U150" s="281"/>
      <c r="V150" s="281"/>
      <c r="W150" s="281"/>
      <c r="X150" s="281"/>
      <c r="Y150" s="281"/>
      <c r="Z150" s="281"/>
      <c r="AA150" s="281"/>
      <c r="AB150" s="281"/>
      <c r="AC150" s="281"/>
      <c r="AD150" s="281"/>
    </row>
    <row r="151">
      <c r="A151" s="408" t="s">
        <v>16</v>
      </c>
      <c r="B151" s="419" t="s">
        <v>170</v>
      </c>
      <c r="C151" s="420" t="str">
        <f>VLOOKUP($B151,'Rate card'!$A$4:$G240,2,FALSE)</f>
        <v>Carpentry</v>
      </c>
      <c r="D151" s="413" t="s">
        <v>677</v>
      </c>
      <c r="E151" s="420" t="str">
        <f>VLOOKUP($B151,'Rate card'!$A$4:$G240,4,FALSE)</f>
        <v>Laminate Finish</v>
      </c>
      <c r="F151" s="413" t="s">
        <v>291</v>
      </c>
      <c r="G151" s="413" t="s">
        <v>289</v>
      </c>
      <c r="H151" s="413">
        <v>25000.0</v>
      </c>
      <c r="I151" s="446" t="s">
        <v>100</v>
      </c>
      <c r="J151" s="415">
        <f>H151*I151</f>
        <v>300000</v>
      </c>
      <c r="K151" s="62" t="s">
        <v>638</v>
      </c>
      <c r="L151" s="281"/>
      <c r="M151" s="281"/>
      <c r="N151" s="416">
        <f>VLOOKUP($B151,'Rate card'!$A$4:$J240,7,FALSE)</f>
        <v>1350</v>
      </c>
      <c r="O151" s="281">
        <f t="shared" si="26"/>
        <v>16200</v>
      </c>
      <c r="P151" s="463"/>
      <c r="Q151" s="281"/>
      <c r="R151" s="281"/>
      <c r="S151" s="281"/>
      <c r="T151" s="281"/>
      <c r="U151" s="281"/>
      <c r="V151" s="281"/>
      <c r="W151" s="281"/>
      <c r="X151" s="281"/>
      <c r="Y151" s="281"/>
      <c r="Z151" s="281"/>
      <c r="AA151" s="281"/>
      <c r="AB151" s="281"/>
      <c r="AC151" s="281"/>
      <c r="AD151" s="281"/>
    </row>
    <row r="152">
      <c r="A152" s="448"/>
      <c r="B152" s="449"/>
      <c r="C152" s="449"/>
      <c r="D152" s="449"/>
      <c r="E152" s="449"/>
      <c r="F152" s="449"/>
      <c r="G152" s="449"/>
      <c r="H152" s="450"/>
      <c r="I152" s="369" t="s">
        <v>125</v>
      </c>
      <c r="J152" s="384">
        <f>SUM(J62:J151)</f>
        <v>4148612.5</v>
      </c>
      <c r="K152" s="451"/>
      <c r="L152" s="325"/>
      <c r="M152" s="325"/>
      <c r="N152" s="452"/>
      <c r="O152" s="325"/>
      <c r="P152" s="529"/>
      <c r="Q152" s="325"/>
      <c r="R152" s="325"/>
      <c r="S152" s="325"/>
      <c r="T152" s="325"/>
      <c r="U152" s="325"/>
      <c r="V152" s="325"/>
      <c r="W152" s="325"/>
      <c r="X152" s="325"/>
      <c r="Y152" s="325"/>
      <c r="Z152" s="325"/>
      <c r="AA152" s="325"/>
      <c r="AB152" s="325"/>
      <c r="AC152" s="325"/>
      <c r="AD152" s="325"/>
    </row>
    <row r="153">
      <c r="A153" s="424" t="s">
        <v>33</v>
      </c>
      <c r="B153" s="323"/>
      <c r="C153" s="323"/>
      <c r="D153" s="323"/>
      <c r="E153" s="323"/>
      <c r="F153" s="323"/>
      <c r="G153" s="323"/>
      <c r="H153" s="324"/>
      <c r="I153" s="322"/>
      <c r="J153" s="324"/>
      <c r="K153" s="294"/>
      <c r="L153" s="281"/>
      <c r="M153" s="281"/>
      <c r="N153" s="372"/>
      <c r="O153" s="373"/>
      <c r="P153" s="463"/>
      <c r="Q153" s="281"/>
      <c r="R153" s="281"/>
      <c r="S153" s="281"/>
      <c r="T153" s="281"/>
      <c r="U153" s="281"/>
      <c r="V153" s="281"/>
      <c r="W153" s="281"/>
      <c r="X153" s="281"/>
      <c r="Y153" s="281"/>
      <c r="Z153" s="281"/>
      <c r="AA153" s="281"/>
      <c r="AB153" s="281"/>
      <c r="AC153" s="281"/>
      <c r="AD153" s="281"/>
    </row>
    <row r="154">
      <c r="A154" s="408" t="s">
        <v>16</v>
      </c>
      <c r="B154" s="419" t="s">
        <v>297</v>
      </c>
      <c r="C154" s="433" t="str">
        <f>VLOOKUP($B154,'Rate card'!$A$4:$G240,2,FALSE)</f>
        <v>Paint</v>
      </c>
      <c r="D154" s="433" t="str">
        <f>VLOOKUP($B154,'Rate card'!$A$4:$G240,3,FALSE)</f>
        <v>Royal Shyne</v>
      </c>
      <c r="E154" s="433" t="str">
        <f>VLOOKUP($B154,'Rate card'!$A$4:$G240,4,FALSE)</f>
        <v>2 Primer + 1 Putty + 2 RLE</v>
      </c>
      <c r="F154" s="433" t="str">
        <f>VLOOKUP($B154,'Rate card'!$A$4:$G240,5,FALSE)</f>
        <v>Painting with royal Shyne on ceiling, to give an even shade – Two or more coats on new work including preparation of surface. (_putty+_primer+_paint) as per requirement</v>
      </c>
      <c r="G154" s="433" t="str">
        <f>VLOOKUP($B154,'Rate card'!$A$4:$G240,6,FALSE)</f>
        <v>Sqft</v>
      </c>
      <c r="H154" s="420">
        <f>VLOOKUP($B154,'Rate card'!$A$4:$J240,8,FALSE)</f>
        <v>42</v>
      </c>
      <c r="I154" s="453" t="s">
        <v>146</v>
      </c>
      <c r="J154" s="415">
        <f t="shared" ref="J154:J157" si="35">H154*I154</f>
        <v>70266</v>
      </c>
      <c r="K154" s="75" t="s">
        <v>294</v>
      </c>
      <c r="L154" s="281"/>
      <c r="M154" s="281"/>
      <c r="N154" s="416">
        <f>VLOOKUP($B154,'Rate card'!$A$4:$J240,7,FALSE)</f>
        <v>35</v>
      </c>
      <c r="O154" s="281">
        <f t="shared" ref="O154:O155" si="36">I154*N154</f>
        <v>58555</v>
      </c>
      <c r="P154" s="463"/>
      <c r="Q154" s="281"/>
      <c r="R154" s="281"/>
      <c r="S154" s="281"/>
      <c r="T154" s="281"/>
      <c r="U154" s="281"/>
      <c r="V154" s="281"/>
      <c r="W154" s="281"/>
      <c r="X154" s="281"/>
      <c r="Y154" s="281"/>
      <c r="Z154" s="281"/>
      <c r="AA154" s="281"/>
      <c r="AB154" s="281"/>
      <c r="AC154" s="281"/>
      <c r="AD154" s="281"/>
    </row>
    <row r="155">
      <c r="A155" s="408">
        <f t="shared" ref="A155:A156" si="37">A154+1</f>
        <v>2</v>
      </c>
      <c r="B155" s="419" t="s">
        <v>298</v>
      </c>
      <c r="C155" s="433" t="str">
        <f>VLOOKUP($B155,'Rate card'!$A$4:$G240,2,FALSE)</f>
        <v>Paint</v>
      </c>
      <c r="D155" s="433" t="str">
        <f>VLOOKUP($B155,'Rate card'!$A$4:$G240,3,FALSE)</f>
        <v>Royal Shyne</v>
      </c>
      <c r="E155" s="433" t="str">
        <f>VLOOKUP($B155,'Rate card'!$A$4:$G240,4,FALSE)</f>
        <v>2 Primer + 1 Putty + 2 RLE</v>
      </c>
      <c r="F155" s="433" t="str">
        <f>VLOOKUP($B155,'Rate card'!$A$4:$G240,5,FALSE)</f>
        <v>Painting with royal Shyne on walls, to give an even shade – Two or more coats on new work including preparation of surface. (_putty+_primer+_paint) as per requirement</v>
      </c>
      <c r="G155" s="433" t="str">
        <f>VLOOKUP($B155,'Rate card'!$A$4:$G240,6,FALSE)</f>
        <v>Sqft</v>
      </c>
      <c r="H155" s="420">
        <f>VLOOKUP($B155,'Rate card'!$A$4:$J240,8,FALSE)</f>
        <v>45</v>
      </c>
      <c r="I155" s="454">
        <f>1673*2.5</f>
        <v>4182.5</v>
      </c>
      <c r="J155" s="415">
        <f t="shared" si="35"/>
        <v>188212.5</v>
      </c>
      <c r="K155" s="75" t="s">
        <v>299</v>
      </c>
      <c r="L155" s="281"/>
      <c r="M155" s="281"/>
      <c r="N155" s="416">
        <f>VLOOKUP($B155,'Rate card'!$A$4:$J240,7,FALSE)</f>
        <v>35</v>
      </c>
      <c r="O155" s="281">
        <f t="shared" si="36"/>
        <v>146387.5</v>
      </c>
      <c r="P155" s="463"/>
      <c r="Q155" s="281"/>
      <c r="R155" s="281"/>
      <c r="S155" s="281"/>
      <c r="T155" s="281"/>
      <c r="U155" s="281"/>
      <c r="V155" s="281"/>
      <c r="W155" s="281"/>
      <c r="X155" s="281"/>
      <c r="Y155" s="281"/>
      <c r="Z155" s="281"/>
      <c r="AA155" s="281"/>
      <c r="AB155" s="281"/>
      <c r="AC155" s="281"/>
      <c r="AD155" s="281"/>
    </row>
    <row r="156">
      <c r="A156" s="382">
        <f t="shared" si="37"/>
        <v>3</v>
      </c>
      <c r="B156" s="435" t="s">
        <v>298</v>
      </c>
      <c r="C156" s="154" t="str">
        <f>VLOOKUP($B156,'Rate card'!$A$4:$G240,2,FALSE)</f>
        <v>Paint</v>
      </c>
      <c r="D156" s="151" t="s">
        <v>300</v>
      </c>
      <c r="E156" s="154" t="str">
        <f>VLOOKUP($B156,'Rate card'!$A$4:$G240,4,FALSE)</f>
        <v>2 Primer + 1 Putty + 2 RLE</v>
      </c>
      <c r="F156" s="154" t="str">
        <f>VLOOKUP($B156,'Rate card'!$A$4:$G240,5,FALSE)</f>
        <v>Painting with royal Shyne on walls, to give an even shade – Two or more coats on new work including preparation of surface. (_putty+_primer+_paint) as per requirement</v>
      </c>
      <c r="G156" s="151" t="s">
        <v>185</v>
      </c>
      <c r="H156" s="185">
        <v>50000.0</v>
      </c>
      <c r="I156" s="455">
        <v>1.0</v>
      </c>
      <c r="J156" s="358">
        <f t="shared" si="35"/>
        <v>50000</v>
      </c>
      <c r="K156" s="437" t="s">
        <v>299</v>
      </c>
      <c r="L156" s="148"/>
      <c r="M156" s="148"/>
      <c r="N156" s="456"/>
      <c r="O156" s="355"/>
      <c r="P156" s="522"/>
      <c r="Q156" s="148"/>
      <c r="R156" s="148"/>
      <c r="S156" s="148"/>
      <c r="T156" s="148"/>
      <c r="U156" s="148"/>
      <c r="V156" s="148"/>
      <c r="W156" s="148"/>
      <c r="X156" s="148"/>
      <c r="Y156" s="148"/>
      <c r="Z156" s="148"/>
      <c r="AA156" s="148"/>
      <c r="AB156" s="148"/>
      <c r="AC156" s="148"/>
      <c r="AD156" s="148"/>
    </row>
    <row r="157">
      <c r="A157" s="382" t="s">
        <v>27</v>
      </c>
      <c r="B157" s="525" t="s">
        <v>302</v>
      </c>
      <c r="C157" s="154" t="str">
        <f>VLOOKUP($B157,'Rate card'!$A$4:$G240,2,FALSE)</f>
        <v>Polish</v>
      </c>
      <c r="D157" s="154" t="str">
        <f>VLOOKUP($B157,'Rate card'!$A$4:$G240,3,FALSE)</f>
        <v>Melamine</v>
      </c>
      <c r="E157" s="153" t="str">
        <f>VLOOKUP($B157,'Rate card'!$A$4:$G240,4,FALSE)</f>
        <v/>
      </c>
      <c r="F157" s="404" t="s">
        <v>303</v>
      </c>
      <c r="G157" s="154" t="str">
        <f>VLOOKUP($B157,'Rate card'!$A$4:$G240,6,FALSE)</f>
        <v>Sqft</v>
      </c>
      <c r="H157" s="151">
        <f>VLOOKUP($B157,'Rate card'!$A$4:$J240,8,FALSE)</f>
        <v>120</v>
      </c>
      <c r="I157" s="530">
        <v>500.0</v>
      </c>
      <c r="J157" s="358">
        <f t="shared" si="35"/>
        <v>60000</v>
      </c>
      <c r="K157" s="417" t="s">
        <v>304</v>
      </c>
      <c r="L157" s="179"/>
      <c r="M157" s="179"/>
      <c r="N157" s="531"/>
      <c r="O157" s="361"/>
      <c r="P157" s="528"/>
      <c r="Q157" s="179"/>
      <c r="R157" s="179"/>
      <c r="S157" s="179"/>
      <c r="T157" s="179"/>
      <c r="U157" s="179"/>
      <c r="V157" s="179"/>
      <c r="W157" s="179"/>
      <c r="X157" s="179"/>
      <c r="Y157" s="179"/>
      <c r="Z157" s="179"/>
      <c r="AA157" s="179"/>
      <c r="AB157" s="179"/>
      <c r="AC157" s="179"/>
      <c r="AD157" s="179"/>
    </row>
    <row r="158">
      <c r="A158" s="408"/>
      <c r="B158" s="457"/>
      <c r="C158" s="457"/>
      <c r="D158" s="457"/>
      <c r="E158" s="457"/>
      <c r="F158" s="457"/>
      <c r="G158" s="457"/>
      <c r="H158" s="415"/>
      <c r="I158" s="369" t="s">
        <v>125</v>
      </c>
      <c r="J158" s="384">
        <f>sum(J154:J157)</f>
        <v>368478.5</v>
      </c>
      <c r="K158" s="67"/>
      <c r="L158" s="281"/>
      <c r="M158" s="281"/>
      <c r="N158" s="416">
        <f>VLOOKUP($B158,'Rate card'!$A$4:$J240,7,FALSE)</f>
        <v>0</v>
      </c>
      <c r="O158" s="121">
        <f>SUM(O154:O155)</f>
        <v>204942.5</v>
      </c>
      <c r="P158" s="463"/>
      <c r="Q158" s="281"/>
      <c r="R158" s="281"/>
      <c r="S158" s="281"/>
      <c r="T158" s="281"/>
      <c r="U158" s="281"/>
      <c r="V158" s="281"/>
      <c r="W158" s="281"/>
      <c r="X158" s="281"/>
      <c r="Y158" s="281"/>
      <c r="Z158" s="281"/>
      <c r="AA158" s="281"/>
      <c r="AB158" s="281"/>
      <c r="AC158" s="281"/>
      <c r="AD158" s="281"/>
    </row>
    <row r="159">
      <c r="A159" s="424" t="s">
        <v>35</v>
      </c>
      <c r="B159" s="323"/>
      <c r="C159" s="323"/>
      <c r="D159" s="323"/>
      <c r="E159" s="323"/>
      <c r="F159" s="323"/>
      <c r="G159" s="323"/>
      <c r="H159" s="324"/>
      <c r="I159" s="322"/>
      <c r="J159" s="324"/>
      <c r="K159" s="294"/>
      <c r="L159" s="281"/>
      <c r="M159" s="281"/>
      <c r="N159" s="372"/>
      <c r="O159" s="373"/>
      <c r="P159" s="463"/>
      <c r="Q159" s="281"/>
      <c r="R159" s="281"/>
      <c r="S159" s="281"/>
      <c r="T159" s="281"/>
      <c r="U159" s="281"/>
      <c r="V159" s="281"/>
      <c r="W159" s="281"/>
      <c r="X159" s="281"/>
      <c r="Y159" s="281"/>
      <c r="Z159" s="281"/>
      <c r="AA159" s="281"/>
      <c r="AB159" s="281"/>
      <c r="AC159" s="281"/>
      <c r="AD159" s="281"/>
    </row>
    <row r="160">
      <c r="A160" s="408" t="s">
        <v>16</v>
      </c>
      <c r="B160" s="419" t="s">
        <v>305</v>
      </c>
      <c r="C160" s="420" t="str">
        <f>VLOOKUP($B160,'Rate card'!$A$4:$G240,2,FALSE)</f>
        <v>CLEANING</v>
      </c>
      <c r="D160" s="420" t="str">
        <f>VLOOKUP($B160,'Rate card'!$A$4:$G240,3,FALSE)</f>
        <v>NA</v>
      </c>
      <c r="E160" s="420" t="str">
        <f>VLOOKUP($B160,'Rate card'!$A$4:$G240,4,FALSE)</f>
        <v>NA</v>
      </c>
      <c r="F160" s="420" t="str">
        <f>VLOOKUP($B160,'Rate card'!$A$4:$G240,5,FALSE)</f>
        <v>NA</v>
      </c>
      <c r="G160" s="420" t="str">
        <f>VLOOKUP($B160,'Rate card'!$A$4:$G240,6,FALSE)</f>
        <v>Ls</v>
      </c>
      <c r="H160" s="458">
        <v>40000.0</v>
      </c>
      <c r="I160" s="453" t="s">
        <v>16</v>
      </c>
      <c r="J160" s="415">
        <f t="shared" ref="J160:J162" si="38">H160*I160</f>
        <v>40000</v>
      </c>
      <c r="K160" s="62"/>
      <c r="L160" s="281"/>
      <c r="M160" s="281"/>
      <c r="N160" s="434">
        <f t="shared" ref="N160:N162" si="39">H160-5000</f>
        <v>35000</v>
      </c>
      <c r="O160" s="282">
        <f t="shared" ref="O160:O162" si="40">I160*N160</f>
        <v>35000</v>
      </c>
      <c r="P160" s="463"/>
      <c r="Q160" s="281"/>
      <c r="R160" s="281"/>
      <c r="S160" s="281"/>
      <c r="T160" s="281"/>
      <c r="U160" s="281"/>
      <c r="V160" s="281"/>
      <c r="W160" s="281"/>
      <c r="X160" s="281"/>
      <c r="Y160" s="281"/>
      <c r="Z160" s="281"/>
      <c r="AA160" s="281"/>
      <c r="AB160" s="281"/>
      <c r="AC160" s="281"/>
      <c r="AD160" s="281"/>
    </row>
    <row r="161">
      <c r="A161" s="408">
        <f t="shared" ref="A161:A162" si="41">A160+1</f>
        <v>2</v>
      </c>
      <c r="B161" s="419" t="s">
        <v>306</v>
      </c>
      <c r="C161" s="420" t="str">
        <f>VLOOKUP($B161,'Rate card'!$A$4:$G240,2,FALSE)</f>
        <v>DEBRIS REMOVAL</v>
      </c>
      <c r="D161" s="420" t="str">
        <f>VLOOKUP($B161,'Rate card'!$A$4:$G240,3,FALSE)</f>
        <v>NA</v>
      </c>
      <c r="E161" s="420" t="str">
        <f>VLOOKUP($B161,'Rate card'!$A$4:$G240,4,FALSE)</f>
        <v>NA</v>
      </c>
      <c r="F161" s="420" t="str">
        <f>VLOOKUP($B161,'Rate card'!$A$4:$G240,5,FALSE)</f>
        <v>NA</v>
      </c>
      <c r="G161" s="420" t="str">
        <f>VLOOKUP($B161,'Rate card'!$A$4:$G240,6,FALSE)</f>
        <v>Ls</v>
      </c>
      <c r="H161" s="458">
        <v>50000.0</v>
      </c>
      <c r="I161" s="421" t="s">
        <v>16</v>
      </c>
      <c r="J161" s="415">
        <f t="shared" si="38"/>
        <v>50000</v>
      </c>
      <c r="K161" s="62"/>
      <c r="L161" s="281"/>
      <c r="M161" s="281"/>
      <c r="N161" s="434">
        <f t="shared" si="39"/>
        <v>45000</v>
      </c>
      <c r="O161" s="282">
        <f t="shared" si="40"/>
        <v>45000</v>
      </c>
      <c r="P161" s="463"/>
      <c r="Q161" s="281"/>
      <c r="R161" s="281"/>
      <c r="S161" s="281"/>
      <c r="T161" s="281"/>
      <c r="U161" s="281"/>
      <c r="V161" s="281"/>
      <c r="W161" s="281"/>
      <c r="X161" s="281"/>
      <c r="Y161" s="281"/>
      <c r="Z161" s="281"/>
      <c r="AA161" s="281"/>
      <c r="AB161" s="281"/>
      <c r="AC161" s="281"/>
      <c r="AD161" s="281"/>
    </row>
    <row r="162">
      <c r="A162" s="408">
        <f t="shared" si="41"/>
        <v>3</v>
      </c>
      <c r="B162" s="419" t="s">
        <v>307</v>
      </c>
      <c r="C162" s="420" t="str">
        <f>VLOOKUP($B162,'Rate card'!$A$4:$G240,2,FALSE)</f>
        <v>MISCELLENIOUS</v>
      </c>
      <c r="D162" s="420" t="str">
        <f>VLOOKUP($B162,'Rate card'!$A$4:$G240,3,FALSE)</f>
        <v>NA</v>
      </c>
      <c r="E162" s="420" t="str">
        <f>VLOOKUP($B162,'Rate card'!$A$4:$G240,4,FALSE)</f>
        <v>NA</v>
      </c>
      <c r="F162" s="420" t="str">
        <f>VLOOKUP($B162,'Rate card'!$A$4:$G240,5,FALSE)</f>
        <v>Floor Covering, Doors and Windows Covering</v>
      </c>
      <c r="G162" s="420" t="str">
        <f>VLOOKUP($B162,'Rate card'!$A$4:$G240,6,FALSE)</f>
        <v>Ls</v>
      </c>
      <c r="H162" s="458">
        <v>30000.0</v>
      </c>
      <c r="I162" s="421" t="s">
        <v>16</v>
      </c>
      <c r="J162" s="415">
        <f t="shared" si="38"/>
        <v>30000</v>
      </c>
      <c r="K162" s="62"/>
      <c r="L162" s="281"/>
      <c r="M162" s="281"/>
      <c r="N162" s="434">
        <f t="shared" si="39"/>
        <v>25000</v>
      </c>
      <c r="O162" s="282">
        <f t="shared" si="40"/>
        <v>25000</v>
      </c>
      <c r="P162" s="463"/>
      <c r="Q162" s="281"/>
      <c r="R162" s="281"/>
      <c r="S162" s="281"/>
      <c r="T162" s="281"/>
      <c r="U162" s="281"/>
      <c r="V162" s="281"/>
      <c r="W162" s="281"/>
      <c r="X162" s="281"/>
      <c r="Y162" s="281"/>
      <c r="Z162" s="281"/>
      <c r="AA162" s="281"/>
      <c r="AB162" s="281"/>
      <c r="AC162" s="281"/>
      <c r="AD162" s="281"/>
    </row>
    <row r="163">
      <c r="A163" s="459"/>
      <c r="B163" s="457"/>
      <c r="C163" s="457"/>
      <c r="D163" s="457"/>
      <c r="E163" s="457"/>
      <c r="F163" s="457"/>
      <c r="G163" s="457"/>
      <c r="H163" s="415"/>
      <c r="I163" s="369" t="s">
        <v>125</v>
      </c>
      <c r="J163" s="384">
        <f>SUM(J160:J162)</f>
        <v>120000</v>
      </c>
      <c r="K163" s="67"/>
      <c r="L163" s="281"/>
      <c r="M163" s="281"/>
      <c r="N163" s="416" t="str">
        <f>VLOOKUP($B163,'Rate card'!$A$4:$J240,10,FALSE)</f>
        <v/>
      </c>
      <c r="O163" s="121">
        <f>SUM(O160:O162)</f>
        <v>105000</v>
      </c>
      <c r="P163" s="463"/>
      <c r="Q163" s="281"/>
      <c r="R163" s="281"/>
      <c r="S163" s="281"/>
      <c r="T163" s="281"/>
      <c r="U163" s="281"/>
      <c r="V163" s="281"/>
      <c r="W163" s="281"/>
      <c r="X163" s="281"/>
      <c r="Y163" s="281"/>
      <c r="Z163" s="281"/>
      <c r="AA163" s="281"/>
      <c r="AB163" s="281"/>
      <c r="AC163" s="281"/>
      <c r="AD163" s="281"/>
    </row>
    <row r="164">
      <c r="A164" s="424"/>
      <c r="B164" s="323"/>
      <c r="C164" s="323"/>
      <c r="D164" s="323"/>
      <c r="E164" s="323"/>
      <c r="F164" s="323"/>
      <c r="G164" s="323"/>
      <c r="H164" s="324"/>
      <c r="I164" s="460"/>
      <c r="J164" s="461"/>
      <c r="K164" s="294"/>
      <c r="L164" s="281"/>
      <c r="M164" s="281"/>
      <c r="N164" s="372"/>
      <c r="O164" s="373"/>
      <c r="P164" s="463"/>
      <c r="Q164" s="281"/>
      <c r="R164" s="281"/>
      <c r="S164" s="281"/>
      <c r="T164" s="281"/>
      <c r="U164" s="281"/>
      <c r="V164" s="281"/>
      <c r="W164" s="281"/>
      <c r="X164" s="281"/>
      <c r="Y164" s="281"/>
      <c r="Z164" s="281"/>
      <c r="AA164" s="281"/>
      <c r="AB164" s="281"/>
      <c r="AC164" s="281"/>
      <c r="AD164" s="281"/>
    </row>
    <row r="165">
      <c r="A165" s="281"/>
      <c r="B165" s="281"/>
      <c r="C165" s="281"/>
      <c r="D165" s="281"/>
      <c r="E165" s="281"/>
      <c r="F165" s="281"/>
      <c r="G165" s="281"/>
      <c r="H165" s="282"/>
      <c r="I165" s="283"/>
      <c r="J165" s="282"/>
      <c r="K165" s="281"/>
      <c r="L165" s="281"/>
      <c r="M165" s="281"/>
      <c r="N165" s="281"/>
      <c r="O165" s="281"/>
      <c r="P165" s="463"/>
      <c r="Q165" s="281"/>
      <c r="R165" s="281"/>
      <c r="S165" s="281"/>
      <c r="T165" s="281"/>
      <c r="U165" s="281"/>
      <c r="V165" s="281"/>
      <c r="W165" s="281"/>
      <c r="X165" s="281"/>
      <c r="Y165" s="281"/>
      <c r="Z165" s="281"/>
      <c r="AA165" s="281"/>
      <c r="AB165" s="281"/>
      <c r="AC165" s="281"/>
      <c r="AD165" s="281"/>
    </row>
    <row r="166" hidden="1">
      <c r="A166" s="281"/>
      <c r="B166" s="281"/>
      <c r="C166" s="281"/>
      <c r="D166" s="281"/>
      <c r="E166" s="281"/>
      <c r="F166" s="281"/>
      <c r="G166" s="281"/>
      <c r="H166" s="282"/>
      <c r="I166" s="283"/>
      <c r="J166" s="282"/>
      <c r="K166" s="281"/>
      <c r="L166" s="281"/>
      <c r="M166" s="281"/>
      <c r="N166" s="281"/>
      <c r="O166" s="281"/>
      <c r="P166" s="463"/>
      <c r="Q166" s="281"/>
      <c r="R166" s="281"/>
      <c r="S166" s="281"/>
      <c r="T166" s="281"/>
      <c r="U166" s="281"/>
      <c r="V166" s="281"/>
      <c r="W166" s="281"/>
      <c r="X166" s="281"/>
      <c r="Y166" s="281"/>
      <c r="Z166" s="281"/>
      <c r="AA166" s="281"/>
      <c r="AB166" s="281"/>
      <c r="AC166" s="281"/>
      <c r="AD166" s="281"/>
    </row>
    <row r="167" hidden="1">
      <c r="A167" s="281"/>
      <c r="B167" s="281"/>
      <c r="C167" s="281"/>
      <c r="D167" s="281"/>
      <c r="E167" s="281"/>
      <c r="F167" s="281"/>
      <c r="G167" s="281"/>
      <c r="H167" s="282"/>
      <c r="I167" s="283"/>
      <c r="J167" s="282"/>
      <c r="K167" s="281"/>
      <c r="L167" s="281"/>
      <c r="M167" s="281"/>
      <c r="N167" s="281"/>
      <c r="O167" s="281"/>
      <c r="P167" s="463"/>
      <c r="Q167" s="281"/>
      <c r="R167" s="281"/>
      <c r="S167" s="281"/>
      <c r="T167" s="281"/>
      <c r="U167" s="281"/>
      <c r="V167" s="281"/>
      <c r="W167" s="281"/>
      <c r="X167" s="281"/>
      <c r="Y167" s="281"/>
      <c r="Z167" s="281"/>
      <c r="AA167" s="281"/>
      <c r="AB167" s="281"/>
      <c r="AC167" s="281"/>
      <c r="AD167" s="281"/>
    </row>
    <row r="168" hidden="1">
      <c r="A168" s="281"/>
      <c r="B168" s="281"/>
      <c r="C168" s="281"/>
      <c r="D168" s="281"/>
      <c r="E168" s="281"/>
      <c r="F168" s="281"/>
      <c r="G168" s="281"/>
      <c r="H168" s="282"/>
      <c r="I168" s="283"/>
      <c r="J168" s="282"/>
      <c r="K168" s="281"/>
      <c r="L168" s="281"/>
      <c r="M168" s="281"/>
      <c r="N168" s="281"/>
      <c r="O168" s="281"/>
      <c r="P168" s="463"/>
      <c r="Q168" s="281"/>
      <c r="R168" s="281"/>
      <c r="S168" s="281"/>
      <c r="T168" s="281"/>
      <c r="U168" s="281"/>
      <c r="V168" s="281"/>
      <c r="W168" s="281"/>
      <c r="X168" s="281"/>
      <c r="Y168" s="281"/>
      <c r="Z168" s="281"/>
      <c r="AA168" s="281"/>
      <c r="AB168" s="281"/>
      <c r="AC168" s="281"/>
      <c r="AD168" s="281"/>
    </row>
    <row r="169" hidden="1">
      <c r="A169" s="281"/>
      <c r="B169" s="281"/>
      <c r="C169" s="281"/>
      <c r="D169" s="281"/>
      <c r="E169" s="281"/>
      <c r="F169" s="281"/>
      <c r="G169" s="281"/>
      <c r="H169" s="282"/>
      <c r="I169" s="283"/>
      <c r="J169" s="282"/>
      <c r="K169" s="281"/>
      <c r="L169" s="281"/>
      <c r="M169" s="281"/>
      <c r="N169" s="281"/>
      <c r="O169" s="281"/>
      <c r="P169" s="463"/>
      <c r="Q169" s="281"/>
      <c r="R169" s="281"/>
      <c r="S169" s="281"/>
      <c r="T169" s="281"/>
      <c r="U169" s="281"/>
      <c r="V169" s="281"/>
      <c r="W169" s="281"/>
      <c r="X169" s="281"/>
      <c r="Y169" s="281"/>
      <c r="Z169" s="281"/>
      <c r="AA169" s="281"/>
      <c r="AB169" s="281"/>
      <c r="AC169" s="281"/>
      <c r="AD169" s="281"/>
    </row>
    <row r="170" hidden="1">
      <c r="A170" s="281"/>
      <c r="B170" s="281"/>
      <c r="C170" s="281"/>
      <c r="D170" s="281"/>
      <c r="E170" s="281"/>
      <c r="F170" s="281"/>
      <c r="G170" s="281"/>
      <c r="H170" s="282"/>
      <c r="I170" s="283"/>
      <c r="J170" s="282"/>
      <c r="K170" s="281"/>
      <c r="L170" s="281"/>
      <c r="M170" s="281"/>
      <c r="N170" s="281"/>
      <c r="O170" s="281"/>
      <c r="P170" s="463"/>
      <c r="Q170" s="281"/>
      <c r="R170" s="281"/>
      <c r="S170" s="281"/>
      <c r="T170" s="281"/>
      <c r="U170" s="281"/>
      <c r="V170" s="281"/>
      <c r="W170" s="281"/>
      <c r="X170" s="281"/>
      <c r="Y170" s="281"/>
      <c r="Z170" s="281"/>
      <c r="AA170" s="281"/>
      <c r="AB170" s="281"/>
      <c r="AC170" s="281"/>
      <c r="AD170" s="281"/>
    </row>
    <row r="171" hidden="1">
      <c r="A171" s="281"/>
      <c r="B171" s="281"/>
      <c r="C171" s="281"/>
      <c r="D171" s="281"/>
      <c r="E171" s="281"/>
      <c r="F171" s="281"/>
      <c r="G171" s="281"/>
      <c r="H171" s="282"/>
      <c r="I171" s="283"/>
      <c r="J171" s="282"/>
      <c r="K171" s="281"/>
      <c r="L171" s="281"/>
      <c r="M171" s="281"/>
      <c r="N171" s="281"/>
      <c r="O171" s="281"/>
      <c r="P171" s="463"/>
      <c r="Q171" s="281"/>
      <c r="R171" s="281"/>
      <c r="S171" s="281"/>
      <c r="T171" s="281"/>
      <c r="U171" s="281"/>
      <c r="V171" s="281"/>
      <c r="W171" s="281"/>
      <c r="X171" s="281"/>
      <c r="Y171" s="281"/>
      <c r="Z171" s="281"/>
      <c r="AA171" s="281"/>
      <c r="AB171" s="281"/>
      <c r="AC171" s="281"/>
      <c r="AD171" s="281"/>
    </row>
    <row r="172" hidden="1">
      <c r="A172" s="281"/>
      <c r="B172" s="281"/>
      <c r="C172" s="281"/>
      <c r="D172" s="281"/>
      <c r="E172" s="281"/>
      <c r="F172" s="281"/>
      <c r="G172" s="281"/>
      <c r="H172" s="282"/>
      <c r="I172" s="283"/>
      <c r="J172" s="282"/>
      <c r="K172" s="281"/>
      <c r="L172" s="281"/>
      <c r="M172" s="281"/>
      <c r="N172" s="281"/>
      <c r="O172" s="281"/>
      <c r="P172" s="463"/>
      <c r="Q172" s="281"/>
      <c r="R172" s="281"/>
      <c r="S172" s="281"/>
      <c r="T172" s="281"/>
      <c r="U172" s="281"/>
      <c r="V172" s="281"/>
      <c r="W172" s="281"/>
      <c r="X172" s="281"/>
      <c r="Y172" s="281"/>
      <c r="Z172" s="281"/>
      <c r="AA172" s="281"/>
      <c r="AB172" s="281"/>
      <c r="AC172" s="281"/>
      <c r="AD172" s="281"/>
    </row>
    <row r="173" hidden="1">
      <c r="A173" s="281"/>
      <c r="B173" s="281"/>
      <c r="C173" s="281"/>
      <c r="D173" s="281"/>
      <c r="E173" s="281"/>
      <c r="F173" s="281"/>
      <c r="G173" s="281"/>
      <c r="H173" s="282"/>
      <c r="I173" s="283"/>
      <c r="J173" s="282"/>
      <c r="K173" s="281"/>
      <c r="L173" s="281"/>
      <c r="M173" s="281"/>
      <c r="N173" s="281"/>
      <c r="O173" s="281"/>
      <c r="P173" s="463"/>
      <c r="Q173" s="281"/>
      <c r="R173" s="281"/>
      <c r="S173" s="281"/>
      <c r="T173" s="281"/>
      <c r="U173" s="281"/>
      <c r="V173" s="281"/>
      <c r="W173" s="281"/>
      <c r="X173" s="281"/>
      <c r="Y173" s="281"/>
      <c r="Z173" s="281"/>
      <c r="AA173" s="281"/>
      <c r="AB173" s="281"/>
      <c r="AC173" s="281"/>
      <c r="AD173" s="281"/>
    </row>
    <row r="174" hidden="1">
      <c r="A174" s="281"/>
      <c r="B174" s="281"/>
      <c r="C174" s="281"/>
      <c r="D174" s="281"/>
      <c r="E174" s="281"/>
      <c r="F174" s="281"/>
      <c r="G174" s="281"/>
      <c r="H174" s="282"/>
      <c r="I174" s="283"/>
      <c r="J174" s="282"/>
      <c r="K174" s="281"/>
      <c r="L174" s="281"/>
      <c r="M174" s="281"/>
      <c r="N174" s="281"/>
      <c r="O174" s="281"/>
      <c r="P174" s="463"/>
      <c r="Q174" s="281"/>
      <c r="R174" s="281"/>
      <c r="S174" s="281"/>
      <c r="T174" s="281"/>
      <c r="U174" s="281"/>
      <c r="V174" s="281"/>
      <c r="W174" s="281"/>
      <c r="X174" s="281"/>
      <c r="Y174" s="281"/>
      <c r="Z174" s="281"/>
      <c r="AA174" s="281"/>
      <c r="AB174" s="281"/>
      <c r="AC174" s="281"/>
      <c r="AD174" s="281"/>
    </row>
    <row r="175" hidden="1">
      <c r="A175" s="281"/>
      <c r="B175" s="281"/>
      <c r="C175" s="281"/>
      <c r="D175" s="281"/>
      <c r="E175" s="281"/>
      <c r="F175" s="281"/>
      <c r="G175" s="281"/>
      <c r="H175" s="282"/>
      <c r="I175" s="283"/>
      <c r="J175" s="282"/>
      <c r="K175" s="281"/>
      <c r="L175" s="281"/>
      <c r="M175" s="281"/>
      <c r="N175" s="281"/>
      <c r="O175" s="281"/>
      <c r="P175" s="463"/>
      <c r="Q175" s="281"/>
      <c r="R175" s="281"/>
      <c r="S175" s="281"/>
      <c r="T175" s="281"/>
      <c r="U175" s="281"/>
      <c r="V175" s="281"/>
      <c r="W175" s="281"/>
      <c r="X175" s="281"/>
      <c r="Y175" s="281"/>
      <c r="Z175" s="281"/>
      <c r="AA175" s="281"/>
      <c r="AB175" s="281"/>
      <c r="AC175" s="281"/>
      <c r="AD175" s="281"/>
    </row>
    <row r="176" hidden="1">
      <c r="A176" s="281"/>
      <c r="B176" s="281"/>
      <c r="C176" s="281"/>
      <c r="D176" s="281"/>
      <c r="E176" s="281"/>
      <c r="F176" s="281"/>
      <c r="G176" s="281"/>
      <c r="H176" s="282"/>
      <c r="I176" s="283"/>
      <c r="J176" s="282"/>
      <c r="K176" s="281"/>
      <c r="L176" s="281"/>
      <c r="M176" s="281"/>
      <c r="N176" s="281"/>
      <c r="O176" s="281"/>
      <c r="P176" s="463"/>
      <c r="Q176" s="281"/>
      <c r="R176" s="281"/>
      <c r="S176" s="281"/>
      <c r="T176" s="281"/>
      <c r="U176" s="281"/>
      <c r="V176" s="281"/>
      <c r="W176" s="281"/>
      <c r="X176" s="281"/>
      <c r="Y176" s="281"/>
      <c r="Z176" s="281"/>
      <c r="AA176" s="281"/>
      <c r="AB176" s="281"/>
      <c r="AC176" s="281"/>
      <c r="AD176" s="281"/>
    </row>
    <row r="177" hidden="1">
      <c r="A177" s="281"/>
      <c r="B177" s="281"/>
      <c r="C177" s="281"/>
      <c r="D177" s="281"/>
      <c r="E177" s="281"/>
      <c r="F177" s="281"/>
      <c r="G177" s="281"/>
      <c r="H177" s="282"/>
      <c r="I177" s="283"/>
      <c r="J177" s="282"/>
      <c r="K177" s="281"/>
      <c r="L177" s="281"/>
      <c r="M177" s="281"/>
      <c r="N177" s="281"/>
      <c r="O177" s="281"/>
      <c r="P177" s="463"/>
      <c r="Q177" s="281"/>
      <c r="R177" s="281"/>
      <c r="S177" s="281"/>
      <c r="T177" s="281"/>
      <c r="U177" s="281"/>
      <c r="V177" s="281"/>
      <c r="W177" s="281"/>
      <c r="X177" s="281"/>
      <c r="Y177" s="281"/>
      <c r="Z177" s="281"/>
      <c r="AA177" s="281"/>
      <c r="AB177" s="281"/>
      <c r="AC177" s="281"/>
      <c r="AD177" s="281"/>
    </row>
    <row r="178" hidden="1">
      <c r="A178" s="281"/>
      <c r="B178" s="281"/>
      <c r="C178" s="281"/>
      <c r="D178" s="281"/>
      <c r="E178" s="281"/>
      <c r="F178" s="281"/>
      <c r="G178" s="281"/>
      <c r="H178" s="282"/>
      <c r="I178" s="283"/>
      <c r="J178" s="282"/>
      <c r="K178" s="281"/>
      <c r="L178" s="281"/>
      <c r="M178" s="281"/>
      <c r="N178" s="281"/>
      <c r="O178" s="281"/>
      <c r="P178" s="463"/>
      <c r="Q178" s="281"/>
      <c r="R178" s="281"/>
      <c r="S178" s="281"/>
      <c r="T178" s="281"/>
      <c r="U178" s="281"/>
      <c r="V178" s="281"/>
      <c r="W178" s="281"/>
      <c r="X178" s="281"/>
      <c r="Y178" s="281"/>
      <c r="Z178" s="281"/>
      <c r="AA178" s="281"/>
      <c r="AB178" s="281"/>
      <c r="AC178" s="281"/>
      <c r="AD178" s="281"/>
    </row>
    <row r="179" hidden="1">
      <c r="A179" s="281"/>
      <c r="B179" s="281"/>
      <c r="C179" s="281"/>
      <c r="D179" s="281"/>
      <c r="E179" s="281"/>
      <c r="F179" s="281"/>
      <c r="G179" s="281"/>
      <c r="H179" s="282"/>
      <c r="I179" s="283"/>
      <c r="J179" s="282"/>
      <c r="K179" s="281"/>
      <c r="L179" s="281"/>
      <c r="M179" s="281"/>
      <c r="N179" s="281"/>
      <c r="O179" s="281"/>
      <c r="P179" s="463"/>
      <c r="Q179" s="281"/>
      <c r="R179" s="281"/>
      <c r="S179" s="281"/>
      <c r="T179" s="281"/>
      <c r="U179" s="281"/>
      <c r="V179" s="281"/>
      <c r="W179" s="281"/>
      <c r="X179" s="281"/>
      <c r="Y179" s="281"/>
      <c r="Z179" s="281"/>
      <c r="AA179" s="281"/>
      <c r="AB179" s="281"/>
      <c r="AC179" s="281"/>
      <c r="AD179" s="281"/>
    </row>
    <row r="180" hidden="1">
      <c r="A180" s="281"/>
      <c r="B180" s="281"/>
      <c r="C180" s="281"/>
      <c r="D180" s="281"/>
      <c r="E180" s="281"/>
      <c r="F180" s="281"/>
      <c r="G180" s="281"/>
      <c r="H180" s="282"/>
      <c r="I180" s="283"/>
      <c r="J180" s="282"/>
      <c r="K180" s="281"/>
      <c r="L180" s="281"/>
      <c r="M180" s="281"/>
      <c r="N180" s="281"/>
      <c r="O180" s="281"/>
      <c r="P180" s="463"/>
      <c r="Q180" s="281"/>
      <c r="R180" s="281"/>
      <c r="S180" s="281"/>
      <c r="T180" s="281"/>
      <c r="U180" s="281"/>
      <c r="V180" s="281"/>
      <c r="W180" s="281"/>
      <c r="X180" s="281"/>
      <c r="Y180" s="281"/>
      <c r="Z180" s="281"/>
      <c r="AA180" s="281"/>
      <c r="AB180" s="281"/>
      <c r="AC180" s="281"/>
      <c r="AD180" s="281"/>
    </row>
    <row r="181" hidden="1">
      <c r="A181" s="281"/>
      <c r="B181" s="281"/>
      <c r="C181" s="281"/>
      <c r="D181" s="281"/>
      <c r="E181" s="281"/>
      <c r="F181" s="281"/>
      <c r="G181" s="281"/>
      <c r="H181" s="282"/>
      <c r="I181" s="283"/>
      <c r="J181" s="282"/>
      <c r="K181" s="281"/>
      <c r="L181" s="281"/>
      <c r="M181" s="281"/>
      <c r="N181" s="281"/>
      <c r="O181" s="281"/>
      <c r="P181" s="463"/>
      <c r="Q181" s="281"/>
      <c r="R181" s="281"/>
      <c r="S181" s="281"/>
      <c r="T181" s="281"/>
      <c r="U181" s="281"/>
      <c r="V181" s="281"/>
      <c r="W181" s="281"/>
      <c r="X181" s="281"/>
      <c r="Y181" s="281"/>
      <c r="Z181" s="281"/>
      <c r="AA181" s="281"/>
      <c r="AB181" s="281"/>
      <c r="AC181" s="281"/>
      <c r="AD181" s="281"/>
    </row>
    <row r="182" hidden="1">
      <c r="A182" s="281"/>
      <c r="B182" s="281"/>
      <c r="C182" s="281"/>
      <c r="D182" s="281"/>
      <c r="E182" s="281"/>
      <c r="F182" s="281"/>
      <c r="G182" s="281"/>
      <c r="H182" s="282"/>
      <c r="I182" s="283"/>
      <c r="J182" s="282"/>
      <c r="K182" s="281"/>
      <c r="L182" s="281"/>
      <c r="M182" s="281"/>
      <c r="N182" s="281"/>
      <c r="O182" s="281"/>
      <c r="P182" s="463"/>
      <c r="Q182" s="281"/>
      <c r="R182" s="281"/>
      <c r="S182" s="281"/>
      <c r="T182" s="281"/>
      <c r="U182" s="281"/>
      <c r="V182" s="281"/>
      <c r="W182" s="281"/>
      <c r="X182" s="281"/>
      <c r="Y182" s="281"/>
      <c r="Z182" s="281"/>
      <c r="AA182" s="281"/>
      <c r="AB182" s="281"/>
      <c r="AC182" s="281"/>
      <c r="AD182" s="281"/>
    </row>
    <row r="183" hidden="1">
      <c r="A183" s="281"/>
      <c r="B183" s="281"/>
      <c r="C183" s="281"/>
      <c r="D183" s="281"/>
      <c r="E183" s="281"/>
      <c r="F183" s="281"/>
      <c r="G183" s="281"/>
      <c r="H183" s="282"/>
      <c r="I183" s="283"/>
      <c r="J183" s="282"/>
      <c r="K183" s="281"/>
      <c r="L183" s="281"/>
      <c r="M183" s="281"/>
      <c r="N183" s="281"/>
      <c r="O183" s="281"/>
      <c r="P183" s="463"/>
      <c r="Q183" s="281"/>
      <c r="R183" s="281"/>
      <c r="S183" s="281"/>
      <c r="T183" s="281"/>
      <c r="U183" s="281"/>
      <c r="V183" s="281"/>
      <c r="W183" s="281"/>
      <c r="X183" s="281"/>
      <c r="Y183" s="281"/>
      <c r="Z183" s="281"/>
      <c r="AA183" s="281"/>
      <c r="AB183" s="281"/>
      <c r="AC183" s="281"/>
      <c r="AD183" s="281"/>
    </row>
    <row r="184" hidden="1">
      <c r="A184" s="281"/>
      <c r="B184" s="281"/>
      <c r="C184" s="281"/>
      <c r="D184" s="281"/>
      <c r="E184" s="281"/>
      <c r="F184" s="281"/>
      <c r="G184" s="281"/>
      <c r="H184" s="282"/>
      <c r="I184" s="283"/>
      <c r="J184" s="282"/>
      <c r="K184" s="281"/>
      <c r="L184" s="281"/>
      <c r="M184" s="281"/>
      <c r="N184" s="281"/>
      <c r="O184" s="281"/>
      <c r="P184" s="463"/>
      <c r="Q184" s="281"/>
      <c r="R184" s="281"/>
      <c r="S184" s="281"/>
      <c r="T184" s="281"/>
      <c r="U184" s="281"/>
      <c r="V184" s="281"/>
      <c r="W184" s="281"/>
      <c r="X184" s="281"/>
      <c r="Y184" s="281"/>
      <c r="Z184" s="281"/>
      <c r="AA184" s="281"/>
      <c r="AB184" s="281"/>
      <c r="AC184" s="281"/>
      <c r="AD184" s="281"/>
    </row>
    <row r="185" hidden="1">
      <c r="A185" s="281"/>
      <c r="B185" s="281"/>
      <c r="C185" s="281"/>
      <c r="D185" s="281"/>
      <c r="E185" s="281"/>
      <c r="F185" s="281"/>
      <c r="G185" s="281"/>
      <c r="H185" s="282"/>
      <c r="I185" s="283"/>
      <c r="J185" s="282"/>
      <c r="K185" s="281"/>
      <c r="L185" s="281"/>
      <c r="M185" s="281"/>
      <c r="N185" s="281"/>
      <c r="O185" s="281"/>
      <c r="P185" s="463"/>
      <c r="Q185" s="281"/>
      <c r="R185" s="281"/>
      <c r="S185" s="281"/>
      <c r="T185" s="281"/>
      <c r="U185" s="281"/>
      <c r="V185" s="281"/>
      <c r="W185" s="281"/>
      <c r="X185" s="281"/>
      <c r="Y185" s="281"/>
      <c r="Z185" s="281"/>
      <c r="AA185" s="281"/>
      <c r="AB185" s="281"/>
      <c r="AC185" s="281"/>
      <c r="AD185" s="281"/>
    </row>
    <row r="186" hidden="1">
      <c r="A186" s="281"/>
      <c r="B186" s="281"/>
      <c r="C186" s="281"/>
      <c r="D186" s="281"/>
      <c r="E186" s="281"/>
      <c r="F186" s="281"/>
      <c r="G186" s="281"/>
      <c r="H186" s="282"/>
      <c r="I186" s="283"/>
      <c r="J186" s="282"/>
      <c r="K186" s="281"/>
      <c r="L186" s="281"/>
      <c r="M186" s="281"/>
      <c r="N186" s="281"/>
      <c r="O186" s="281"/>
      <c r="P186" s="463"/>
      <c r="Q186" s="281"/>
      <c r="R186" s="281"/>
      <c r="S186" s="281"/>
      <c r="T186" s="281"/>
      <c r="U186" s="281"/>
      <c r="V186" s="281"/>
      <c r="W186" s="281"/>
      <c r="X186" s="281"/>
      <c r="Y186" s="281"/>
      <c r="Z186" s="281"/>
      <c r="AA186" s="281"/>
      <c r="AB186" s="281"/>
      <c r="AC186" s="281"/>
      <c r="AD186" s="281"/>
    </row>
    <row r="187">
      <c r="A187" s="281"/>
      <c r="B187" s="281"/>
      <c r="C187" s="281"/>
      <c r="D187" s="281"/>
      <c r="E187" s="281"/>
      <c r="F187" s="281"/>
      <c r="G187" s="281"/>
      <c r="H187" s="282"/>
      <c r="I187" s="283"/>
      <c r="J187" s="282"/>
      <c r="K187" s="281"/>
      <c r="L187" s="281"/>
      <c r="M187" s="281"/>
      <c r="N187" s="281"/>
      <c r="O187" s="281"/>
      <c r="P187" s="463"/>
      <c r="Q187" s="281"/>
      <c r="R187" s="281"/>
      <c r="S187" s="281"/>
      <c r="T187" s="281"/>
      <c r="U187" s="281"/>
      <c r="V187" s="281"/>
      <c r="W187" s="281"/>
      <c r="X187" s="281"/>
      <c r="Y187" s="281"/>
      <c r="Z187" s="281"/>
      <c r="AA187" s="281"/>
      <c r="AB187" s="281"/>
      <c r="AC187" s="281"/>
      <c r="AD187" s="281"/>
    </row>
    <row r="188">
      <c r="A188" s="281"/>
      <c r="B188" s="281"/>
      <c r="C188" s="281"/>
      <c r="D188" s="281"/>
      <c r="E188" s="281"/>
      <c r="F188" s="281"/>
      <c r="G188" s="281"/>
      <c r="H188" s="282"/>
      <c r="I188" s="283"/>
      <c r="J188" s="282"/>
      <c r="K188" s="281"/>
      <c r="L188" s="281"/>
      <c r="M188" s="281"/>
      <c r="N188" s="281"/>
      <c r="O188" s="281"/>
      <c r="P188" s="463"/>
      <c r="Q188" s="281"/>
      <c r="R188" s="281"/>
      <c r="S188" s="281"/>
      <c r="T188" s="281"/>
      <c r="U188" s="281"/>
      <c r="V188" s="281"/>
      <c r="W188" s="281"/>
      <c r="X188" s="281"/>
      <c r="Y188" s="281"/>
      <c r="Z188" s="281"/>
      <c r="AA188" s="281"/>
      <c r="AB188" s="281"/>
      <c r="AC188" s="281"/>
      <c r="AD188" s="281"/>
    </row>
    <row r="189">
      <c r="A189" s="462" t="s">
        <v>309</v>
      </c>
      <c r="B189" s="463"/>
      <c r="C189" s="463"/>
      <c r="D189" s="463"/>
      <c r="E189" s="463"/>
      <c r="F189" s="281"/>
      <c r="G189" s="281"/>
      <c r="H189" s="282"/>
      <c r="I189" s="283"/>
      <c r="J189" s="282"/>
      <c r="K189" s="281"/>
      <c r="L189" s="281"/>
      <c r="M189" s="281"/>
      <c r="N189" s="281"/>
      <c r="O189" s="281"/>
      <c r="P189" s="463"/>
      <c r="Q189" s="281"/>
      <c r="R189" s="281"/>
      <c r="S189" s="281"/>
      <c r="T189" s="281"/>
      <c r="U189" s="281"/>
      <c r="V189" s="281"/>
      <c r="W189" s="281"/>
      <c r="X189" s="281"/>
      <c r="Y189" s="281"/>
      <c r="Z189" s="281"/>
      <c r="AA189" s="281"/>
      <c r="AB189" s="281"/>
      <c r="AC189" s="281"/>
      <c r="AD189" s="281"/>
    </row>
    <row r="190">
      <c r="A190" s="464" t="s">
        <v>310</v>
      </c>
      <c r="B190" s="463"/>
      <c r="C190" s="463"/>
      <c r="D190" s="463"/>
      <c r="E190" s="463"/>
      <c r="F190" s="281"/>
      <c r="G190" s="281"/>
      <c r="H190" s="282"/>
      <c r="I190" s="283"/>
      <c r="J190" s="282"/>
      <c r="K190" s="281"/>
      <c r="L190" s="281"/>
      <c r="M190" s="281"/>
      <c r="N190" s="281"/>
      <c r="O190" s="281"/>
      <c r="P190" s="463"/>
      <c r="Q190" s="281"/>
      <c r="R190" s="281"/>
      <c r="S190" s="281"/>
      <c r="T190" s="281"/>
      <c r="U190" s="281"/>
      <c r="V190" s="281"/>
      <c r="W190" s="281"/>
      <c r="X190" s="281"/>
      <c r="Y190" s="281"/>
      <c r="Z190" s="281"/>
      <c r="AA190" s="281"/>
      <c r="AB190" s="281"/>
      <c r="AC190" s="281"/>
      <c r="AD190" s="281"/>
    </row>
    <row r="191">
      <c r="A191" s="464" t="s">
        <v>311</v>
      </c>
      <c r="B191" s="463"/>
      <c r="C191" s="463"/>
      <c r="D191" s="463"/>
      <c r="E191" s="463"/>
      <c r="F191" s="281"/>
      <c r="G191" s="281"/>
      <c r="H191" s="282"/>
      <c r="I191" s="283"/>
      <c r="J191" s="282"/>
      <c r="K191" s="281"/>
      <c r="L191" s="281"/>
      <c r="M191" s="281"/>
      <c r="N191" s="281"/>
      <c r="O191" s="281"/>
      <c r="P191" s="463"/>
      <c r="Q191" s="281"/>
      <c r="R191" s="281"/>
      <c r="S191" s="281"/>
      <c r="T191" s="281"/>
      <c r="U191" s="281"/>
      <c r="V191" s="281"/>
      <c r="W191" s="281"/>
      <c r="X191" s="281"/>
      <c r="Y191" s="281"/>
      <c r="Z191" s="281"/>
      <c r="AA191" s="281"/>
      <c r="AB191" s="281"/>
      <c r="AC191" s="281"/>
      <c r="AD191" s="281"/>
    </row>
    <row r="192">
      <c r="A192" s="464" t="s">
        <v>312</v>
      </c>
      <c r="B192" s="463"/>
      <c r="C192" s="463"/>
      <c r="D192" s="463"/>
      <c r="E192" s="463"/>
      <c r="F192" s="281"/>
      <c r="G192" s="281"/>
      <c r="H192" s="282"/>
      <c r="I192" s="283"/>
      <c r="J192" s="282"/>
      <c r="K192" s="281"/>
      <c r="L192" s="281"/>
      <c r="M192" s="281"/>
      <c r="N192" s="281"/>
      <c r="O192" s="281"/>
      <c r="P192" s="463"/>
      <c r="Q192" s="281"/>
      <c r="R192" s="281"/>
      <c r="S192" s="281"/>
      <c r="T192" s="281"/>
      <c r="U192" s="281"/>
      <c r="V192" s="281"/>
      <c r="W192" s="281"/>
      <c r="X192" s="281"/>
      <c r="Y192" s="281"/>
      <c r="Z192" s="281"/>
      <c r="AA192" s="281"/>
      <c r="AB192" s="281"/>
      <c r="AC192" s="281"/>
      <c r="AD192" s="281"/>
    </row>
    <row r="193">
      <c r="A193" s="464" t="s">
        <v>313</v>
      </c>
      <c r="B193" s="463"/>
      <c r="C193" s="463"/>
      <c r="D193" s="463"/>
      <c r="E193" s="463"/>
      <c r="F193" s="281"/>
      <c r="G193" s="281"/>
      <c r="H193" s="282"/>
      <c r="I193" s="283"/>
      <c r="J193" s="282"/>
      <c r="K193" s="281"/>
      <c r="L193" s="281"/>
      <c r="M193" s="281"/>
      <c r="N193" s="281"/>
      <c r="O193" s="281"/>
      <c r="P193" s="463"/>
      <c r="Q193" s="281"/>
      <c r="R193" s="281"/>
      <c r="S193" s="281"/>
      <c r="T193" s="281"/>
      <c r="U193" s="281"/>
      <c r="V193" s="281"/>
      <c r="W193" s="281"/>
      <c r="X193" s="281"/>
      <c r="Y193" s="281"/>
      <c r="Z193" s="281"/>
      <c r="AA193" s="281"/>
      <c r="AB193" s="281"/>
      <c r="AC193" s="281"/>
      <c r="AD193" s="281"/>
    </row>
    <row r="194">
      <c r="A194" s="464" t="s">
        <v>314</v>
      </c>
      <c r="B194" s="463"/>
      <c r="C194" s="463"/>
      <c r="D194" s="463"/>
      <c r="E194" s="463"/>
      <c r="F194" s="281"/>
      <c r="G194" s="281"/>
      <c r="H194" s="282"/>
      <c r="I194" s="283"/>
      <c r="J194" s="282"/>
      <c r="K194" s="281"/>
      <c r="L194" s="281"/>
      <c r="M194" s="281"/>
      <c r="N194" s="281"/>
      <c r="O194" s="281"/>
      <c r="P194" s="463"/>
      <c r="Q194" s="281"/>
      <c r="R194" s="281"/>
      <c r="S194" s="281"/>
      <c r="T194" s="281"/>
      <c r="U194" s="281"/>
      <c r="V194" s="281"/>
      <c r="W194" s="281"/>
      <c r="X194" s="281"/>
      <c r="Y194" s="281"/>
      <c r="Z194" s="281"/>
      <c r="AA194" s="281"/>
      <c r="AB194" s="281"/>
      <c r="AC194" s="281"/>
      <c r="AD194" s="281"/>
    </row>
    <row r="195">
      <c r="A195" s="464" t="s">
        <v>315</v>
      </c>
      <c r="B195" s="463"/>
      <c r="C195" s="463"/>
      <c r="D195" s="463"/>
      <c r="E195" s="463"/>
      <c r="F195" s="281"/>
      <c r="G195" s="281"/>
      <c r="H195" s="282"/>
      <c r="I195" s="283"/>
      <c r="J195" s="282"/>
      <c r="K195" s="281"/>
      <c r="L195" s="281"/>
      <c r="M195" s="281"/>
      <c r="N195" s="281"/>
      <c r="O195" s="281"/>
      <c r="P195" s="463"/>
      <c r="Q195" s="281"/>
      <c r="R195" s="281"/>
      <c r="S195" s="281"/>
      <c r="T195" s="281"/>
      <c r="U195" s="281"/>
      <c r="V195" s="281"/>
      <c r="W195" s="281"/>
      <c r="X195" s="281"/>
      <c r="Y195" s="281"/>
      <c r="Z195" s="281"/>
      <c r="AA195" s="281"/>
      <c r="AB195" s="281"/>
      <c r="AC195" s="281"/>
      <c r="AD195" s="281"/>
    </row>
    <row r="196">
      <c r="A196" s="464" t="s">
        <v>316</v>
      </c>
      <c r="B196" s="463"/>
      <c r="C196" s="463"/>
      <c r="D196" s="463"/>
      <c r="E196" s="463"/>
      <c r="F196" s="281"/>
      <c r="G196" s="281"/>
      <c r="H196" s="282"/>
      <c r="I196" s="283"/>
      <c r="J196" s="282"/>
      <c r="K196" s="281"/>
      <c r="L196" s="281"/>
      <c r="M196" s="281"/>
      <c r="N196" s="281"/>
      <c r="O196" s="281"/>
      <c r="P196" s="463"/>
      <c r="Q196" s="281"/>
      <c r="R196" s="281"/>
      <c r="S196" s="281"/>
      <c r="T196" s="281"/>
      <c r="U196" s="281"/>
      <c r="V196" s="281"/>
      <c r="W196" s="281"/>
      <c r="X196" s="281"/>
      <c r="Y196" s="281"/>
      <c r="Z196" s="281"/>
      <c r="AA196" s="281"/>
      <c r="AB196" s="281"/>
      <c r="AC196" s="281"/>
      <c r="AD196" s="281"/>
    </row>
    <row r="197">
      <c r="A197" s="464" t="s">
        <v>317</v>
      </c>
      <c r="B197" s="463"/>
      <c r="C197" s="463"/>
      <c r="D197" s="463"/>
      <c r="E197" s="463"/>
      <c r="F197" s="281"/>
      <c r="G197" s="281"/>
      <c r="H197" s="282"/>
      <c r="I197" s="283"/>
      <c r="J197" s="282"/>
      <c r="K197" s="281"/>
      <c r="L197" s="281"/>
      <c r="M197" s="281"/>
      <c r="N197" s="281"/>
      <c r="O197" s="281"/>
      <c r="P197" s="463"/>
      <c r="Q197" s="281"/>
      <c r="R197" s="281"/>
      <c r="S197" s="281"/>
      <c r="T197" s="281"/>
      <c r="U197" s="281"/>
      <c r="V197" s="281"/>
      <c r="W197" s="281"/>
      <c r="X197" s="281"/>
      <c r="Y197" s="281"/>
      <c r="Z197" s="281"/>
      <c r="AA197" s="281"/>
      <c r="AB197" s="281"/>
      <c r="AC197" s="281"/>
      <c r="AD197" s="281"/>
    </row>
    <row r="198">
      <c r="A198" s="464" t="s">
        <v>318</v>
      </c>
      <c r="B198" s="463"/>
      <c r="C198" s="463"/>
      <c r="D198" s="463"/>
      <c r="E198" s="463"/>
      <c r="F198" s="281"/>
      <c r="G198" s="281"/>
      <c r="H198" s="282"/>
      <c r="I198" s="283"/>
      <c r="J198" s="282"/>
      <c r="K198" s="281"/>
      <c r="L198" s="281"/>
      <c r="M198" s="281"/>
      <c r="N198" s="281"/>
      <c r="O198" s="281"/>
      <c r="P198" s="463"/>
      <c r="Q198" s="281"/>
      <c r="R198" s="281"/>
      <c r="S198" s="281"/>
      <c r="T198" s="281"/>
      <c r="U198" s="281"/>
      <c r="V198" s="281"/>
      <c r="W198" s="281"/>
      <c r="X198" s="281"/>
      <c r="Y198" s="281"/>
      <c r="Z198" s="281"/>
      <c r="AA198" s="281"/>
      <c r="AB198" s="281"/>
      <c r="AC198" s="281"/>
      <c r="AD198" s="281"/>
    </row>
    <row r="199">
      <c r="A199" s="464" t="s">
        <v>319</v>
      </c>
      <c r="B199" s="463"/>
      <c r="C199" s="463"/>
      <c r="D199" s="463"/>
      <c r="E199" s="463"/>
      <c r="F199" s="281"/>
      <c r="G199" s="281"/>
      <c r="H199" s="282"/>
      <c r="I199" s="283"/>
      <c r="J199" s="282"/>
      <c r="K199" s="281"/>
      <c r="L199" s="281"/>
      <c r="M199" s="281"/>
      <c r="N199" s="281"/>
      <c r="O199" s="281"/>
      <c r="P199" s="463"/>
      <c r="Q199" s="281"/>
      <c r="R199" s="281"/>
      <c r="S199" s="281"/>
      <c r="T199" s="281"/>
      <c r="U199" s="281"/>
      <c r="V199" s="281"/>
      <c r="W199" s="281"/>
      <c r="X199" s="281"/>
      <c r="Y199" s="281"/>
      <c r="Z199" s="281"/>
      <c r="AA199" s="281"/>
      <c r="AB199" s="281"/>
      <c r="AC199" s="281"/>
      <c r="AD199" s="281"/>
    </row>
    <row r="200">
      <c r="A200" s="464" t="s">
        <v>320</v>
      </c>
      <c r="B200" s="463"/>
      <c r="C200" s="463"/>
      <c r="D200" s="463"/>
      <c r="E200" s="463"/>
      <c r="F200" s="281"/>
      <c r="G200" s="281"/>
      <c r="H200" s="282"/>
      <c r="I200" s="283"/>
      <c r="J200" s="282"/>
      <c r="K200" s="281"/>
      <c r="L200" s="281"/>
      <c r="M200" s="281"/>
      <c r="N200" s="281"/>
      <c r="O200" s="281"/>
      <c r="P200" s="463"/>
      <c r="Q200" s="281"/>
      <c r="R200" s="281"/>
      <c r="S200" s="281"/>
      <c r="T200" s="281"/>
      <c r="U200" s="281"/>
      <c r="V200" s="281"/>
      <c r="W200" s="281"/>
      <c r="X200" s="281"/>
      <c r="Y200" s="281"/>
      <c r="Z200" s="281"/>
      <c r="AA200" s="281"/>
      <c r="AB200" s="281"/>
      <c r="AC200" s="281"/>
      <c r="AD200" s="281"/>
    </row>
    <row r="201">
      <c r="A201" s="464" t="s">
        <v>321</v>
      </c>
      <c r="B201" s="463"/>
      <c r="C201" s="463"/>
      <c r="D201" s="463"/>
      <c r="E201" s="463"/>
      <c r="F201" s="281"/>
      <c r="G201" s="281"/>
      <c r="H201" s="282"/>
      <c r="I201" s="283"/>
      <c r="J201" s="282"/>
      <c r="K201" s="281"/>
      <c r="L201" s="281"/>
      <c r="M201" s="281"/>
      <c r="N201" s="281"/>
      <c r="O201" s="281"/>
      <c r="P201" s="463"/>
      <c r="Q201" s="281"/>
      <c r="R201" s="281"/>
      <c r="S201" s="281"/>
      <c r="T201" s="281"/>
      <c r="U201" s="281"/>
      <c r="V201" s="281"/>
      <c r="W201" s="281"/>
      <c r="X201" s="281"/>
      <c r="Y201" s="281"/>
      <c r="Z201" s="281"/>
      <c r="AA201" s="281"/>
      <c r="AB201" s="281"/>
      <c r="AC201" s="281"/>
      <c r="AD201" s="281"/>
    </row>
    <row r="202">
      <c r="A202" s="465" t="s">
        <v>322</v>
      </c>
      <c r="B202" s="466"/>
      <c r="C202" s="466"/>
      <c r="D202" s="466"/>
      <c r="E202" s="466"/>
      <c r="F202" s="467"/>
      <c r="G202" s="467"/>
      <c r="H202" s="468"/>
      <c r="I202" s="469"/>
      <c r="J202" s="468"/>
      <c r="K202" s="467"/>
      <c r="L202" s="297"/>
      <c r="M202" s="297"/>
      <c r="N202" s="297"/>
      <c r="O202" s="297"/>
      <c r="P202" s="527"/>
      <c r="Q202" s="297"/>
      <c r="R202" s="297"/>
      <c r="S202" s="297"/>
      <c r="T202" s="297"/>
      <c r="U202" s="297"/>
      <c r="V202" s="297"/>
      <c r="W202" s="297"/>
      <c r="X202" s="297"/>
      <c r="Y202" s="297"/>
      <c r="Z202" s="281"/>
      <c r="AA202" s="281"/>
      <c r="AB202" s="281"/>
      <c r="AC202" s="281"/>
      <c r="AD202" s="281"/>
    </row>
    <row r="203">
      <c r="A203" s="470" t="s">
        <v>323</v>
      </c>
      <c r="B203" s="471"/>
      <c r="C203" s="471"/>
      <c r="D203" s="471"/>
      <c r="E203" s="471"/>
      <c r="F203" s="471"/>
      <c r="G203" s="471"/>
      <c r="H203" s="472"/>
      <c r="I203" s="473"/>
      <c r="J203" s="472"/>
      <c r="K203" s="471"/>
      <c r="L203" s="297"/>
      <c r="M203" s="297"/>
      <c r="N203" s="297"/>
      <c r="O203" s="297"/>
      <c r="P203" s="527"/>
      <c r="Q203" s="297"/>
      <c r="R203" s="297"/>
      <c r="S203" s="297"/>
      <c r="T203" s="297"/>
      <c r="U203" s="297"/>
      <c r="V203" s="297"/>
      <c r="W203" s="297"/>
      <c r="X203" s="297"/>
      <c r="Y203" s="297"/>
      <c r="Z203" s="297"/>
      <c r="AA203" s="297"/>
      <c r="AB203" s="297"/>
      <c r="AC203" s="297"/>
      <c r="AD203" s="297"/>
    </row>
    <row r="204">
      <c r="A204" s="413">
        <v>1.0</v>
      </c>
      <c r="B204" s="474"/>
      <c r="C204" s="475" t="s">
        <v>324</v>
      </c>
      <c r="D204" s="476" t="s">
        <v>325</v>
      </c>
      <c r="E204" s="474"/>
      <c r="F204" s="413" t="s">
        <v>326</v>
      </c>
      <c r="G204" s="476" t="s">
        <v>289</v>
      </c>
      <c r="H204" s="409">
        <v>125000.0</v>
      </c>
      <c r="I204" s="453" t="s">
        <v>16</v>
      </c>
      <c r="J204" s="415">
        <f t="shared" ref="J204:J210" si="42">H204*I204</f>
        <v>125000</v>
      </c>
      <c r="K204" s="409" t="s">
        <v>327</v>
      </c>
      <c r="L204" s="297"/>
      <c r="M204" s="297"/>
      <c r="N204" s="297"/>
      <c r="O204" s="297"/>
      <c r="P204" s="527"/>
      <c r="Q204" s="297"/>
      <c r="R204" s="297"/>
      <c r="S204" s="297"/>
      <c r="T204" s="297"/>
      <c r="U204" s="297"/>
      <c r="V204" s="297"/>
      <c r="W204" s="297"/>
      <c r="X204" s="297"/>
      <c r="Y204" s="297"/>
      <c r="Z204" s="297"/>
      <c r="AA204" s="297"/>
      <c r="AB204" s="297"/>
      <c r="AC204" s="297"/>
      <c r="AD204" s="297"/>
    </row>
    <row r="205">
      <c r="A205" s="413">
        <v>2.0</v>
      </c>
      <c r="B205" s="474"/>
      <c r="C205" s="475" t="s">
        <v>328</v>
      </c>
      <c r="D205" s="476"/>
      <c r="E205" s="474"/>
      <c r="F205" s="413" t="s">
        <v>326</v>
      </c>
      <c r="G205" s="476" t="s">
        <v>289</v>
      </c>
      <c r="H205" s="409">
        <v>25000.0</v>
      </c>
      <c r="I205" s="453" t="s">
        <v>18</v>
      </c>
      <c r="J205" s="415">
        <f t="shared" si="42"/>
        <v>50000</v>
      </c>
      <c r="K205" s="409" t="s">
        <v>327</v>
      </c>
      <c r="L205" s="297"/>
      <c r="M205" s="297"/>
      <c r="N205" s="297"/>
      <c r="O205" s="297"/>
      <c r="P205" s="527"/>
      <c r="Q205" s="297"/>
      <c r="R205" s="297"/>
      <c r="S205" s="297"/>
      <c r="T205" s="297"/>
      <c r="U205" s="297"/>
      <c r="V205" s="297"/>
      <c r="W205" s="297"/>
      <c r="X205" s="297"/>
      <c r="Y205" s="297"/>
      <c r="Z205" s="297"/>
      <c r="AA205" s="297"/>
      <c r="AB205" s="297"/>
      <c r="AC205" s="297"/>
      <c r="AD205" s="297"/>
    </row>
    <row r="206">
      <c r="A206" s="413">
        <v>2.0</v>
      </c>
      <c r="B206" s="474"/>
      <c r="C206" s="475" t="s">
        <v>640</v>
      </c>
      <c r="D206" s="476"/>
      <c r="E206" s="474"/>
      <c r="F206" s="413" t="s">
        <v>326</v>
      </c>
      <c r="G206" s="476" t="s">
        <v>289</v>
      </c>
      <c r="H206" s="409">
        <v>40000.0</v>
      </c>
      <c r="I206" s="453" t="s">
        <v>16</v>
      </c>
      <c r="J206" s="415">
        <f t="shared" si="42"/>
        <v>40000</v>
      </c>
      <c r="K206" s="409" t="s">
        <v>327</v>
      </c>
      <c r="L206" s="297"/>
      <c r="M206" s="297"/>
      <c r="N206" s="297"/>
      <c r="O206" s="297"/>
      <c r="P206" s="527"/>
      <c r="Q206" s="297"/>
      <c r="R206" s="297"/>
      <c r="S206" s="297"/>
      <c r="T206" s="297"/>
      <c r="U206" s="297"/>
      <c r="V206" s="297"/>
      <c r="W206" s="297"/>
      <c r="X206" s="297"/>
      <c r="Y206" s="297"/>
      <c r="Z206" s="297"/>
      <c r="AA206" s="297"/>
      <c r="AB206" s="297"/>
      <c r="AC206" s="297"/>
      <c r="AD206" s="297"/>
    </row>
    <row r="207">
      <c r="A207" s="413">
        <v>4.0</v>
      </c>
      <c r="B207" s="474"/>
      <c r="C207" s="411" t="s">
        <v>329</v>
      </c>
      <c r="D207" s="476"/>
      <c r="E207" s="474"/>
      <c r="F207" s="413" t="s">
        <v>326</v>
      </c>
      <c r="G207" s="476" t="s">
        <v>641</v>
      </c>
      <c r="H207" s="409">
        <v>20000.0</v>
      </c>
      <c r="I207" s="446" t="s">
        <v>16</v>
      </c>
      <c r="J207" s="415">
        <f t="shared" si="42"/>
        <v>20000</v>
      </c>
      <c r="K207" s="409" t="s">
        <v>330</v>
      </c>
      <c r="L207" s="297"/>
      <c r="M207" s="297"/>
      <c r="N207" s="297"/>
      <c r="O207" s="297"/>
      <c r="P207" s="527"/>
      <c r="Q207" s="297"/>
      <c r="R207" s="297"/>
      <c r="S207" s="297"/>
      <c r="T207" s="297"/>
      <c r="U207" s="297"/>
      <c r="V207" s="297"/>
      <c r="W207" s="297"/>
      <c r="X207" s="297"/>
      <c r="Y207" s="297"/>
      <c r="Z207" s="297"/>
      <c r="AA207" s="297"/>
      <c r="AB207" s="297"/>
      <c r="AC207" s="297"/>
      <c r="AD207" s="297"/>
    </row>
    <row r="208">
      <c r="A208" s="413">
        <v>4.0</v>
      </c>
      <c r="B208" s="474"/>
      <c r="C208" s="411" t="s">
        <v>331</v>
      </c>
      <c r="D208" s="476"/>
      <c r="E208" s="474"/>
      <c r="F208" s="413" t="s">
        <v>326</v>
      </c>
      <c r="G208" s="476" t="s">
        <v>641</v>
      </c>
      <c r="H208" s="409">
        <v>10000.0</v>
      </c>
      <c r="I208" s="446" t="s">
        <v>18</v>
      </c>
      <c r="J208" s="415">
        <f t="shared" si="42"/>
        <v>20000</v>
      </c>
      <c r="K208" s="409" t="s">
        <v>330</v>
      </c>
      <c r="L208" s="297"/>
      <c r="M208" s="297"/>
      <c r="N208" s="297"/>
      <c r="O208" s="297"/>
      <c r="P208" s="527"/>
      <c r="Q208" s="297"/>
      <c r="R208" s="297"/>
      <c r="S208" s="297"/>
      <c r="T208" s="297"/>
      <c r="U208" s="297"/>
      <c r="V208" s="297"/>
      <c r="W208" s="297"/>
      <c r="X208" s="297"/>
      <c r="Y208" s="297"/>
      <c r="Z208" s="297"/>
      <c r="AA208" s="297"/>
      <c r="AB208" s="297"/>
      <c r="AC208" s="297"/>
      <c r="AD208" s="297"/>
    </row>
    <row r="209">
      <c r="A209" s="413">
        <v>5.0</v>
      </c>
      <c r="B209" s="474"/>
      <c r="C209" s="475" t="s">
        <v>332</v>
      </c>
      <c r="D209" s="476" t="s">
        <v>333</v>
      </c>
      <c r="E209" s="474"/>
      <c r="F209" s="413" t="s">
        <v>326</v>
      </c>
      <c r="G209" s="476" t="s">
        <v>641</v>
      </c>
      <c r="H209" s="409">
        <v>80000.0</v>
      </c>
      <c r="I209" s="453" t="s">
        <v>16</v>
      </c>
      <c r="J209" s="415">
        <f t="shared" si="42"/>
        <v>80000</v>
      </c>
      <c r="K209" s="409" t="s">
        <v>330</v>
      </c>
      <c r="L209" s="297"/>
      <c r="M209" s="297"/>
      <c r="N209" s="297"/>
      <c r="O209" s="297"/>
      <c r="P209" s="527"/>
      <c r="Q209" s="297"/>
      <c r="R209" s="297"/>
      <c r="S209" s="297"/>
      <c r="T209" s="297"/>
      <c r="U209" s="297"/>
      <c r="V209" s="297"/>
      <c r="W209" s="297"/>
      <c r="X209" s="297"/>
      <c r="Y209" s="297"/>
      <c r="Z209" s="297"/>
      <c r="AA209" s="297"/>
      <c r="AB209" s="297"/>
      <c r="AC209" s="297"/>
      <c r="AD209" s="297"/>
    </row>
    <row r="210">
      <c r="A210" s="413">
        <v>6.0</v>
      </c>
      <c r="B210" s="474"/>
      <c r="C210" s="413" t="s">
        <v>334</v>
      </c>
      <c r="D210" s="413" t="s">
        <v>335</v>
      </c>
      <c r="E210" s="474"/>
      <c r="F210" s="413" t="s">
        <v>326</v>
      </c>
      <c r="G210" s="476" t="s">
        <v>641</v>
      </c>
      <c r="H210" s="409">
        <v>10000.0</v>
      </c>
      <c r="I210" s="422" t="s">
        <v>18</v>
      </c>
      <c r="J210" s="415">
        <f t="shared" si="42"/>
        <v>20000</v>
      </c>
      <c r="K210" s="409" t="s">
        <v>336</v>
      </c>
      <c r="L210" s="297"/>
      <c r="M210" s="297"/>
      <c r="N210" s="297"/>
      <c r="O210" s="297"/>
      <c r="P210" s="527"/>
      <c r="Q210" s="297"/>
      <c r="R210" s="297"/>
      <c r="S210" s="297"/>
      <c r="T210" s="297"/>
      <c r="U210" s="297"/>
      <c r="V210" s="297"/>
      <c r="W210" s="297"/>
      <c r="X210" s="297"/>
      <c r="Y210" s="297"/>
      <c r="Z210" s="297"/>
      <c r="AA210" s="297"/>
      <c r="AB210" s="297"/>
      <c r="AC210" s="297"/>
      <c r="AD210" s="297"/>
    </row>
    <row r="211">
      <c r="A211" s="477"/>
      <c r="B211" s="474"/>
      <c r="C211" s="474"/>
      <c r="D211" s="474"/>
      <c r="E211" s="474"/>
      <c r="F211" s="474"/>
      <c r="G211" s="474"/>
      <c r="H211" s="409"/>
      <c r="I211" s="478" t="s">
        <v>125</v>
      </c>
      <c r="J211" s="479">
        <f>SUM(J204:J210)</f>
        <v>355000</v>
      </c>
      <c r="K211" s="474"/>
      <c r="L211" s="297"/>
      <c r="M211" s="297"/>
      <c r="N211" s="297"/>
      <c r="O211" s="297"/>
      <c r="P211" s="527"/>
      <c r="Q211" s="297"/>
      <c r="R211" s="297"/>
      <c r="S211" s="297"/>
      <c r="T211" s="297"/>
      <c r="U211" s="297"/>
      <c r="V211" s="297"/>
      <c r="W211" s="297"/>
      <c r="X211" s="297"/>
      <c r="Y211" s="297"/>
      <c r="Z211" s="297"/>
      <c r="AA211" s="297"/>
      <c r="AB211" s="297"/>
      <c r="AC211" s="297"/>
      <c r="AD211" s="297"/>
    </row>
    <row r="212">
      <c r="A212" s="424" t="s">
        <v>337</v>
      </c>
      <c r="B212" s="323"/>
      <c r="C212" s="323"/>
      <c r="D212" s="323"/>
      <c r="E212" s="323"/>
      <c r="F212" s="323"/>
      <c r="G212" s="323"/>
      <c r="H212" s="324"/>
      <c r="I212" s="460"/>
      <c r="J212" s="461"/>
      <c r="K212" s="323"/>
      <c r="L212" s="281"/>
      <c r="M212" s="281"/>
      <c r="N212" s="281"/>
      <c r="O212" s="281"/>
      <c r="P212" s="463"/>
      <c r="Q212" s="281"/>
      <c r="R212" s="281"/>
      <c r="S212" s="281"/>
      <c r="T212" s="281"/>
      <c r="U212" s="281"/>
      <c r="V212" s="281"/>
      <c r="W212" s="281"/>
      <c r="X212" s="281"/>
      <c r="Y212" s="281"/>
      <c r="Z212" s="281"/>
      <c r="AA212" s="281"/>
      <c r="AB212" s="281"/>
      <c r="AC212" s="281"/>
      <c r="AD212" s="281"/>
    </row>
    <row r="213">
      <c r="A213" s="419">
        <v>1.0</v>
      </c>
      <c r="B213" s="457"/>
      <c r="C213" s="413" t="s">
        <v>338</v>
      </c>
      <c r="D213" s="480"/>
      <c r="E213" s="480"/>
      <c r="F213" s="480"/>
      <c r="G213" s="481" t="s">
        <v>339</v>
      </c>
      <c r="H213" s="482">
        <v>200000.0</v>
      </c>
      <c r="I213" s="453" t="s">
        <v>16</v>
      </c>
      <c r="J213" s="483">
        <f>(H213*I213)</f>
        <v>200000</v>
      </c>
      <c r="K213" s="62" t="s">
        <v>145</v>
      </c>
      <c r="L213" s="281"/>
      <c r="M213" s="281"/>
      <c r="N213" s="281"/>
      <c r="O213" s="281"/>
      <c r="P213" s="463"/>
      <c r="Q213" s="281"/>
      <c r="R213" s="281"/>
      <c r="S213" s="281"/>
      <c r="T213" s="281"/>
      <c r="U213" s="281"/>
      <c r="V213" s="281"/>
      <c r="W213" s="281"/>
      <c r="X213" s="281"/>
      <c r="Y213" s="281"/>
      <c r="Z213" s="281"/>
      <c r="AA213" s="281"/>
      <c r="AB213" s="281"/>
      <c r="AC213" s="281"/>
      <c r="AD213" s="281"/>
    </row>
    <row r="214">
      <c r="A214" s="419">
        <v>2.0</v>
      </c>
      <c r="B214" s="147"/>
      <c r="C214" s="485" t="s">
        <v>340</v>
      </c>
      <c r="D214" s="484" t="s">
        <v>341</v>
      </c>
      <c r="E214" s="147"/>
      <c r="F214" s="147"/>
      <c r="G214" s="485" t="s">
        <v>175</v>
      </c>
      <c r="H214" s="486">
        <v>120.0</v>
      </c>
      <c r="I214" s="487">
        <f>I30+I34</f>
        <v>1207.5</v>
      </c>
      <c r="J214" s="155">
        <f t="shared" ref="J214:J215" si="43">H214*I214</f>
        <v>144900</v>
      </c>
      <c r="K214" s="484" t="s">
        <v>343</v>
      </c>
      <c r="L214" s="148"/>
      <c r="M214" s="148"/>
      <c r="N214" s="148"/>
      <c r="O214" s="148"/>
      <c r="P214" s="522"/>
      <c r="Q214" s="148"/>
      <c r="R214" s="148"/>
      <c r="S214" s="148"/>
      <c r="T214" s="148"/>
      <c r="U214" s="148"/>
      <c r="V214" s="148"/>
      <c r="W214" s="148"/>
      <c r="X214" s="148"/>
      <c r="Y214" s="148"/>
      <c r="Z214" s="148"/>
      <c r="AA214" s="148"/>
      <c r="AB214" s="148"/>
      <c r="AC214" s="148"/>
      <c r="AD214" s="148"/>
    </row>
    <row r="215">
      <c r="A215" s="419">
        <v>3.0</v>
      </c>
      <c r="B215" s="147"/>
      <c r="C215" s="485" t="s">
        <v>345</v>
      </c>
      <c r="D215" s="484" t="s">
        <v>346</v>
      </c>
      <c r="E215" s="488" t="s">
        <v>347</v>
      </c>
      <c r="F215" s="147"/>
      <c r="G215" s="485" t="s">
        <v>175</v>
      </c>
      <c r="H215" s="486">
        <v>400.0</v>
      </c>
      <c r="I215" s="487" t="s">
        <v>348</v>
      </c>
      <c r="J215" s="155">
        <f t="shared" si="43"/>
        <v>40000</v>
      </c>
      <c r="K215" s="484" t="s">
        <v>349</v>
      </c>
      <c r="L215" s="148"/>
      <c r="M215" s="148"/>
      <c r="N215" s="148"/>
      <c r="O215" s="148"/>
      <c r="P215" s="522"/>
      <c r="Q215" s="148"/>
      <c r="R215" s="148"/>
      <c r="S215" s="148"/>
      <c r="T215" s="148"/>
      <c r="U215" s="148"/>
      <c r="V215" s="148"/>
      <c r="W215" s="148"/>
      <c r="X215" s="148"/>
      <c r="Y215" s="148"/>
      <c r="Z215" s="148"/>
      <c r="AA215" s="148"/>
      <c r="AB215" s="148"/>
      <c r="AC215" s="148"/>
      <c r="AD215" s="148"/>
    </row>
    <row r="216">
      <c r="A216" s="419">
        <v>4.0</v>
      </c>
      <c r="B216" s="489"/>
      <c r="C216" s="397" t="s">
        <v>350</v>
      </c>
      <c r="D216" s="490" t="s">
        <v>351</v>
      </c>
      <c r="E216" s="491" t="s">
        <v>352</v>
      </c>
      <c r="F216" s="492" t="s">
        <v>353</v>
      </c>
      <c r="G216" s="396">
        <v>400.0</v>
      </c>
      <c r="H216" s="493"/>
      <c r="I216" s="494">
        <f>I38+20</f>
        <v>42</v>
      </c>
      <c r="J216" s="495">
        <f>I216*G216</f>
        <v>16800</v>
      </c>
      <c r="K216" s="403" t="s">
        <v>354</v>
      </c>
      <c r="L216" s="496"/>
      <c r="M216" s="346"/>
      <c r="N216" s="346"/>
      <c r="O216" s="346"/>
      <c r="P216" s="516"/>
      <c r="Q216" s="346"/>
      <c r="R216" s="346"/>
      <c r="S216" s="346"/>
      <c r="T216" s="346"/>
      <c r="U216" s="346"/>
      <c r="V216" s="346"/>
      <c r="W216" s="346"/>
      <c r="X216" s="346"/>
      <c r="Y216" s="346"/>
      <c r="Z216" s="346"/>
      <c r="AA216" s="346"/>
      <c r="AB216" s="346"/>
      <c r="AC216" s="346"/>
      <c r="AD216" s="346"/>
    </row>
    <row r="217">
      <c r="A217" s="419">
        <v>5.0</v>
      </c>
      <c r="B217" s="497"/>
      <c r="C217" s="498" t="s">
        <v>355</v>
      </c>
      <c r="D217" s="532" t="s">
        <v>356</v>
      </c>
      <c r="E217" s="497"/>
      <c r="F217" s="497"/>
      <c r="G217" s="500" t="s">
        <v>339</v>
      </c>
      <c r="H217" s="501">
        <v>250000.0</v>
      </c>
      <c r="I217" s="421" t="s">
        <v>16</v>
      </c>
      <c r="J217" s="483">
        <f t="shared" ref="J217:J224" si="44">(H217*I217)</f>
        <v>250000</v>
      </c>
      <c r="K217" s="484" t="s">
        <v>357</v>
      </c>
      <c r="L217" s="148"/>
      <c r="M217" s="148"/>
      <c r="N217" s="148"/>
      <c r="O217" s="148"/>
      <c r="P217" s="522"/>
      <c r="Q217" s="148"/>
      <c r="R217" s="148"/>
      <c r="S217" s="148"/>
      <c r="T217" s="148"/>
      <c r="U217" s="148"/>
      <c r="V217" s="148"/>
      <c r="W217" s="148"/>
      <c r="X217" s="148"/>
      <c r="Y217" s="148"/>
      <c r="Z217" s="148"/>
      <c r="AA217" s="148"/>
      <c r="AB217" s="148"/>
      <c r="AC217" s="148"/>
      <c r="AD217" s="148"/>
    </row>
    <row r="218">
      <c r="A218" s="419">
        <v>6.0</v>
      </c>
      <c r="B218" s="497"/>
      <c r="C218" s="498" t="s">
        <v>649</v>
      </c>
      <c r="D218" s="502"/>
      <c r="E218" s="497"/>
      <c r="F218" s="497"/>
      <c r="G218" s="500" t="s">
        <v>339</v>
      </c>
      <c r="H218" s="503">
        <v>75000.0</v>
      </c>
      <c r="I218" s="504" t="s">
        <v>18</v>
      </c>
      <c r="J218" s="505">
        <f t="shared" si="44"/>
        <v>150000</v>
      </c>
      <c r="K218" s="484" t="s">
        <v>360</v>
      </c>
      <c r="L218" s="148"/>
      <c r="M218" s="148"/>
      <c r="N218" s="148"/>
      <c r="O218" s="148"/>
      <c r="P218" s="522"/>
      <c r="Q218" s="148"/>
      <c r="R218" s="148"/>
      <c r="S218" s="148"/>
      <c r="T218" s="148"/>
      <c r="U218" s="148"/>
      <c r="V218" s="148"/>
      <c r="W218" s="148"/>
      <c r="X218" s="148"/>
      <c r="Y218" s="148"/>
      <c r="Z218" s="148"/>
      <c r="AA218" s="148"/>
      <c r="AB218" s="148"/>
      <c r="AC218" s="148"/>
      <c r="AD218" s="148"/>
    </row>
    <row r="219">
      <c r="A219" s="419">
        <v>7.0</v>
      </c>
      <c r="B219" s="497"/>
      <c r="C219" s="498" t="s">
        <v>650</v>
      </c>
      <c r="D219" s="502"/>
      <c r="E219" s="497"/>
      <c r="F219" s="497"/>
      <c r="G219" s="500" t="s">
        <v>339</v>
      </c>
      <c r="H219" s="503">
        <v>50000.0</v>
      </c>
      <c r="I219" s="504" t="s">
        <v>27</v>
      </c>
      <c r="J219" s="505">
        <f t="shared" si="44"/>
        <v>200000</v>
      </c>
      <c r="K219" s="484" t="s">
        <v>361</v>
      </c>
      <c r="L219" s="148"/>
      <c r="M219" s="148"/>
      <c r="N219" s="148"/>
      <c r="O219" s="148"/>
      <c r="P219" s="522"/>
      <c r="Q219" s="148"/>
      <c r="R219" s="148"/>
      <c r="S219" s="148"/>
      <c r="T219" s="148"/>
      <c r="U219" s="148"/>
      <c r="V219" s="148"/>
      <c r="W219" s="148"/>
      <c r="X219" s="148"/>
      <c r="Y219" s="148"/>
      <c r="Z219" s="148"/>
      <c r="AA219" s="148"/>
      <c r="AB219" s="148"/>
      <c r="AC219" s="148"/>
      <c r="AD219" s="148"/>
    </row>
    <row r="220">
      <c r="A220" s="419">
        <v>8.0</v>
      </c>
      <c r="B220" s="497"/>
      <c r="C220" s="498" t="s">
        <v>651</v>
      </c>
      <c r="D220" s="502"/>
      <c r="E220" s="497"/>
      <c r="F220" s="497"/>
      <c r="G220" s="500" t="s">
        <v>339</v>
      </c>
      <c r="H220" s="501">
        <v>25000.0</v>
      </c>
      <c r="I220" s="421" t="s">
        <v>27</v>
      </c>
      <c r="J220" s="483">
        <f t="shared" si="44"/>
        <v>100000</v>
      </c>
      <c r="K220" s="484" t="s">
        <v>361</v>
      </c>
      <c r="L220" s="148"/>
      <c r="M220" s="148"/>
      <c r="N220" s="148"/>
      <c r="O220" s="148"/>
      <c r="P220" s="522"/>
      <c r="Q220" s="148"/>
      <c r="R220" s="148"/>
      <c r="S220" s="148"/>
      <c r="T220" s="148"/>
      <c r="U220" s="148"/>
      <c r="V220" s="148"/>
      <c r="W220" s="148"/>
      <c r="X220" s="148"/>
      <c r="Y220" s="148"/>
      <c r="Z220" s="148"/>
      <c r="AA220" s="148"/>
      <c r="AB220" s="148"/>
      <c r="AC220" s="148"/>
      <c r="AD220" s="148"/>
    </row>
    <row r="221">
      <c r="A221" s="419">
        <v>9.0</v>
      </c>
      <c r="B221" s="457"/>
      <c r="C221" s="419" t="s">
        <v>363</v>
      </c>
      <c r="D221" s="474"/>
      <c r="E221" s="474"/>
      <c r="F221" s="474"/>
      <c r="G221" s="500" t="s">
        <v>339</v>
      </c>
      <c r="H221" s="501">
        <v>200000.0</v>
      </c>
      <c r="I221" s="421" t="s">
        <v>16</v>
      </c>
      <c r="J221" s="483">
        <f t="shared" si="44"/>
        <v>200000</v>
      </c>
      <c r="K221" s="62" t="s">
        <v>145</v>
      </c>
      <c r="L221" s="281"/>
      <c r="M221" s="281"/>
      <c r="N221" s="281"/>
      <c r="O221" s="281"/>
      <c r="P221" s="463"/>
      <c r="Q221" s="281"/>
      <c r="R221" s="281"/>
      <c r="S221" s="281"/>
      <c r="T221" s="281"/>
      <c r="U221" s="281"/>
      <c r="V221" s="281"/>
      <c r="W221" s="281"/>
      <c r="X221" s="281"/>
      <c r="Y221" s="281"/>
      <c r="Z221" s="281"/>
      <c r="AA221" s="281"/>
      <c r="AB221" s="281"/>
      <c r="AC221" s="281"/>
      <c r="AD221" s="281"/>
    </row>
    <row r="222">
      <c r="A222" s="419">
        <v>10.0</v>
      </c>
      <c r="B222" s="457"/>
      <c r="C222" s="419" t="s">
        <v>364</v>
      </c>
      <c r="D222" s="500" t="s">
        <v>653</v>
      </c>
      <c r="E222" s="474"/>
      <c r="F222" s="474"/>
      <c r="G222" s="500" t="s">
        <v>339</v>
      </c>
      <c r="H222" s="501">
        <v>300000.0</v>
      </c>
      <c r="I222" s="421" t="s">
        <v>16</v>
      </c>
      <c r="J222" s="483">
        <f t="shared" si="44"/>
        <v>300000</v>
      </c>
      <c r="K222" s="62" t="s">
        <v>145</v>
      </c>
      <c r="L222" s="507"/>
      <c r="M222" s="281"/>
      <c r="N222" s="281"/>
      <c r="O222" s="281"/>
      <c r="P222" s="463"/>
      <c r="Q222" s="281"/>
      <c r="R222" s="281"/>
      <c r="S222" s="281"/>
      <c r="T222" s="281"/>
      <c r="U222" s="281"/>
      <c r="V222" s="281"/>
      <c r="W222" s="281"/>
      <c r="X222" s="281"/>
      <c r="Y222" s="281"/>
      <c r="Z222" s="281"/>
      <c r="AA222" s="281"/>
      <c r="AB222" s="281"/>
      <c r="AC222" s="281"/>
      <c r="AD222" s="281"/>
    </row>
    <row r="223">
      <c r="A223" s="419">
        <v>11.0</v>
      </c>
      <c r="B223" s="457"/>
      <c r="C223" s="413" t="s">
        <v>365</v>
      </c>
      <c r="D223" s="480"/>
      <c r="E223" s="480"/>
      <c r="F223" s="508" t="s">
        <v>366</v>
      </c>
      <c r="G223" s="476" t="s">
        <v>367</v>
      </c>
      <c r="H223" s="482">
        <v>800.0</v>
      </c>
      <c r="I223" s="453" t="s">
        <v>368</v>
      </c>
      <c r="J223" s="483">
        <f t="shared" si="44"/>
        <v>49600</v>
      </c>
      <c r="K223" s="62" t="s">
        <v>369</v>
      </c>
      <c r="L223" s="281"/>
      <c r="M223" s="281"/>
      <c r="N223" s="281"/>
      <c r="O223" s="281"/>
      <c r="P223" s="463"/>
      <c r="Q223" s="281"/>
      <c r="R223" s="281"/>
      <c r="S223" s="281"/>
      <c r="T223" s="281"/>
      <c r="U223" s="281"/>
      <c r="V223" s="281"/>
      <c r="W223" s="281"/>
      <c r="X223" s="281"/>
      <c r="Y223" s="281"/>
      <c r="Z223" s="281"/>
      <c r="AA223" s="281"/>
      <c r="AB223" s="281"/>
      <c r="AC223" s="281"/>
      <c r="AD223" s="281"/>
    </row>
    <row r="224">
      <c r="A224" s="419">
        <v>12.0</v>
      </c>
      <c r="B224" s="457"/>
      <c r="C224" s="413" t="s">
        <v>370</v>
      </c>
      <c r="D224" s="480"/>
      <c r="E224" s="480"/>
      <c r="F224" s="508"/>
      <c r="G224" s="476" t="s">
        <v>339</v>
      </c>
      <c r="H224" s="482">
        <v>5000.0</v>
      </c>
      <c r="I224" s="453" t="s">
        <v>32</v>
      </c>
      <c r="J224" s="483">
        <f t="shared" si="44"/>
        <v>30000</v>
      </c>
      <c r="K224" s="62" t="s">
        <v>371</v>
      </c>
      <c r="L224" s="281"/>
      <c r="M224" s="281"/>
      <c r="N224" s="281"/>
      <c r="O224" s="281"/>
      <c r="P224" s="463"/>
      <c r="Q224" s="281"/>
      <c r="R224" s="281"/>
      <c r="S224" s="281"/>
      <c r="T224" s="281"/>
      <c r="U224" s="281"/>
      <c r="V224" s="281"/>
      <c r="W224" s="281"/>
      <c r="X224" s="281"/>
      <c r="Y224" s="281"/>
      <c r="Z224" s="281"/>
      <c r="AA224" s="281"/>
      <c r="AB224" s="281"/>
      <c r="AC224" s="281"/>
      <c r="AD224" s="281"/>
    </row>
    <row r="225">
      <c r="A225" s="484"/>
      <c r="B225" s="457"/>
      <c r="C225" s="457"/>
      <c r="D225" s="457"/>
      <c r="E225" s="457"/>
      <c r="F225" s="457"/>
      <c r="G225" s="457"/>
      <c r="H225" s="415"/>
      <c r="I225" s="369" t="s">
        <v>125</v>
      </c>
      <c r="J225" s="479">
        <f>SUM(J213:J223)</f>
        <v>1651300</v>
      </c>
      <c r="K225" s="67"/>
      <c r="L225" s="281"/>
      <c r="M225" s="281"/>
      <c r="N225" s="281"/>
      <c r="O225" s="281"/>
      <c r="P225" s="463"/>
      <c r="Q225" s="281"/>
      <c r="R225" s="281"/>
      <c r="S225" s="281"/>
      <c r="T225" s="281"/>
      <c r="U225" s="281"/>
      <c r="V225" s="281"/>
      <c r="W225" s="281"/>
      <c r="X225" s="281"/>
      <c r="Y225" s="281"/>
      <c r="Z225" s="281"/>
      <c r="AA225" s="281"/>
      <c r="AB225" s="281"/>
      <c r="AC225" s="281"/>
      <c r="AD225" s="281"/>
    </row>
    <row r="226">
      <c r="A226" s="281"/>
      <c r="B226" s="281"/>
      <c r="C226" s="281"/>
      <c r="D226" s="281"/>
      <c r="E226" s="281"/>
      <c r="F226" s="281"/>
      <c r="G226" s="281"/>
      <c r="H226" s="282"/>
      <c r="I226" s="283"/>
      <c r="J226" s="282"/>
      <c r="K226" s="281"/>
      <c r="L226" s="281"/>
      <c r="M226" s="281"/>
      <c r="N226" s="281"/>
      <c r="O226" s="281"/>
      <c r="P226" s="463"/>
      <c r="Q226" s="281"/>
      <c r="R226" s="281"/>
      <c r="S226" s="281"/>
      <c r="T226" s="281"/>
      <c r="U226" s="281"/>
      <c r="V226" s="281"/>
      <c r="W226" s="281"/>
      <c r="X226" s="281"/>
      <c r="Y226" s="281"/>
      <c r="Z226" s="281"/>
      <c r="AA226" s="281"/>
      <c r="AB226" s="281"/>
      <c r="AC226" s="281"/>
      <c r="AD226" s="281"/>
    </row>
    <row r="227">
      <c r="A227" s="281"/>
      <c r="B227" s="281"/>
      <c r="C227" s="295"/>
      <c r="D227" s="297"/>
      <c r="E227" s="295"/>
      <c r="F227" s="297"/>
      <c r="G227" s="281"/>
      <c r="H227" s="282"/>
      <c r="I227" s="283"/>
      <c r="J227" s="282"/>
      <c r="K227" s="281"/>
      <c r="L227" s="281"/>
      <c r="M227" s="281"/>
      <c r="N227" s="281"/>
      <c r="O227" s="281"/>
      <c r="P227" s="463"/>
      <c r="Q227" s="281"/>
      <c r="R227" s="281"/>
      <c r="S227" s="281"/>
      <c r="T227" s="281"/>
      <c r="U227" s="281"/>
      <c r="V227" s="281"/>
      <c r="W227" s="281"/>
      <c r="X227" s="281"/>
      <c r="Y227" s="281"/>
      <c r="Z227" s="281"/>
      <c r="AA227" s="281"/>
      <c r="AB227" s="281"/>
      <c r="AC227" s="281"/>
      <c r="AD227" s="281"/>
    </row>
    <row r="228">
      <c r="A228" s="281"/>
      <c r="B228" s="281"/>
      <c r="C228" s="427"/>
      <c r="D228" s="297"/>
      <c r="E228" s="295"/>
      <c r="F228" s="297"/>
      <c r="G228" s="281"/>
      <c r="H228" s="282"/>
      <c r="I228" s="283"/>
      <c r="J228" s="282"/>
      <c r="K228" s="281"/>
      <c r="L228" s="281"/>
      <c r="M228" s="281"/>
      <c r="N228" s="281"/>
      <c r="O228" s="281"/>
      <c r="P228" s="463"/>
      <c r="Q228" s="281"/>
      <c r="R228" s="281"/>
      <c r="S228" s="281"/>
      <c r="T228" s="281"/>
      <c r="U228" s="281"/>
      <c r="V228" s="281"/>
      <c r="W228" s="281"/>
      <c r="X228" s="281"/>
      <c r="Y228" s="281"/>
      <c r="Z228" s="281"/>
      <c r="AA228" s="281"/>
      <c r="AB228" s="281"/>
      <c r="AC228" s="281"/>
      <c r="AD228" s="281"/>
    </row>
    <row r="229">
      <c r="A229" s="281"/>
      <c r="B229" s="281"/>
      <c r="C229" s="295"/>
      <c r="D229" s="297"/>
      <c r="E229" s="295"/>
      <c r="F229" s="297"/>
      <c r="G229" s="281"/>
      <c r="H229" s="282"/>
      <c r="I229" s="283"/>
      <c r="J229" s="282"/>
      <c r="K229" s="281"/>
      <c r="L229" s="281"/>
      <c r="M229" s="281"/>
      <c r="N229" s="281"/>
      <c r="O229" s="281"/>
      <c r="P229" s="463"/>
      <c r="Q229" s="281"/>
      <c r="R229" s="281"/>
      <c r="S229" s="281"/>
      <c r="T229" s="281"/>
      <c r="U229" s="281"/>
      <c r="V229" s="281"/>
      <c r="W229" s="281"/>
      <c r="X229" s="281"/>
      <c r="Y229" s="281"/>
      <c r="Z229" s="281"/>
      <c r="AA229" s="281"/>
      <c r="AB229" s="281"/>
      <c r="AC229" s="281"/>
      <c r="AD229" s="281"/>
    </row>
    <row r="230">
      <c r="A230" s="281"/>
      <c r="B230" s="281"/>
      <c r="C230" s="295"/>
      <c r="D230" s="297"/>
      <c r="E230" s="295"/>
      <c r="F230" s="297"/>
      <c r="G230" s="281"/>
      <c r="H230" s="282"/>
      <c r="I230" s="283"/>
      <c r="J230" s="282"/>
      <c r="K230" s="281"/>
      <c r="L230" s="281"/>
      <c r="M230" s="281"/>
      <c r="N230" s="281"/>
      <c r="O230" s="281"/>
      <c r="P230" s="463"/>
      <c r="Q230" s="281"/>
      <c r="R230" s="281"/>
      <c r="S230" s="281"/>
      <c r="T230" s="281"/>
      <c r="U230" s="281"/>
      <c r="V230" s="281"/>
      <c r="W230" s="281"/>
      <c r="X230" s="281"/>
      <c r="Y230" s="281"/>
      <c r="Z230" s="281"/>
      <c r="AA230" s="281"/>
      <c r="AB230" s="281"/>
      <c r="AC230" s="281"/>
      <c r="AD230" s="281"/>
    </row>
    <row r="231">
      <c r="A231" s="281"/>
      <c r="B231" s="281"/>
      <c r="C231" s="297"/>
      <c r="D231" s="297"/>
      <c r="E231" s="295"/>
      <c r="F231" s="297"/>
      <c r="G231" s="281"/>
      <c r="H231" s="282"/>
      <c r="I231" s="283"/>
      <c r="J231" s="282"/>
      <c r="K231" s="281"/>
      <c r="L231" s="281"/>
      <c r="M231" s="281"/>
      <c r="N231" s="281"/>
      <c r="O231" s="281"/>
      <c r="P231" s="463"/>
      <c r="Q231" s="281"/>
      <c r="R231" s="281"/>
      <c r="S231" s="281"/>
      <c r="T231" s="281"/>
      <c r="U231" s="281"/>
      <c r="V231" s="281"/>
      <c r="W231" s="281"/>
      <c r="X231" s="281"/>
      <c r="Y231" s="281"/>
      <c r="Z231" s="281"/>
      <c r="AA231" s="281"/>
      <c r="AB231" s="281"/>
      <c r="AC231" s="281"/>
      <c r="AD231" s="281"/>
    </row>
    <row r="232">
      <c r="A232" s="281"/>
      <c r="B232" s="281"/>
      <c r="C232" s="297"/>
      <c r="D232" s="297"/>
      <c r="E232" s="295"/>
      <c r="F232" s="297"/>
      <c r="G232" s="281"/>
      <c r="H232" s="282"/>
      <c r="I232" s="283"/>
      <c r="J232" s="282"/>
      <c r="K232" s="281"/>
      <c r="L232" s="281"/>
      <c r="M232" s="281"/>
      <c r="N232" s="281"/>
      <c r="O232" s="281"/>
      <c r="P232" s="463"/>
      <c r="Q232" s="281"/>
      <c r="R232" s="281"/>
      <c r="S232" s="281"/>
      <c r="T232" s="281"/>
      <c r="U232" s="281"/>
      <c r="V232" s="281"/>
      <c r="W232" s="281"/>
      <c r="X232" s="281"/>
      <c r="Y232" s="281"/>
      <c r="Z232" s="281"/>
      <c r="AA232" s="281"/>
      <c r="AB232" s="281"/>
      <c r="AC232" s="281"/>
      <c r="AD232" s="281"/>
    </row>
    <row r="233">
      <c r="A233" s="281"/>
      <c r="B233" s="281"/>
      <c r="C233" s="297"/>
      <c r="D233" s="297"/>
      <c r="E233" s="297"/>
      <c r="F233" s="297"/>
      <c r="G233" s="281"/>
      <c r="H233" s="282"/>
      <c r="I233" s="283"/>
      <c r="J233" s="282"/>
      <c r="K233" s="281"/>
      <c r="L233" s="281"/>
      <c r="M233" s="281"/>
      <c r="N233" s="281"/>
      <c r="O233" s="281"/>
      <c r="P233" s="463"/>
      <c r="Q233" s="281"/>
      <c r="R233" s="281"/>
      <c r="S233" s="281"/>
      <c r="T233" s="281"/>
      <c r="U233" s="281"/>
      <c r="V233" s="281"/>
      <c r="W233" s="281"/>
      <c r="X233" s="281"/>
      <c r="Y233" s="281"/>
      <c r="Z233" s="281"/>
      <c r="AA233" s="281"/>
      <c r="AB233" s="281"/>
      <c r="AC233" s="281"/>
      <c r="AD233" s="281"/>
    </row>
    <row r="234">
      <c r="A234" s="281"/>
      <c r="B234" s="281"/>
      <c r="C234" s="295"/>
      <c r="D234" s="297"/>
      <c r="E234" s="295"/>
      <c r="F234" s="297"/>
      <c r="G234" s="281"/>
      <c r="H234" s="282"/>
      <c r="I234" s="283"/>
      <c r="J234" s="282"/>
      <c r="K234" s="281"/>
      <c r="L234" s="281"/>
      <c r="M234" s="281"/>
      <c r="N234" s="281"/>
      <c r="O234" s="281"/>
      <c r="P234" s="463"/>
      <c r="Q234" s="281"/>
      <c r="R234" s="281"/>
      <c r="S234" s="281"/>
      <c r="T234" s="281"/>
      <c r="U234" s="281"/>
      <c r="V234" s="281"/>
      <c r="W234" s="281"/>
      <c r="X234" s="281"/>
      <c r="Y234" s="281"/>
      <c r="Z234" s="281"/>
      <c r="AA234" s="281"/>
      <c r="AB234" s="281"/>
      <c r="AC234" s="281"/>
      <c r="AD234" s="281"/>
    </row>
    <row r="235">
      <c r="A235" s="281"/>
      <c r="B235" s="281"/>
      <c r="C235" s="295"/>
      <c r="D235" s="297"/>
      <c r="E235" s="295"/>
      <c r="F235" s="297"/>
      <c r="G235" s="281"/>
      <c r="H235" s="282"/>
      <c r="I235" s="283"/>
      <c r="J235" s="282"/>
      <c r="K235" s="281"/>
      <c r="L235" s="281"/>
      <c r="M235" s="281"/>
      <c r="N235" s="281"/>
      <c r="O235" s="281"/>
      <c r="P235" s="463"/>
      <c r="Q235" s="281"/>
      <c r="R235" s="281"/>
      <c r="S235" s="281"/>
      <c r="T235" s="281"/>
      <c r="U235" s="281"/>
      <c r="V235" s="281"/>
      <c r="W235" s="281"/>
      <c r="X235" s="281"/>
      <c r="Y235" s="281"/>
      <c r="Z235" s="281"/>
      <c r="AA235" s="281"/>
      <c r="AB235" s="281"/>
      <c r="AC235" s="281"/>
      <c r="AD235" s="281"/>
    </row>
    <row r="236">
      <c r="A236" s="281"/>
      <c r="B236" s="281"/>
      <c r="C236" s="297"/>
      <c r="D236" s="297"/>
      <c r="E236" s="295"/>
      <c r="F236" s="297"/>
      <c r="G236" s="281"/>
      <c r="H236" s="282"/>
      <c r="I236" s="283"/>
      <c r="J236" s="282"/>
      <c r="K236" s="281"/>
      <c r="L236" s="281"/>
      <c r="M236" s="281"/>
      <c r="N236" s="281"/>
      <c r="O236" s="281"/>
      <c r="P236" s="463"/>
      <c r="Q236" s="281"/>
      <c r="R236" s="281"/>
      <c r="S236" s="281"/>
      <c r="T236" s="281"/>
      <c r="U236" s="281"/>
      <c r="V236" s="281"/>
      <c r="W236" s="281"/>
      <c r="X236" s="281"/>
      <c r="Y236" s="281"/>
      <c r="Z236" s="281"/>
      <c r="AA236" s="281"/>
      <c r="AB236" s="281"/>
      <c r="AC236" s="281"/>
      <c r="AD236" s="281"/>
    </row>
    <row r="237">
      <c r="A237" s="281"/>
      <c r="B237" s="281"/>
      <c r="C237" s="297"/>
      <c r="D237" s="297"/>
      <c r="E237" s="295"/>
      <c r="F237" s="297"/>
      <c r="G237" s="281"/>
      <c r="H237" s="282"/>
      <c r="I237" s="283"/>
      <c r="J237" s="282"/>
      <c r="K237" s="281"/>
      <c r="L237" s="281"/>
      <c r="M237" s="281"/>
      <c r="N237" s="281"/>
      <c r="O237" s="281"/>
      <c r="P237" s="463"/>
      <c r="Q237" s="281"/>
      <c r="R237" s="281"/>
      <c r="S237" s="281"/>
      <c r="T237" s="281"/>
      <c r="U237" s="281"/>
      <c r="V237" s="281"/>
      <c r="W237" s="281"/>
      <c r="X237" s="281"/>
      <c r="Y237" s="281"/>
      <c r="Z237" s="281"/>
      <c r="AA237" s="281"/>
      <c r="AB237" s="281"/>
      <c r="AC237" s="281"/>
      <c r="AD237" s="281"/>
    </row>
    <row r="238">
      <c r="A238" s="281"/>
      <c r="B238" s="281"/>
      <c r="C238" s="297"/>
      <c r="D238" s="297"/>
      <c r="E238" s="295"/>
      <c r="F238" s="297"/>
      <c r="G238" s="281"/>
      <c r="H238" s="282"/>
      <c r="I238" s="283"/>
      <c r="J238" s="282"/>
      <c r="K238" s="281"/>
      <c r="L238" s="281"/>
      <c r="M238" s="281"/>
      <c r="N238" s="281"/>
      <c r="O238" s="281"/>
      <c r="P238" s="463"/>
      <c r="Q238" s="281"/>
      <c r="R238" s="281"/>
      <c r="S238" s="281"/>
      <c r="T238" s="281"/>
      <c r="U238" s="281"/>
      <c r="V238" s="281"/>
      <c r="W238" s="281"/>
      <c r="X238" s="281"/>
      <c r="Y238" s="281"/>
      <c r="Z238" s="281"/>
      <c r="AA238" s="281"/>
      <c r="AB238" s="281"/>
      <c r="AC238" s="281"/>
      <c r="AD238" s="281"/>
    </row>
    <row r="239">
      <c r="A239" s="281"/>
      <c r="B239" s="281"/>
      <c r="C239" s="297"/>
      <c r="D239" s="297"/>
      <c r="E239" s="295"/>
      <c r="F239" s="297"/>
      <c r="G239" s="281"/>
      <c r="H239" s="282"/>
      <c r="I239" s="283"/>
      <c r="J239" s="282"/>
      <c r="K239" s="281"/>
      <c r="L239" s="281"/>
      <c r="M239" s="281"/>
      <c r="N239" s="281"/>
      <c r="O239" s="281"/>
      <c r="P239" s="463"/>
      <c r="Q239" s="281"/>
      <c r="R239" s="281"/>
      <c r="S239" s="281"/>
      <c r="T239" s="281"/>
      <c r="U239" s="281"/>
      <c r="V239" s="281"/>
      <c r="W239" s="281"/>
      <c r="X239" s="281"/>
      <c r="Y239" s="281"/>
      <c r="Z239" s="281"/>
      <c r="AA239" s="281"/>
      <c r="AB239" s="281"/>
      <c r="AC239" s="281"/>
      <c r="AD239" s="281"/>
    </row>
    <row r="240">
      <c r="A240" s="281"/>
      <c r="B240" s="281"/>
      <c r="C240" s="297"/>
      <c r="D240" s="297"/>
      <c r="E240" s="297"/>
      <c r="F240" s="297"/>
      <c r="G240" s="281"/>
      <c r="H240" s="510"/>
      <c r="I240" s="511"/>
      <c r="J240" s="510"/>
      <c r="K240" s="281"/>
      <c r="L240" s="281"/>
      <c r="M240" s="281"/>
      <c r="N240" s="281"/>
      <c r="O240" s="281"/>
      <c r="P240" s="463"/>
      <c r="Q240" s="281"/>
      <c r="R240" s="281"/>
      <c r="S240" s="281"/>
      <c r="T240" s="281"/>
      <c r="U240" s="281"/>
      <c r="V240" s="281"/>
      <c r="W240" s="281"/>
      <c r="X240" s="281"/>
      <c r="Y240" s="281"/>
      <c r="Z240" s="281"/>
      <c r="AA240" s="281"/>
      <c r="AB240" s="281"/>
      <c r="AC240" s="281"/>
      <c r="AD240" s="281"/>
    </row>
  </sheetData>
  <mergeCells count="25">
    <mergeCell ref="A2:K4"/>
    <mergeCell ref="B6:D6"/>
    <mergeCell ref="F6:K6"/>
    <mergeCell ref="B7:D7"/>
    <mergeCell ref="F7:K7"/>
    <mergeCell ref="B8:D8"/>
    <mergeCell ref="F8:K8"/>
    <mergeCell ref="B15:C15"/>
    <mergeCell ref="B16:C16"/>
    <mergeCell ref="B17:C17"/>
    <mergeCell ref="B18:C18"/>
    <mergeCell ref="B19:C19"/>
    <mergeCell ref="B20:C20"/>
    <mergeCell ref="B21:C21"/>
    <mergeCell ref="B22:C22"/>
    <mergeCell ref="G16:I16"/>
    <mergeCell ref="G17:I17"/>
    <mergeCell ref="S17:U17"/>
    <mergeCell ref="A10:D10"/>
    <mergeCell ref="B11:C11"/>
    <mergeCell ref="B12:C12"/>
    <mergeCell ref="B13:C13"/>
    <mergeCell ref="B14:C14"/>
    <mergeCell ref="G14:H14"/>
    <mergeCell ref="G15:I15"/>
  </mergeCells>
  <dataValidations>
    <dataValidation type="list" allowBlank="1" showDropDown="1" showErrorMessage="1" sqref="B26:B38 B41:B42 B47:B48 B53:B58 B62:B75 B77:B82 B84:B86 B88:B96 B98:B109 B111:B121 B123:B132 B134:B137 B139:B141 B143:B145 B147:B149 B151 B154:B157 B160:B162">
      <formula1>'Rate card'!$A$4:$A240</formula1>
    </dataValidation>
    <dataValidation type="list" allowBlank="1" showDropDown="1" showErrorMessage="1" sqref="N82">
      <formula1>"Scope added,Scope removed,Scope changed,Qty ⬆️,Qty ⬇️,Rate ⬆️,Rate ⬇️,Design not finalised"</formula1>
    </dataValidation>
  </dataValidations>
  <hyperlinks>
    <hyperlink r:id="rId1" ref="G10"/>
    <hyperlink r:id="rId2" ref="A12"/>
    <hyperlink r:id="rId3" ref="A24"/>
  </hyperlinks>
  <printOptions horizontalCentered="1"/>
  <pageMargins bottom="0.75" footer="0.0" header="0.0" left="0.25" right="0.25" top="0.75"/>
  <pageSetup fitToHeight="0" paperSize="9" cellComments="atEnd" orientation="landscape" pageOrder="overThenDown"/>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63"/>
    <col customWidth="1" hidden="1" min="2" max="2" width="6.38"/>
    <col customWidth="1" min="3" max="3" width="17.75"/>
    <col customWidth="1" min="4" max="4" width="21.38"/>
    <col customWidth="1" min="5" max="5" width="25.5"/>
    <col customWidth="1" min="6" max="6" width="39.63"/>
    <col hidden="1" min="9" max="10" width="12.63"/>
    <col hidden="1" min="12" max="12" width="12.63"/>
    <col customWidth="1" min="13" max="13" width="20.38"/>
    <col customWidth="1" min="14" max="15" width="17.75"/>
  </cols>
  <sheetData>
    <row r="1">
      <c r="A1" s="67"/>
      <c r="B1" s="67"/>
      <c r="C1" s="67"/>
      <c r="D1" s="67"/>
      <c r="E1" s="67"/>
      <c r="F1" s="67"/>
      <c r="G1" s="67"/>
      <c r="H1" s="79"/>
      <c r="I1" s="77"/>
      <c r="J1" s="79"/>
      <c r="K1" s="533"/>
      <c r="L1" s="79"/>
      <c r="M1" s="67"/>
      <c r="N1" s="67"/>
      <c r="O1" s="67"/>
      <c r="P1" s="67"/>
      <c r="Q1" s="67"/>
      <c r="R1" s="67"/>
      <c r="S1" s="67"/>
      <c r="T1" s="67"/>
      <c r="U1" s="67"/>
      <c r="V1" s="67"/>
      <c r="W1" s="67"/>
      <c r="X1" s="67"/>
      <c r="Y1" s="1"/>
      <c r="Z1" s="1"/>
      <c r="AA1" s="1"/>
      <c r="AB1" s="1"/>
      <c r="AC1" s="1"/>
      <c r="AD1" s="1"/>
      <c r="AE1" s="1"/>
      <c r="AF1" s="1"/>
      <c r="AG1" s="1"/>
      <c r="AH1" s="1"/>
      <c r="AI1" s="1"/>
      <c r="AJ1" s="1"/>
      <c r="AK1" s="1"/>
      <c r="AL1" s="1"/>
      <c r="AM1" s="1"/>
    </row>
    <row r="2">
      <c r="A2" s="5"/>
      <c r="B2" s="6"/>
      <c r="C2" s="6"/>
      <c r="D2" s="6"/>
      <c r="E2" s="6"/>
      <c r="F2" s="6"/>
      <c r="G2" s="6"/>
      <c r="H2" s="6"/>
      <c r="I2" s="6"/>
      <c r="J2" s="6"/>
      <c r="K2" s="6"/>
      <c r="L2" s="6"/>
      <c r="M2" s="7"/>
      <c r="N2" s="67"/>
      <c r="O2" s="67"/>
      <c r="P2" s="67"/>
      <c r="Q2" s="67"/>
      <c r="R2" s="67"/>
      <c r="S2" s="67"/>
      <c r="T2" s="67"/>
      <c r="U2" s="67"/>
      <c r="V2" s="67"/>
      <c r="W2" s="67"/>
      <c r="X2" s="67"/>
      <c r="Y2" s="1"/>
      <c r="Z2" s="1"/>
      <c r="AA2" s="1"/>
      <c r="AB2" s="1"/>
      <c r="AC2" s="1"/>
      <c r="AD2" s="1"/>
      <c r="AE2" s="1"/>
      <c r="AF2" s="1"/>
      <c r="AG2" s="1"/>
      <c r="AH2" s="1"/>
      <c r="AI2" s="1"/>
      <c r="AJ2" s="1"/>
      <c r="AK2" s="1"/>
      <c r="AL2" s="1"/>
      <c r="AM2" s="1"/>
    </row>
    <row r="3">
      <c r="A3" s="8"/>
      <c r="M3" s="9"/>
      <c r="N3" s="67"/>
      <c r="O3" s="67"/>
      <c r="P3" s="67"/>
      <c r="Q3" s="67"/>
      <c r="R3" s="67"/>
      <c r="S3" s="67"/>
      <c r="T3" s="67"/>
      <c r="U3" s="67"/>
      <c r="V3" s="67"/>
      <c r="W3" s="67"/>
      <c r="X3" s="67"/>
      <c r="Y3" s="1"/>
      <c r="Z3" s="1"/>
      <c r="AA3" s="1"/>
      <c r="AB3" s="1"/>
      <c r="AC3" s="1"/>
      <c r="AD3" s="1"/>
      <c r="AE3" s="1"/>
      <c r="AF3" s="1"/>
      <c r="AG3" s="1"/>
      <c r="AH3" s="1"/>
      <c r="AI3" s="1"/>
      <c r="AJ3" s="1"/>
      <c r="AK3" s="1"/>
      <c r="AL3" s="1"/>
      <c r="AM3" s="1"/>
    </row>
    <row r="4">
      <c r="A4" s="10"/>
      <c r="B4" s="11"/>
      <c r="C4" s="11"/>
      <c r="D4" s="11"/>
      <c r="E4" s="11"/>
      <c r="F4" s="11"/>
      <c r="G4" s="11"/>
      <c r="H4" s="11"/>
      <c r="I4" s="11"/>
      <c r="J4" s="11"/>
      <c r="K4" s="11"/>
      <c r="L4" s="11"/>
      <c r="M4" s="12"/>
      <c r="N4" s="67"/>
      <c r="O4" s="67"/>
      <c r="P4" s="67"/>
      <c r="Q4" s="67"/>
      <c r="R4" s="67"/>
      <c r="S4" s="67"/>
      <c r="T4" s="67"/>
      <c r="U4" s="67"/>
      <c r="V4" s="67"/>
      <c r="W4" s="67"/>
      <c r="X4" s="67"/>
      <c r="Y4" s="1"/>
      <c r="Z4" s="1"/>
      <c r="AA4" s="1"/>
      <c r="AB4" s="1"/>
      <c r="AC4" s="1"/>
      <c r="AD4" s="1"/>
      <c r="AE4" s="1"/>
      <c r="AF4" s="1"/>
      <c r="AG4" s="1"/>
      <c r="AH4" s="1"/>
      <c r="AI4" s="1"/>
      <c r="AJ4" s="1"/>
      <c r="AK4" s="1"/>
      <c r="AL4" s="1"/>
      <c r="AM4" s="1"/>
    </row>
    <row r="5">
      <c r="A5" s="67"/>
      <c r="B5" s="67"/>
      <c r="C5" s="67"/>
      <c r="D5" s="67"/>
      <c r="E5" s="67"/>
      <c r="F5" s="67"/>
      <c r="G5" s="67"/>
      <c r="H5" s="79"/>
      <c r="I5" s="77"/>
      <c r="J5" s="79"/>
      <c r="K5" s="533"/>
      <c r="L5" s="79"/>
      <c r="M5" s="67"/>
      <c r="N5" s="67"/>
      <c r="O5" s="67"/>
      <c r="P5" s="67"/>
      <c r="Q5" s="67"/>
      <c r="R5" s="67"/>
      <c r="S5" s="67"/>
      <c r="T5" s="67"/>
      <c r="U5" s="67"/>
      <c r="V5" s="67"/>
      <c r="W5" s="67"/>
      <c r="X5" s="67"/>
      <c r="Y5" s="1"/>
      <c r="Z5" s="1"/>
      <c r="AA5" s="1"/>
      <c r="AB5" s="1"/>
      <c r="AC5" s="1"/>
      <c r="AD5" s="1"/>
      <c r="AE5" s="1"/>
      <c r="AF5" s="1"/>
      <c r="AG5" s="1"/>
      <c r="AH5" s="1"/>
      <c r="AI5" s="1"/>
      <c r="AJ5" s="1"/>
      <c r="AK5" s="1"/>
      <c r="AL5" s="1"/>
      <c r="AM5" s="1"/>
    </row>
    <row r="6">
      <c r="A6" s="14" t="s">
        <v>2</v>
      </c>
      <c r="B6" s="15">
        <v>45730.0</v>
      </c>
      <c r="C6" s="16"/>
      <c r="D6" s="17"/>
      <c r="E6" s="14" t="s">
        <v>3</v>
      </c>
      <c r="F6" s="18"/>
      <c r="G6" s="16"/>
      <c r="H6" s="16"/>
      <c r="I6" s="16"/>
      <c r="J6" s="16"/>
      <c r="K6" s="16"/>
      <c r="L6" s="16"/>
      <c r="M6" s="17"/>
      <c r="N6" s="67"/>
      <c r="O6" s="67"/>
      <c r="P6" s="67"/>
      <c r="Q6" s="67"/>
      <c r="R6" s="67"/>
      <c r="S6" s="67"/>
      <c r="T6" s="67"/>
      <c r="U6" s="67"/>
      <c r="V6" s="67"/>
      <c r="W6" s="67"/>
      <c r="X6" s="67"/>
      <c r="Y6" s="1"/>
      <c r="Z6" s="1"/>
      <c r="AA6" s="1"/>
      <c r="AB6" s="1"/>
      <c r="AC6" s="1"/>
      <c r="AD6" s="1"/>
      <c r="AE6" s="1"/>
      <c r="AF6" s="1"/>
      <c r="AG6" s="1"/>
      <c r="AH6" s="1"/>
      <c r="AI6" s="1"/>
      <c r="AJ6" s="1"/>
      <c r="AK6" s="1"/>
      <c r="AL6" s="1"/>
      <c r="AM6" s="1"/>
    </row>
    <row r="7">
      <c r="A7" s="14" t="s">
        <v>4</v>
      </c>
      <c r="B7" s="18" t="s">
        <v>5</v>
      </c>
      <c r="C7" s="16"/>
      <c r="D7" s="17"/>
      <c r="E7" s="14" t="s">
        <v>6</v>
      </c>
      <c r="F7" s="19">
        <v>0.0</v>
      </c>
      <c r="G7" s="16"/>
      <c r="H7" s="16"/>
      <c r="I7" s="16"/>
      <c r="J7" s="16"/>
      <c r="K7" s="16"/>
      <c r="L7" s="16"/>
      <c r="M7" s="17"/>
      <c r="N7" s="67"/>
      <c r="O7" s="67"/>
      <c r="P7" s="67"/>
      <c r="Q7" s="67"/>
      <c r="R7" s="67"/>
      <c r="S7" s="67"/>
      <c r="T7" s="67"/>
      <c r="U7" s="67"/>
      <c r="V7" s="67"/>
      <c r="W7" s="67"/>
      <c r="X7" s="67"/>
      <c r="Y7" s="1"/>
      <c r="Z7" s="1"/>
      <c r="AA7" s="1"/>
      <c r="AB7" s="1"/>
      <c r="AC7" s="1"/>
      <c r="AD7" s="1"/>
      <c r="AE7" s="1"/>
      <c r="AF7" s="1"/>
      <c r="AG7" s="1"/>
      <c r="AH7" s="1"/>
      <c r="AI7" s="1"/>
      <c r="AJ7" s="1"/>
      <c r="AK7" s="1"/>
      <c r="AL7" s="1"/>
      <c r="AM7" s="1"/>
    </row>
    <row r="8">
      <c r="A8" s="14" t="s">
        <v>7</v>
      </c>
      <c r="B8" s="18" t="s">
        <v>8</v>
      </c>
      <c r="C8" s="16"/>
      <c r="D8" s="17"/>
      <c r="E8" s="14" t="s">
        <v>9</v>
      </c>
      <c r="F8" s="18" t="s">
        <v>10</v>
      </c>
      <c r="G8" s="16"/>
      <c r="H8" s="16"/>
      <c r="I8" s="16"/>
      <c r="J8" s="16"/>
      <c r="K8" s="16"/>
      <c r="L8" s="16"/>
      <c r="M8" s="17"/>
      <c r="N8" s="67"/>
      <c r="O8" s="67"/>
      <c r="P8" s="67"/>
      <c r="Q8" s="67"/>
      <c r="R8" s="67"/>
      <c r="S8" s="67"/>
      <c r="T8" s="67"/>
      <c r="U8" s="67"/>
      <c r="V8" s="67"/>
      <c r="W8" s="67"/>
      <c r="X8" s="67"/>
      <c r="Y8" s="1"/>
      <c r="Z8" s="1"/>
      <c r="AA8" s="1"/>
      <c r="AB8" s="1"/>
      <c r="AC8" s="1"/>
      <c r="AD8" s="1"/>
      <c r="AE8" s="1"/>
      <c r="AF8" s="1"/>
      <c r="AG8" s="1"/>
      <c r="AH8" s="1"/>
      <c r="AI8" s="1"/>
      <c r="AJ8" s="1"/>
      <c r="AK8" s="1"/>
      <c r="AL8" s="1"/>
      <c r="AM8" s="1"/>
    </row>
    <row r="9">
      <c r="A9" s="67"/>
      <c r="B9" s="67"/>
      <c r="C9" s="67"/>
      <c r="D9" s="67"/>
      <c r="E9" s="67"/>
      <c r="F9" s="67"/>
      <c r="G9" s="67"/>
      <c r="H9" s="79"/>
      <c r="I9" s="77"/>
      <c r="J9" s="79"/>
      <c r="K9" s="533"/>
      <c r="L9" s="79"/>
      <c r="M9" s="67"/>
      <c r="N9" s="139"/>
      <c r="O9" s="139"/>
      <c r="P9" s="67"/>
      <c r="Q9" s="67"/>
      <c r="R9" s="67"/>
      <c r="S9" s="67"/>
      <c r="T9" s="67"/>
      <c r="U9" s="67"/>
      <c r="V9" s="67"/>
      <c r="W9" s="67"/>
      <c r="X9" s="67"/>
      <c r="Y9" s="1"/>
      <c r="Z9" s="1"/>
      <c r="AA9" s="1"/>
      <c r="AB9" s="1"/>
      <c r="AC9" s="1"/>
      <c r="AD9" s="1"/>
      <c r="AE9" s="1"/>
      <c r="AF9" s="1"/>
      <c r="AG9" s="1"/>
      <c r="AH9" s="1"/>
      <c r="AI9" s="1"/>
      <c r="AJ9" s="1"/>
      <c r="AK9" s="1"/>
      <c r="AL9" s="1"/>
      <c r="AM9" s="1"/>
    </row>
    <row r="10">
      <c r="A10" s="22" t="s">
        <v>11</v>
      </c>
      <c r="B10" s="16"/>
      <c r="C10" s="16"/>
      <c r="D10" s="17"/>
      <c r="E10" s="23" t="s">
        <v>12</v>
      </c>
      <c r="F10" s="24" t="s">
        <v>13</v>
      </c>
      <c r="G10" s="25" t="s">
        <v>14</v>
      </c>
      <c r="H10" s="534"/>
      <c r="I10" s="534"/>
      <c r="J10" s="79"/>
      <c r="K10" s="533"/>
      <c r="L10" s="79"/>
      <c r="M10" s="67"/>
      <c r="N10" s="62"/>
      <c r="O10" s="62"/>
      <c r="P10" s="67"/>
      <c r="Q10" s="67"/>
      <c r="R10" s="67"/>
      <c r="S10" s="67"/>
      <c r="T10" s="67"/>
      <c r="U10" s="67"/>
      <c r="V10" s="67"/>
      <c r="W10" s="67"/>
      <c r="X10" s="67"/>
      <c r="Y10" s="1"/>
      <c r="Z10" s="1"/>
      <c r="AA10" s="1"/>
      <c r="AB10" s="1"/>
      <c r="AC10" s="1"/>
      <c r="AD10" s="1"/>
      <c r="AE10" s="1"/>
      <c r="AF10" s="1"/>
      <c r="AG10" s="1"/>
      <c r="AH10" s="1"/>
      <c r="AI10" s="1"/>
      <c r="AJ10" s="1"/>
      <c r="AK10" s="1"/>
      <c r="AL10" s="1"/>
      <c r="AM10" s="1"/>
    </row>
    <row r="11">
      <c r="A11" s="28"/>
      <c r="B11" s="29" t="s">
        <v>15</v>
      </c>
      <c r="C11" s="17"/>
      <c r="D11" s="30">
        <v>1673.0</v>
      </c>
      <c r="E11" s="31" t="s">
        <v>16</v>
      </c>
      <c r="F11" s="32" t="s">
        <v>17</v>
      </c>
      <c r="G11" s="33">
        <f>J247</f>
        <v>460000</v>
      </c>
      <c r="H11" s="534"/>
      <c r="I11" s="534"/>
      <c r="J11" s="79"/>
      <c r="K11" s="533"/>
      <c r="L11" s="79"/>
      <c r="M11" s="67"/>
      <c r="N11" s="62"/>
      <c r="O11" s="62"/>
      <c r="P11" s="67"/>
      <c r="Q11" s="67"/>
      <c r="R11" s="67"/>
      <c r="S11" s="67"/>
      <c r="T11" s="67"/>
      <c r="U11" s="67"/>
      <c r="V11" s="67"/>
      <c r="W11" s="67"/>
      <c r="X11" s="67"/>
      <c r="Y11" s="1"/>
      <c r="Z11" s="1"/>
      <c r="AA11" s="1"/>
      <c r="AB11" s="1"/>
      <c r="AC11" s="1"/>
      <c r="AD11" s="1"/>
      <c r="AE11" s="1"/>
      <c r="AF11" s="1"/>
      <c r="AG11" s="1"/>
      <c r="AH11" s="1"/>
      <c r="AI11" s="1"/>
      <c r="AJ11" s="1"/>
      <c r="AK11" s="1"/>
      <c r="AL11" s="1"/>
      <c r="AM11" s="1"/>
    </row>
    <row r="12">
      <c r="A12" s="23" t="s">
        <v>12</v>
      </c>
      <c r="B12" s="29" t="s">
        <v>13</v>
      </c>
      <c r="C12" s="17"/>
      <c r="D12" s="24" t="s">
        <v>14</v>
      </c>
      <c r="E12" s="31" t="s">
        <v>18</v>
      </c>
      <c r="F12" s="32" t="s">
        <v>19</v>
      </c>
      <c r="G12" s="33" t="str">
        <f>K261</f>
        <v/>
      </c>
      <c r="H12" s="534"/>
      <c r="I12" s="534"/>
      <c r="J12" s="79"/>
      <c r="K12" s="533"/>
      <c r="L12" s="79"/>
      <c r="M12" s="67"/>
      <c r="N12" s="62"/>
      <c r="O12" s="62"/>
      <c r="P12" s="67"/>
      <c r="Q12" s="67"/>
      <c r="R12" s="67"/>
      <c r="S12" s="67"/>
      <c r="T12" s="67"/>
      <c r="U12" s="67"/>
      <c r="V12" s="67"/>
      <c r="W12" s="67"/>
      <c r="X12" s="67"/>
      <c r="Y12" s="1"/>
      <c r="Z12" s="1"/>
      <c r="AA12" s="1"/>
      <c r="AB12" s="1"/>
      <c r="AC12" s="1"/>
      <c r="AD12" s="1"/>
      <c r="AE12" s="1"/>
      <c r="AF12" s="1"/>
      <c r="AG12" s="1"/>
      <c r="AH12" s="1"/>
      <c r="AI12" s="1"/>
      <c r="AJ12" s="1"/>
      <c r="AK12" s="1"/>
      <c r="AL12" s="1"/>
      <c r="AM12" s="1"/>
    </row>
    <row r="13">
      <c r="A13" s="31" t="s">
        <v>16</v>
      </c>
      <c r="B13" s="34" t="s">
        <v>20</v>
      </c>
      <c r="C13" s="17"/>
      <c r="D13" s="35">
        <f>M42</f>
        <v>778690</v>
      </c>
      <c r="E13" s="40"/>
      <c r="F13" s="30" t="s">
        <v>23</v>
      </c>
      <c r="G13" s="25">
        <f>SUM(G11:G12)</f>
        <v>460000</v>
      </c>
      <c r="H13" s="534"/>
      <c r="I13" s="534"/>
      <c r="J13" s="69"/>
      <c r="K13" s="535"/>
      <c r="L13" s="69"/>
      <c r="M13" s="67"/>
      <c r="N13" s="62"/>
      <c r="O13" s="62"/>
      <c r="P13" s="67"/>
      <c r="Q13" s="67"/>
      <c r="R13" s="67"/>
      <c r="S13" s="67"/>
      <c r="T13" s="67"/>
      <c r="U13" s="67"/>
      <c r="V13" s="67"/>
      <c r="W13" s="67"/>
      <c r="X13" s="67"/>
      <c r="Y13" s="1"/>
      <c r="Z13" s="1"/>
      <c r="AA13" s="1"/>
      <c r="AB13" s="1"/>
      <c r="AC13" s="1"/>
      <c r="AD13" s="1"/>
      <c r="AE13" s="1"/>
      <c r="AF13" s="1"/>
      <c r="AG13" s="1"/>
      <c r="AH13" s="1"/>
      <c r="AI13" s="1"/>
      <c r="AJ13" s="1"/>
      <c r="AK13" s="1"/>
      <c r="AL13" s="1"/>
      <c r="AM13" s="1"/>
    </row>
    <row r="14">
      <c r="A14" s="31" t="s">
        <v>18</v>
      </c>
      <c r="B14" s="34" t="s">
        <v>22</v>
      </c>
      <c r="C14" s="17"/>
      <c r="D14" s="35">
        <f>M48</f>
        <v>135000</v>
      </c>
      <c r="E14" s="42" t="s">
        <v>26</v>
      </c>
      <c r="F14" s="17"/>
      <c r="G14" s="43">
        <f>D22+G11+G12</f>
        <v>9865831</v>
      </c>
      <c r="H14" s="534"/>
      <c r="I14" s="534"/>
      <c r="J14" s="69"/>
      <c r="K14" s="535"/>
      <c r="L14" s="69"/>
      <c r="M14" s="67"/>
      <c r="N14" s="67"/>
      <c r="O14" s="67"/>
      <c r="P14" s="67"/>
      <c r="Q14" s="67"/>
      <c r="R14" s="67"/>
      <c r="S14" s="67"/>
      <c r="T14" s="67"/>
      <c r="U14" s="67"/>
      <c r="V14" s="67"/>
      <c r="W14" s="67"/>
      <c r="X14" s="67"/>
      <c r="Y14" s="1"/>
      <c r="Z14" s="1"/>
      <c r="AA14" s="1"/>
      <c r="AB14" s="1"/>
      <c r="AC14" s="1"/>
      <c r="AD14" s="1"/>
      <c r="AE14" s="1"/>
      <c r="AF14" s="1"/>
      <c r="AG14" s="1"/>
      <c r="AH14" s="1"/>
      <c r="AI14" s="1"/>
      <c r="AJ14" s="1"/>
      <c r="AK14" s="1"/>
      <c r="AL14" s="1"/>
      <c r="AM14" s="1"/>
    </row>
    <row r="15">
      <c r="A15" s="31" t="s">
        <v>24</v>
      </c>
      <c r="B15" s="34" t="s">
        <v>25</v>
      </c>
      <c r="C15" s="17"/>
      <c r="D15" s="35">
        <f>M51</f>
        <v>585550</v>
      </c>
      <c r="E15" s="22" t="s">
        <v>29</v>
      </c>
      <c r="F15" s="16"/>
      <c r="G15" s="17"/>
      <c r="H15" s="534"/>
      <c r="I15" s="534"/>
      <c r="J15" s="69"/>
      <c r="K15" s="535"/>
      <c r="L15" s="69"/>
      <c r="M15" s="67"/>
      <c r="N15" s="67"/>
      <c r="O15" s="67"/>
      <c r="P15" s="67"/>
      <c r="Q15" s="67"/>
      <c r="R15" s="67"/>
      <c r="S15" s="67"/>
      <c r="T15" s="67"/>
      <c r="U15" s="67"/>
      <c r="V15" s="67"/>
      <c r="W15" s="67"/>
      <c r="X15" s="67"/>
      <c r="Y15" s="1"/>
      <c r="Z15" s="1"/>
      <c r="AA15" s="1"/>
      <c r="AB15" s="1"/>
      <c r="AC15" s="1"/>
      <c r="AD15" s="1"/>
      <c r="AE15" s="1"/>
      <c r="AF15" s="1"/>
      <c r="AG15" s="1"/>
      <c r="AH15" s="1"/>
      <c r="AI15" s="1"/>
      <c r="AJ15" s="1"/>
      <c r="AK15" s="1"/>
      <c r="AL15" s="1"/>
      <c r="AM15" s="1"/>
    </row>
    <row r="16">
      <c r="A16" s="31" t="s">
        <v>27</v>
      </c>
      <c r="B16" s="34" t="s">
        <v>28</v>
      </c>
      <c r="C16" s="17"/>
      <c r="D16" s="35">
        <f>M58</f>
        <v>420000</v>
      </c>
      <c r="E16" s="536"/>
      <c r="F16" s="67"/>
      <c r="G16" s="18"/>
      <c r="H16" s="16"/>
      <c r="I16" s="17"/>
      <c r="J16" s="69"/>
      <c r="K16" s="535"/>
      <c r="L16" s="69"/>
      <c r="M16" s="67"/>
      <c r="N16" s="67"/>
      <c r="O16" s="67"/>
      <c r="P16" s="67"/>
      <c r="Q16" s="67"/>
      <c r="R16" s="67"/>
      <c r="S16" s="67"/>
      <c r="T16" s="67"/>
      <c r="U16" s="67"/>
      <c r="V16" s="67"/>
      <c r="W16" s="67"/>
      <c r="X16" s="67"/>
      <c r="Y16" s="1"/>
      <c r="Z16" s="1"/>
      <c r="AA16" s="1"/>
      <c r="AB16" s="1"/>
      <c r="AC16" s="1"/>
      <c r="AD16" s="1"/>
      <c r="AE16" s="1"/>
      <c r="AF16" s="1"/>
      <c r="AG16" s="1"/>
      <c r="AH16" s="1"/>
      <c r="AI16" s="1"/>
      <c r="AJ16" s="1"/>
      <c r="AK16" s="1"/>
      <c r="AL16" s="1"/>
      <c r="AM16" s="1"/>
    </row>
    <row r="17">
      <c r="A17" s="31" t="s">
        <v>30</v>
      </c>
      <c r="B17" s="47" t="s">
        <v>31</v>
      </c>
      <c r="C17" s="17"/>
      <c r="D17" s="35">
        <f>M153</f>
        <v>5150250</v>
      </c>
      <c r="E17" s="537"/>
      <c r="F17" s="67"/>
      <c r="G17" s="538"/>
      <c r="H17" s="16"/>
      <c r="I17" s="17"/>
      <c r="J17" s="69"/>
      <c r="K17" s="535"/>
      <c r="L17" s="69"/>
      <c r="M17" s="67"/>
      <c r="N17" s="67"/>
      <c r="O17" s="67"/>
      <c r="P17" s="67"/>
      <c r="Q17" s="67"/>
      <c r="R17" s="67"/>
      <c r="S17" s="67"/>
      <c r="T17" s="67"/>
      <c r="U17" s="67"/>
      <c r="V17" s="67"/>
      <c r="W17" s="67"/>
      <c r="X17" s="67"/>
      <c r="Y17" s="1"/>
      <c r="Z17" s="1"/>
      <c r="AA17" s="1"/>
      <c r="AB17" s="1"/>
      <c r="AC17" s="1"/>
      <c r="AD17" s="1"/>
      <c r="AE17" s="1"/>
      <c r="AF17" s="1"/>
      <c r="AG17" s="1"/>
      <c r="AH17" s="1"/>
      <c r="AI17" s="1"/>
      <c r="AJ17" s="1"/>
      <c r="AK17" s="1"/>
      <c r="AL17" s="1"/>
      <c r="AM17" s="1"/>
    </row>
    <row r="18">
      <c r="A18" s="31" t="s">
        <v>32</v>
      </c>
      <c r="B18" s="47" t="s">
        <v>33</v>
      </c>
      <c r="C18" s="17"/>
      <c r="D18" s="35">
        <f>M159</f>
        <v>1048478.5</v>
      </c>
      <c r="E18" s="536"/>
      <c r="F18" s="67"/>
      <c r="G18" s="67"/>
      <c r="H18" s="67"/>
      <c r="I18" s="67"/>
      <c r="J18" s="69"/>
      <c r="K18" s="535"/>
      <c r="L18" s="69"/>
      <c r="M18" s="67"/>
      <c r="N18" s="67"/>
      <c r="O18" s="67"/>
      <c r="P18" s="67"/>
      <c r="Q18" s="67"/>
      <c r="R18" s="67"/>
      <c r="S18" s="67"/>
      <c r="T18" s="67"/>
      <c r="U18" s="67"/>
      <c r="V18" s="67"/>
      <c r="W18" s="67"/>
      <c r="X18" s="67"/>
      <c r="Y18" s="1"/>
      <c r="Z18" s="1"/>
      <c r="AA18" s="1"/>
      <c r="AB18" s="1"/>
      <c r="AC18" s="1"/>
      <c r="AD18" s="1"/>
      <c r="AE18" s="1"/>
      <c r="AF18" s="1"/>
      <c r="AG18" s="1"/>
      <c r="AH18" s="1"/>
      <c r="AI18" s="1"/>
      <c r="AJ18" s="1"/>
      <c r="AK18" s="1"/>
      <c r="AL18" s="1"/>
      <c r="AM18" s="1"/>
    </row>
    <row r="19">
      <c r="A19" s="31" t="s">
        <v>34</v>
      </c>
      <c r="B19" s="47" t="s">
        <v>35</v>
      </c>
      <c r="C19" s="17"/>
      <c r="D19" s="35">
        <f>J164</f>
        <v>190000</v>
      </c>
      <c r="E19" s="536"/>
      <c r="F19" s="67"/>
      <c r="G19" s="67"/>
      <c r="H19" s="67"/>
      <c r="I19" s="77"/>
      <c r="J19" s="69"/>
      <c r="K19" s="535"/>
      <c r="L19" s="69"/>
      <c r="M19" s="67"/>
      <c r="N19" s="67"/>
      <c r="O19" s="67"/>
      <c r="P19" s="67"/>
      <c r="Q19" s="67"/>
      <c r="R19" s="67"/>
      <c r="S19" s="67"/>
      <c r="T19" s="67"/>
      <c r="U19" s="67"/>
      <c r="V19" s="67"/>
      <c r="W19" s="67"/>
      <c r="X19" s="67"/>
      <c r="Y19" s="1"/>
      <c r="Z19" s="1"/>
      <c r="AA19" s="1"/>
      <c r="AB19" s="1"/>
      <c r="AC19" s="1"/>
      <c r="AD19" s="1"/>
      <c r="AE19" s="1"/>
      <c r="AF19" s="1"/>
      <c r="AG19" s="1"/>
      <c r="AH19" s="1"/>
      <c r="AI19" s="1"/>
      <c r="AJ19" s="1"/>
      <c r="AK19" s="1"/>
      <c r="AL19" s="1"/>
      <c r="AM19" s="1"/>
    </row>
    <row r="20">
      <c r="A20" s="31"/>
      <c r="B20" s="49" t="s">
        <v>678</v>
      </c>
      <c r="C20" s="17"/>
      <c r="D20" s="35">
        <f>J209</f>
        <v>597862.5</v>
      </c>
      <c r="E20" s="67"/>
      <c r="F20" s="67"/>
      <c r="G20" s="67"/>
      <c r="H20" s="67"/>
      <c r="I20" s="77"/>
      <c r="J20" s="69"/>
      <c r="K20" s="535"/>
      <c r="L20" s="69"/>
      <c r="M20" s="67"/>
      <c r="N20" s="67"/>
      <c r="O20" s="67"/>
      <c r="P20" s="67"/>
      <c r="Q20" s="67"/>
      <c r="R20" s="67"/>
      <c r="S20" s="67"/>
      <c r="T20" s="67"/>
      <c r="U20" s="67"/>
      <c r="V20" s="67"/>
      <c r="W20" s="67"/>
      <c r="X20" s="67"/>
      <c r="Y20" s="1"/>
      <c r="Z20" s="1"/>
      <c r="AA20" s="1"/>
      <c r="AB20" s="1"/>
      <c r="AC20" s="1"/>
      <c r="AD20" s="1"/>
      <c r="AE20" s="1"/>
      <c r="AF20" s="1"/>
      <c r="AG20" s="1"/>
      <c r="AH20" s="1"/>
      <c r="AI20" s="1"/>
      <c r="AJ20" s="1"/>
      <c r="AK20" s="1"/>
      <c r="AL20" s="1"/>
      <c r="AM20" s="1"/>
    </row>
    <row r="21">
      <c r="A21" s="31" t="s">
        <v>36</v>
      </c>
      <c r="B21" s="49" t="s">
        <v>37</v>
      </c>
      <c r="C21" s="17"/>
      <c r="D21" s="35">
        <v>500000.0</v>
      </c>
      <c r="E21" s="67"/>
      <c r="F21" s="67"/>
      <c r="G21" s="67"/>
      <c r="H21" s="67"/>
      <c r="I21" s="77"/>
      <c r="J21" s="69"/>
      <c r="K21" s="535"/>
      <c r="L21" s="69"/>
      <c r="M21" s="67"/>
      <c r="N21" s="67"/>
      <c r="O21" s="67"/>
      <c r="P21" s="67"/>
      <c r="Q21" s="67"/>
      <c r="R21" s="67"/>
      <c r="S21" s="67"/>
      <c r="T21" s="67"/>
      <c r="U21" s="67"/>
      <c r="V21" s="67"/>
      <c r="W21" s="67"/>
      <c r="X21" s="67"/>
      <c r="Y21" s="1"/>
      <c r="Z21" s="1"/>
      <c r="AA21" s="1"/>
      <c r="AB21" s="1"/>
      <c r="AC21" s="1"/>
      <c r="AD21" s="1"/>
      <c r="AE21" s="1"/>
      <c r="AF21" s="1"/>
      <c r="AG21" s="1"/>
      <c r="AH21" s="1"/>
      <c r="AI21" s="1"/>
      <c r="AJ21" s="1"/>
      <c r="AK21" s="1"/>
      <c r="AL21" s="1"/>
      <c r="AM21" s="1"/>
    </row>
    <row r="22">
      <c r="A22" s="40"/>
      <c r="B22" s="22" t="s">
        <v>38</v>
      </c>
      <c r="C22" s="17"/>
      <c r="D22" s="43">
        <f>SUM(D13:D21)</f>
        <v>9405831</v>
      </c>
      <c r="E22" s="536"/>
      <c r="F22" s="67"/>
      <c r="G22" s="67"/>
      <c r="H22" s="67"/>
      <c r="I22" s="78"/>
      <c r="J22" s="69"/>
      <c r="K22" s="535"/>
      <c r="L22" s="69"/>
      <c r="M22" s="67"/>
      <c r="N22" s="67"/>
      <c r="O22" s="67"/>
      <c r="P22" s="67"/>
      <c r="Q22" s="67"/>
      <c r="R22" s="67"/>
      <c r="S22" s="67"/>
      <c r="T22" s="67"/>
      <c r="U22" s="67"/>
      <c r="V22" s="67"/>
      <c r="W22" s="67"/>
      <c r="X22" s="67"/>
      <c r="Y22" s="1"/>
      <c r="Z22" s="1"/>
      <c r="AA22" s="1"/>
      <c r="AB22" s="1"/>
      <c r="AC22" s="1"/>
      <c r="AD22" s="1"/>
      <c r="AE22" s="1"/>
      <c r="AF22" s="1"/>
      <c r="AG22" s="1"/>
      <c r="AH22" s="1"/>
      <c r="AI22" s="1"/>
      <c r="AJ22" s="1"/>
      <c r="AK22" s="1"/>
      <c r="AL22" s="1"/>
      <c r="AM22" s="1"/>
    </row>
    <row r="23">
      <c r="A23" s="28"/>
      <c r="B23" s="29" t="s">
        <v>39</v>
      </c>
      <c r="C23" s="17"/>
      <c r="D23" s="51">
        <f>(D22/D11)</f>
        <v>5622.134489</v>
      </c>
      <c r="E23" s="536"/>
      <c r="F23" s="67"/>
      <c r="G23" s="76"/>
      <c r="H23" s="32"/>
      <c r="I23" s="33"/>
      <c r="J23" s="69"/>
      <c r="K23" s="535"/>
      <c r="L23" s="69"/>
      <c r="M23" s="67"/>
      <c r="N23" s="67"/>
      <c r="O23" s="67"/>
      <c r="P23" s="67"/>
      <c r="Q23" s="67"/>
      <c r="R23" s="67"/>
      <c r="S23" s="67"/>
      <c r="T23" s="67"/>
      <c r="U23" s="67"/>
      <c r="V23" s="67"/>
      <c r="W23" s="67"/>
      <c r="X23" s="67"/>
      <c r="Y23" s="1"/>
      <c r="Z23" s="1"/>
      <c r="AA23" s="1"/>
      <c r="AB23" s="1"/>
      <c r="AC23" s="1"/>
      <c r="AD23" s="1"/>
      <c r="AE23" s="1"/>
      <c r="AF23" s="1"/>
      <c r="AG23" s="1"/>
      <c r="AH23" s="1"/>
      <c r="AI23" s="1"/>
      <c r="AJ23" s="1"/>
      <c r="AK23" s="1"/>
      <c r="AL23" s="1"/>
      <c r="AM23" s="1"/>
    </row>
    <row r="24">
      <c r="A24" s="67"/>
      <c r="B24" s="67"/>
      <c r="C24" s="67"/>
      <c r="D24" s="67"/>
      <c r="E24" s="67"/>
      <c r="F24" s="67"/>
      <c r="G24" s="67"/>
      <c r="H24" s="79"/>
      <c r="I24" s="78"/>
      <c r="J24" s="79"/>
      <c r="K24" s="533"/>
      <c r="L24" s="79"/>
      <c r="M24" s="67"/>
      <c r="N24" s="62"/>
      <c r="O24" s="62"/>
      <c r="P24" s="67"/>
      <c r="Q24" s="67"/>
      <c r="R24" s="67"/>
      <c r="S24" s="67"/>
      <c r="T24" s="67"/>
      <c r="U24" s="67"/>
      <c r="V24" s="67"/>
      <c r="W24" s="67"/>
      <c r="X24" s="67"/>
      <c r="Y24" s="1"/>
      <c r="Z24" s="1"/>
      <c r="AA24" s="1"/>
      <c r="AB24" s="1"/>
      <c r="AC24" s="1"/>
      <c r="AD24" s="1"/>
      <c r="AE24" s="1"/>
      <c r="AF24" s="1"/>
      <c r="AG24" s="1"/>
      <c r="AH24" s="1"/>
      <c r="AI24" s="1"/>
      <c r="AJ24" s="1"/>
      <c r="AK24" s="1"/>
      <c r="AL24" s="1"/>
      <c r="AM24" s="1"/>
    </row>
    <row r="25">
      <c r="A25" s="55" t="s">
        <v>40</v>
      </c>
      <c r="B25" s="56" t="s">
        <v>41</v>
      </c>
      <c r="C25" s="57" t="s">
        <v>42</v>
      </c>
      <c r="D25" s="57" t="s">
        <v>43</v>
      </c>
      <c r="E25" s="57" t="s">
        <v>44</v>
      </c>
      <c r="F25" s="57" t="s">
        <v>45</v>
      </c>
      <c r="G25" s="57" t="s">
        <v>46</v>
      </c>
      <c r="H25" s="58" t="s">
        <v>47</v>
      </c>
      <c r="I25" s="59" t="s">
        <v>48</v>
      </c>
      <c r="J25" s="58" t="s">
        <v>14</v>
      </c>
      <c r="K25" s="539" t="s">
        <v>49</v>
      </c>
      <c r="L25" s="59" t="s">
        <v>50</v>
      </c>
      <c r="M25" s="56" t="s">
        <v>14</v>
      </c>
      <c r="N25" s="56" t="s">
        <v>53</v>
      </c>
      <c r="O25" s="56" t="s">
        <v>54</v>
      </c>
      <c r="P25" s="67"/>
      <c r="Q25" s="67"/>
      <c r="R25" s="67"/>
      <c r="S25" s="67"/>
      <c r="T25" s="67"/>
      <c r="U25" s="67"/>
      <c r="V25" s="67"/>
      <c r="W25" s="67"/>
      <c r="X25" s="67"/>
      <c r="Y25" s="1"/>
      <c r="Z25" s="1"/>
      <c r="AA25" s="1"/>
      <c r="AB25" s="1"/>
      <c r="AC25" s="1"/>
      <c r="AD25" s="1"/>
      <c r="AE25" s="1"/>
      <c r="AF25" s="1"/>
      <c r="AG25" s="1"/>
      <c r="AH25" s="1"/>
      <c r="AI25" s="1"/>
      <c r="AJ25" s="1"/>
      <c r="AK25" s="1"/>
      <c r="AL25" s="1"/>
      <c r="AM25" s="1"/>
    </row>
    <row r="26" ht="28.5" customHeight="1">
      <c r="A26" s="63" t="s">
        <v>20</v>
      </c>
      <c r="B26" s="40"/>
      <c r="C26" s="40"/>
      <c r="D26" s="40"/>
      <c r="E26" s="40"/>
      <c r="F26" s="40"/>
      <c r="G26" s="28"/>
      <c r="H26" s="64"/>
      <c r="I26" s="40"/>
      <c r="J26" s="64"/>
      <c r="K26" s="540"/>
      <c r="L26" s="40"/>
      <c r="M26" s="28"/>
      <c r="N26" s="66"/>
      <c r="O26" s="66"/>
      <c r="P26" s="67"/>
      <c r="Q26" s="67"/>
      <c r="R26" s="67"/>
      <c r="S26" s="67"/>
      <c r="T26" s="67"/>
      <c r="U26" s="67"/>
      <c r="V26" s="67"/>
      <c r="W26" s="67"/>
      <c r="X26" s="67"/>
      <c r="Y26" s="1"/>
      <c r="Z26" s="1"/>
      <c r="AA26" s="1"/>
      <c r="AB26" s="1"/>
      <c r="AC26" s="1"/>
      <c r="AD26" s="1"/>
      <c r="AE26" s="1"/>
      <c r="AF26" s="1"/>
      <c r="AG26" s="1"/>
      <c r="AH26" s="1"/>
      <c r="AI26" s="1"/>
      <c r="AJ26" s="1"/>
      <c r="AK26" s="1"/>
      <c r="AL26" s="1"/>
      <c r="AM26" s="1"/>
    </row>
    <row r="27">
      <c r="A27" s="170" t="s">
        <v>16</v>
      </c>
      <c r="B27" s="541"/>
      <c r="C27" s="170" t="s">
        <v>59</v>
      </c>
      <c r="D27" s="149" t="s">
        <v>60</v>
      </c>
      <c r="E27" s="170" t="s">
        <v>61</v>
      </c>
      <c r="F27" s="170" t="s">
        <v>59</v>
      </c>
      <c r="G27" s="149" t="s">
        <v>62</v>
      </c>
      <c r="H27" s="32">
        <v>50.0</v>
      </c>
      <c r="I27" s="542">
        <f>H27-(H27*16.622%)</f>
        <v>41.689</v>
      </c>
      <c r="J27" s="170" t="s">
        <v>64</v>
      </c>
      <c r="K27" s="543">
        <f>3+3+7*9+100</f>
        <v>169</v>
      </c>
      <c r="L27" s="170" t="s">
        <v>65</v>
      </c>
      <c r="M27" s="146">
        <f t="shared" ref="M27:M41" si="1">K27*H27</f>
        <v>8450</v>
      </c>
      <c r="N27" s="518" t="s">
        <v>66</v>
      </c>
      <c r="O27" s="518" t="s">
        <v>67</v>
      </c>
      <c r="P27" s="73"/>
      <c r="Q27" s="73"/>
      <c r="R27" s="73"/>
      <c r="S27" s="73"/>
      <c r="T27" s="73"/>
      <c r="U27" s="73"/>
      <c r="V27" s="73"/>
      <c r="W27" s="73"/>
      <c r="X27" s="73"/>
      <c r="Y27" s="74"/>
      <c r="Z27" s="74"/>
      <c r="AA27" s="74"/>
      <c r="AB27" s="74"/>
      <c r="AC27" s="74"/>
      <c r="AD27" s="74"/>
      <c r="AE27" s="74"/>
      <c r="AF27" s="74"/>
      <c r="AG27" s="74"/>
      <c r="AH27" s="74"/>
      <c r="AI27" s="74"/>
      <c r="AJ27" s="74"/>
      <c r="AK27" s="74"/>
      <c r="AL27" s="74"/>
      <c r="AM27" s="74"/>
    </row>
    <row r="28">
      <c r="A28" s="170" t="s">
        <v>18</v>
      </c>
      <c r="B28" s="541"/>
      <c r="C28" s="149" t="s">
        <v>68</v>
      </c>
      <c r="D28" s="149" t="s">
        <v>60</v>
      </c>
      <c r="E28" s="149" t="s">
        <v>61</v>
      </c>
      <c r="F28" s="149" t="s">
        <v>69</v>
      </c>
      <c r="G28" s="149" t="s">
        <v>62</v>
      </c>
      <c r="H28" s="32">
        <v>200.0</v>
      </c>
      <c r="I28" s="170" t="s">
        <v>71</v>
      </c>
      <c r="J28" s="170" t="s">
        <v>71</v>
      </c>
      <c r="K28" s="543">
        <f>6*9</f>
        <v>54</v>
      </c>
      <c r="L28" s="146" t="s">
        <v>72</v>
      </c>
      <c r="M28" s="146">
        <f t="shared" si="1"/>
        <v>10800</v>
      </c>
      <c r="N28" s="518" t="s">
        <v>73</v>
      </c>
      <c r="O28" s="146"/>
      <c r="P28" s="73"/>
      <c r="Q28" s="73"/>
      <c r="R28" s="73"/>
      <c r="S28" s="73"/>
      <c r="T28" s="73"/>
      <c r="U28" s="73"/>
      <c r="V28" s="73"/>
      <c r="W28" s="73"/>
      <c r="X28" s="73"/>
      <c r="Y28" s="74"/>
      <c r="Z28" s="74"/>
      <c r="AA28" s="74"/>
      <c r="AB28" s="74"/>
      <c r="AC28" s="74"/>
      <c r="AD28" s="74"/>
      <c r="AE28" s="74"/>
      <c r="AF28" s="74"/>
      <c r="AG28" s="74"/>
      <c r="AH28" s="74"/>
      <c r="AI28" s="74"/>
      <c r="AJ28" s="74"/>
      <c r="AK28" s="74"/>
      <c r="AL28" s="74"/>
      <c r="AM28" s="74"/>
    </row>
    <row r="29">
      <c r="A29" s="170" t="s">
        <v>24</v>
      </c>
      <c r="B29" s="31"/>
      <c r="C29" s="75" t="s">
        <v>68</v>
      </c>
      <c r="D29" s="75" t="s">
        <v>74</v>
      </c>
      <c r="E29" s="31" t="s">
        <v>61</v>
      </c>
      <c r="F29" s="33" t="s">
        <v>75</v>
      </c>
      <c r="G29" s="75" t="s">
        <v>123</v>
      </c>
      <c r="H29" s="32">
        <v>3000.0</v>
      </c>
      <c r="I29" s="31"/>
      <c r="J29" s="69"/>
      <c r="K29" s="543">
        <v>25.0</v>
      </c>
      <c r="L29" s="33"/>
      <c r="M29" s="146">
        <f t="shared" si="1"/>
        <v>75000</v>
      </c>
      <c r="N29" s="75" t="s">
        <v>74</v>
      </c>
      <c r="O29" s="76"/>
      <c r="P29" s="76"/>
      <c r="Q29" s="76"/>
      <c r="R29" s="76"/>
      <c r="S29" s="76"/>
      <c r="T29" s="76"/>
      <c r="U29" s="76"/>
      <c r="V29" s="76"/>
      <c r="W29" s="76"/>
      <c r="X29" s="76"/>
      <c r="Y29" s="52"/>
      <c r="Z29" s="52"/>
      <c r="AA29" s="52"/>
      <c r="AB29" s="52"/>
      <c r="AC29" s="52"/>
      <c r="AD29" s="52"/>
      <c r="AE29" s="52"/>
      <c r="AF29" s="52"/>
      <c r="AG29" s="52"/>
      <c r="AH29" s="52"/>
      <c r="AI29" s="52"/>
      <c r="AJ29" s="52"/>
      <c r="AK29" s="52"/>
      <c r="AL29" s="52"/>
      <c r="AM29" s="52"/>
    </row>
    <row r="30">
      <c r="A30" s="170" t="s">
        <v>27</v>
      </c>
      <c r="B30" s="77"/>
      <c r="C30" s="78" t="s">
        <v>68</v>
      </c>
      <c r="D30" s="78" t="s">
        <v>76</v>
      </c>
      <c r="E30" s="31" t="s">
        <v>61</v>
      </c>
      <c r="F30" s="33" t="s">
        <v>75</v>
      </c>
      <c r="G30" s="78" t="s">
        <v>62</v>
      </c>
      <c r="H30" s="32" t="s">
        <v>77</v>
      </c>
      <c r="I30" s="78"/>
      <c r="J30" s="69"/>
      <c r="K30" s="543">
        <v>9.0</v>
      </c>
      <c r="L30" s="33"/>
      <c r="M30" s="146">
        <f t="shared" si="1"/>
        <v>27000</v>
      </c>
      <c r="N30" s="78" t="s">
        <v>76</v>
      </c>
      <c r="O30" s="75"/>
      <c r="P30" s="76"/>
      <c r="Q30" s="76"/>
      <c r="R30" s="76"/>
      <c r="S30" s="76"/>
      <c r="T30" s="76"/>
      <c r="U30" s="76"/>
      <c r="V30" s="76"/>
      <c r="W30" s="76"/>
      <c r="X30" s="76"/>
      <c r="Y30" s="52"/>
      <c r="Z30" s="52"/>
      <c r="AA30" s="52"/>
      <c r="AB30" s="52"/>
      <c r="AC30" s="52"/>
      <c r="AD30" s="52"/>
      <c r="AE30" s="52"/>
      <c r="AF30" s="52"/>
      <c r="AG30" s="52"/>
      <c r="AH30" s="52"/>
      <c r="AI30" s="52"/>
      <c r="AJ30" s="52"/>
      <c r="AK30" s="52"/>
      <c r="AL30" s="52"/>
      <c r="AM30" s="52"/>
    </row>
    <row r="31">
      <c r="A31" s="170" t="s">
        <v>30</v>
      </c>
      <c r="B31" s="77"/>
      <c r="C31" s="78" t="s">
        <v>68</v>
      </c>
      <c r="D31" s="78" t="s">
        <v>78</v>
      </c>
      <c r="E31" s="78" t="s">
        <v>79</v>
      </c>
      <c r="F31" s="33" t="s">
        <v>80</v>
      </c>
      <c r="G31" s="78" t="s">
        <v>62</v>
      </c>
      <c r="H31" s="32">
        <v>150.0</v>
      </c>
      <c r="I31" s="31"/>
      <c r="J31" s="79"/>
      <c r="K31" s="543">
        <v>1050.0</v>
      </c>
      <c r="L31" s="33"/>
      <c r="M31" s="146">
        <f t="shared" si="1"/>
        <v>157500</v>
      </c>
      <c r="N31" s="78" t="s">
        <v>82</v>
      </c>
      <c r="O31" s="76"/>
      <c r="P31" s="76"/>
      <c r="Q31" s="76"/>
      <c r="R31" s="76"/>
      <c r="S31" s="76"/>
      <c r="T31" s="76"/>
      <c r="U31" s="76"/>
      <c r="V31" s="76"/>
      <c r="W31" s="76"/>
      <c r="X31" s="76"/>
      <c r="Y31" s="52"/>
      <c r="Z31" s="52"/>
      <c r="AA31" s="52"/>
      <c r="AB31" s="52"/>
      <c r="AC31" s="52"/>
      <c r="AD31" s="52"/>
      <c r="AE31" s="52"/>
      <c r="AF31" s="52"/>
      <c r="AG31" s="52"/>
      <c r="AH31" s="52"/>
      <c r="AI31" s="52"/>
      <c r="AJ31" s="52"/>
      <c r="AK31" s="52"/>
      <c r="AL31" s="52"/>
      <c r="AM31" s="52"/>
    </row>
    <row r="32">
      <c r="A32" s="170" t="s">
        <v>32</v>
      </c>
      <c r="B32" s="77"/>
      <c r="C32" s="78" t="s">
        <v>68</v>
      </c>
      <c r="D32" s="78" t="s">
        <v>83</v>
      </c>
      <c r="E32" s="77"/>
      <c r="F32" s="33" t="s">
        <v>84</v>
      </c>
      <c r="G32" s="78" t="s">
        <v>62</v>
      </c>
      <c r="H32" s="32">
        <v>120.0</v>
      </c>
      <c r="I32" s="31"/>
      <c r="J32" s="79"/>
      <c r="K32" s="543">
        <v>1600.0</v>
      </c>
      <c r="L32" s="33"/>
      <c r="M32" s="146">
        <f t="shared" si="1"/>
        <v>192000</v>
      </c>
      <c r="N32" s="78" t="s">
        <v>82</v>
      </c>
      <c r="O32" s="75"/>
      <c r="P32" s="76"/>
      <c r="Q32" s="76"/>
      <c r="R32" s="76"/>
      <c r="S32" s="76"/>
      <c r="T32" s="76"/>
      <c r="U32" s="76"/>
      <c r="V32" s="76"/>
      <c r="W32" s="76"/>
      <c r="X32" s="76"/>
      <c r="Y32" s="52"/>
      <c r="Z32" s="52"/>
      <c r="AA32" s="52"/>
      <c r="AB32" s="52"/>
      <c r="AC32" s="52"/>
      <c r="AD32" s="52"/>
      <c r="AE32" s="52"/>
      <c r="AF32" s="52"/>
      <c r="AG32" s="52"/>
      <c r="AH32" s="52"/>
      <c r="AI32" s="52"/>
      <c r="AJ32" s="52"/>
      <c r="AK32" s="52"/>
      <c r="AL32" s="52"/>
      <c r="AM32" s="52"/>
    </row>
    <row r="33">
      <c r="A33" s="170" t="s">
        <v>34</v>
      </c>
      <c r="B33" s="31"/>
      <c r="C33" s="75" t="s">
        <v>68</v>
      </c>
      <c r="D33" s="75" t="s">
        <v>85</v>
      </c>
      <c r="E33" s="31" t="s">
        <v>86</v>
      </c>
      <c r="F33" s="33" t="s">
        <v>87</v>
      </c>
      <c r="G33" s="75" t="s">
        <v>62</v>
      </c>
      <c r="H33" s="32">
        <v>130.0</v>
      </c>
      <c r="I33" s="78"/>
      <c r="J33" s="69"/>
      <c r="K33" s="543">
        <f>10*4+18+18+12+50</f>
        <v>138</v>
      </c>
      <c r="L33" s="33"/>
      <c r="M33" s="146">
        <f t="shared" si="1"/>
        <v>17940</v>
      </c>
      <c r="N33" s="75" t="s">
        <v>88</v>
      </c>
      <c r="O33" s="76"/>
      <c r="P33" s="76"/>
      <c r="Q33" s="76"/>
      <c r="R33" s="76"/>
      <c r="S33" s="76"/>
      <c r="T33" s="76"/>
      <c r="U33" s="76"/>
      <c r="V33" s="76"/>
      <c r="W33" s="76"/>
      <c r="X33" s="76"/>
      <c r="Y33" s="52"/>
      <c r="Z33" s="52"/>
      <c r="AA33" s="52"/>
      <c r="AB33" s="52"/>
      <c r="AC33" s="52"/>
      <c r="AD33" s="52"/>
      <c r="AE33" s="52"/>
      <c r="AF33" s="52"/>
      <c r="AG33" s="52"/>
      <c r="AH33" s="52"/>
      <c r="AI33" s="52"/>
      <c r="AJ33" s="52"/>
      <c r="AK33" s="52"/>
      <c r="AL33" s="52"/>
      <c r="AM33" s="52"/>
    </row>
    <row r="34">
      <c r="A34" s="170" t="s">
        <v>36</v>
      </c>
      <c r="B34" s="77"/>
      <c r="C34" s="78" t="s">
        <v>68</v>
      </c>
      <c r="D34" s="78" t="s">
        <v>89</v>
      </c>
      <c r="E34" s="33"/>
      <c r="F34" s="77">
        <f>VLOOKUP($B34,'Rate card'!$A$4:$G279,5,FALSE)</f>
        <v>0</v>
      </c>
      <c r="G34" s="78" t="s">
        <v>62</v>
      </c>
      <c r="H34" s="32" t="s">
        <v>90</v>
      </c>
      <c r="I34" s="78"/>
      <c r="J34" s="69"/>
      <c r="K34" s="543">
        <f>40*4</f>
        <v>160</v>
      </c>
      <c r="L34" s="33"/>
      <c r="M34" s="146">
        <f t="shared" si="1"/>
        <v>32000</v>
      </c>
      <c r="N34" s="75" t="s">
        <v>91</v>
      </c>
      <c r="O34" s="76"/>
      <c r="P34" s="76"/>
      <c r="Q34" s="76"/>
      <c r="R34" s="76"/>
      <c r="S34" s="76"/>
      <c r="T34" s="76"/>
      <c r="U34" s="76"/>
      <c r="V34" s="76"/>
      <c r="W34" s="76"/>
      <c r="X34" s="76"/>
      <c r="Y34" s="52"/>
      <c r="Z34" s="52"/>
      <c r="AA34" s="52"/>
      <c r="AB34" s="52"/>
      <c r="AC34" s="52"/>
      <c r="AD34" s="52"/>
      <c r="AE34" s="52"/>
      <c r="AF34" s="52"/>
      <c r="AG34" s="52"/>
      <c r="AH34" s="52"/>
      <c r="AI34" s="52"/>
      <c r="AJ34" s="52"/>
      <c r="AK34" s="52"/>
      <c r="AL34" s="52"/>
      <c r="AM34" s="52"/>
    </row>
    <row r="35">
      <c r="A35" s="170" t="s">
        <v>92</v>
      </c>
      <c r="B35" s="33"/>
      <c r="C35" s="31" t="s">
        <v>68</v>
      </c>
      <c r="D35" s="31" t="s">
        <v>93</v>
      </c>
      <c r="E35" s="31" t="s">
        <v>94</v>
      </c>
      <c r="F35" s="33"/>
      <c r="G35" s="31" t="s">
        <v>62</v>
      </c>
      <c r="H35" s="32">
        <v>250.0</v>
      </c>
      <c r="I35" s="31"/>
      <c r="J35" s="69"/>
      <c r="K35" s="543">
        <f t="shared" ref="K35:K36" si="2">K34</f>
        <v>160</v>
      </c>
      <c r="L35" s="33"/>
      <c r="M35" s="146">
        <f t="shared" si="1"/>
        <v>40000</v>
      </c>
      <c r="N35" s="75" t="s">
        <v>91</v>
      </c>
      <c r="O35" s="75"/>
      <c r="P35" s="76"/>
      <c r="Q35" s="76"/>
      <c r="R35" s="76"/>
      <c r="S35" s="76"/>
      <c r="T35" s="76"/>
      <c r="U35" s="76"/>
      <c r="V35" s="76"/>
      <c r="W35" s="76"/>
      <c r="X35" s="76"/>
      <c r="Y35" s="52"/>
      <c r="Z35" s="52"/>
      <c r="AA35" s="52"/>
      <c r="AB35" s="52"/>
      <c r="AC35" s="52"/>
      <c r="AD35" s="52"/>
      <c r="AE35" s="52"/>
      <c r="AF35" s="52"/>
      <c r="AG35" s="52"/>
      <c r="AH35" s="52"/>
      <c r="AI35" s="52"/>
      <c r="AJ35" s="52"/>
      <c r="AK35" s="52"/>
      <c r="AL35" s="52"/>
      <c r="AM35" s="52"/>
    </row>
    <row r="36">
      <c r="A36" s="170" t="s">
        <v>95</v>
      </c>
      <c r="B36" s="77"/>
      <c r="C36" s="78" t="s">
        <v>68</v>
      </c>
      <c r="D36" s="78" t="s">
        <v>96</v>
      </c>
      <c r="E36" s="77"/>
      <c r="F36" s="33" t="s">
        <v>80</v>
      </c>
      <c r="G36" s="78" t="s">
        <v>62</v>
      </c>
      <c r="H36" s="80">
        <v>150.0</v>
      </c>
      <c r="I36" s="31"/>
      <c r="J36" s="79"/>
      <c r="K36" s="543">
        <f t="shared" si="2"/>
        <v>160</v>
      </c>
      <c r="L36" s="33"/>
      <c r="M36" s="146">
        <f t="shared" si="1"/>
        <v>24000</v>
      </c>
      <c r="N36" s="75" t="s">
        <v>91</v>
      </c>
      <c r="O36" s="75"/>
      <c r="P36" s="76"/>
      <c r="Q36" s="76"/>
      <c r="R36" s="76"/>
      <c r="S36" s="76"/>
      <c r="T36" s="76"/>
      <c r="U36" s="76"/>
      <c r="V36" s="76"/>
      <c r="W36" s="76"/>
      <c r="X36" s="76"/>
      <c r="Y36" s="52"/>
      <c r="Z36" s="52"/>
      <c r="AA36" s="52"/>
      <c r="AB36" s="52"/>
      <c r="AC36" s="52"/>
      <c r="AD36" s="52"/>
      <c r="AE36" s="52"/>
      <c r="AF36" s="52"/>
      <c r="AG36" s="52"/>
      <c r="AH36" s="52"/>
      <c r="AI36" s="52"/>
      <c r="AJ36" s="52"/>
      <c r="AK36" s="52"/>
      <c r="AL36" s="52"/>
      <c r="AM36" s="52"/>
    </row>
    <row r="37">
      <c r="A37" s="170" t="s">
        <v>97</v>
      </c>
      <c r="B37" s="77"/>
      <c r="C37" s="78" t="s">
        <v>68</v>
      </c>
      <c r="D37" s="78" t="s">
        <v>98</v>
      </c>
      <c r="E37" s="77"/>
      <c r="F37" s="77"/>
      <c r="G37" s="78" t="s">
        <v>99</v>
      </c>
      <c r="H37" s="80">
        <v>8000.0</v>
      </c>
      <c r="I37" s="31"/>
      <c r="J37" s="79"/>
      <c r="K37" s="543">
        <v>4.0</v>
      </c>
      <c r="L37" s="33"/>
      <c r="M37" s="146">
        <f t="shared" si="1"/>
        <v>32000</v>
      </c>
      <c r="N37" s="76"/>
      <c r="O37" s="76"/>
      <c r="P37" s="76"/>
      <c r="Q37" s="76"/>
      <c r="R37" s="76"/>
      <c r="S37" s="76"/>
      <c r="T37" s="76"/>
      <c r="U37" s="76"/>
      <c r="V37" s="76"/>
      <c r="W37" s="76"/>
      <c r="X37" s="76"/>
      <c r="Y37" s="52"/>
      <c r="Z37" s="52"/>
      <c r="AA37" s="52"/>
      <c r="AB37" s="52"/>
      <c r="AC37" s="52"/>
      <c r="AD37" s="52"/>
      <c r="AE37" s="52"/>
      <c r="AF37" s="52"/>
      <c r="AG37" s="52"/>
      <c r="AH37" s="52"/>
      <c r="AI37" s="52"/>
      <c r="AJ37" s="52"/>
      <c r="AK37" s="52"/>
      <c r="AL37" s="52"/>
      <c r="AM37" s="52"/>
    </row>
    <row r="38">
      <c r="A38" s="170" t="s">
        <v>100</v>
      </c>
      <c r="B38" s="67"/>
      <c r="C38" s="62" t="s">
        <v>68</v>
      </c>
      <c r="D38" s="62" t="s">
        <v>101</v>
      </c>
      <c r="E38" s="77"/>
      <c r="F38" s="77"/>
      <c r="G38" s="62" t="s">
        <v>102</v>
      </c>
      <c r="H38" s="32">
        <v>5000.0</v>
      </c>
      <c r="I38" s="78"/>
      <c r="J38" s="79"/>
      <c r="K38" s="543">
        <v>4.0</v>
      </c>
      <c r="L38" s="33"/>
      <c r="M38" s="146">
        <f t="shared" si="1"/>
        <v>20000</v>
      </c>
      <c r="N38" s="67"/>
      <c r="O38" s="67"/>
      <c r="P38" s="67"/>
      <c r="Q38" s="67"/>
      <c r="R38" s="67"/>
      <c r="S38" s="67"/>
      <c r="T38" s="67"/>
      <c r="U38" s="67"/>
      <c r="V38" s="67"/>
      <c r="W38" s="67"/>
      <c r="X38" s="67"/>
      <c r="Y38" s="1"/>
      <c r="Z38" s="1"/>
      <c r="AA38" s="1"/>
      <c r="AB38" s="1"/>
      <c r="AC38" s="1"/>
      <c r="AD38" s="1"/>
      <c r="AE38" s="1"/>
      <c r="AF38" s="1"/>
      <c r="AG38" s="1"/>
      <c r="AH38" s="1"/>
      <c r="AI38" s="1"/>
      <c r="AJ38" s="1"/>
      <c r="AK38" s="1"/>
      <c r="AL38" s="1"/>
      <c r="AM38" s="1"/>
    </row>
    <row r="39" hidden="1">
      <c r="A39" s="170" t="s">
        <v>103</v>
      </c>
      <c r="B39" s="67"/>
      <c r="C39" s="62"/>
      <c r="D39" s="67"/>
      <c r="E39" s="67"/>
      <c r="F39" s="77"/>
      <c r="G39" s="62"/>
      <c r="H39" s="32"/>
      <c r="I39" s="78"/>
      <c r="J39" s="79"/>
      <c r="K39" s="543"/>
      <c r="L39" s="33"/>
      <c r="M39" s="146">
        <f t="shared" si="1"/>
        <v>0</v>
      </c>
      <c r="N39" s="67"/>
      <c r="O39" s="67"/>
      <c r="P39" s="67"/>
      <c r="Q39" s="67"/>
      <c r="R39" s="67"/>
      <c r="S39" s="67"/>
      <c r="T39" s="67"/>
      <c r="U39" s="67"/>
      <c r="V39" s="67"/>
      <c r="W39" s="67"/>
      <c r="X39" s="67"/>
      <c r="Y39" s="1"/>
      <c r="Z39" s="1"/>
      <c r="AA39" s="1"/>
      <c r="AB39" s="1"/>
      <c r="AC39" s="1"/>
      <c r="AD39" s="1"/>
      <c r="AE39" s="1"/>
      <c r="AF39" s="1"/>
      <c r="AG39" s="1"/>
      <c r="AH39" s="1"/>
      <c r="AI39" s="1"/>
      <c r="AJ39" s="1"/>
      <c r="AK39" s="1"/>
      <c r="AL39" s="1"/>
      <c r="AM39" s="1"/>
    </row>
    <row r="40">
      <c r="A40" s="170" t="s">
        <v>104</v>
      </c>
      <c r="B40" s="77"/>
      <c r="C40" s="78" t="s">
        <v>68</v>
      </c>
      <c r="D40" s="78" t="s">
        <v>105</v>
      </c>
      <c r="E40" s="77"/>
      <c r="F40" s="77"/>
      <c r="G40" s="78" t="s">
        <v>62</v>
      </c>
      <c r="H40" s="80">
        <v>120.0</v>
      </c>
      <c r="I40" s="31"/>
      <c r="J40" s="79"/>
      <c r="K40" s="543">
        <v>350.0</v>
      </c>
      <c r="L40" s="33"/>
      <c r="M40" s="146">
        <f t="shared" si="1"/>
        <v>42000</v>
      </c>
      <c r="N40" s="75" t="s">
        <v>106</v>
      </c>
      <c r="O40" s="76"/>
      <c r="P40" s="76"/>
      <c r="Q40" s="76"/>
      <c r="R40" s="76"/>
      <c r="S40" s="76"/>
      <c r="T40" s="76"/>
      <c r="U40" s="76"/>
      <c r="V40" s="76"/>
      <c r="W40" s="76"/>
      <c r="X40" s="76"/>
      <c r="Y40" s="52"/>
      <c r="Z40" s="52"/>
      <c r="AA40" s="52"/>
      <c r="AB40" s="52"/>
      <c r="AC40" s="52"/>
      <c r="AD40" s="52"/>
      <c r="AE40" s="52"/>
      <c r="AF40" s="52"/>
      <c r="AG40" s="52"/>
      <c r="AH40" s="52"/>
      <c r="AI40" s="52"/>
      <c r="AJ40" s="52"/>
      <c r="AK40" s="52"/>
      <c r="AL40" s="52"/>
      <c r="AM40" s="52"/>
    </row>
    <row r="41">
      <c r="A41" s="170" t="s">
        <v>107</v>
      </c>
      <c r="B41" s="77"/>
      <c r="C41" s="78" t="s">
        <v>68</v>
      </c>
      <c r="D41" s="78" t="s">
        <v>108</v>
      </c>
      <c r="E41" s="77"/>
      <c r="F41" s="77"/>
      <c r="G41" s="78" t="s">
        <v>62</v>
      </c>
      <c r="H41" s="80">
        <v>400.0</v>
      </c>
      <c r="I41" s="83"/>
      <c r="J41" s="84"/>
      <c r="K41" s="543">
        <v>250.0</v>
      </c>
      <c r="L41" s="83"/>
      <c r="M41" s="146">
        <f t="shared" si="1"/>
        <v>100000</v>
      </c>
      <c r="N41" s="78" t="s">
        <v>108</v>
      </c>
      <c r="O41" s="75" t="s">
        <v>109</v>
      </c>
      <c r="P41" s="76"/>
      <c r="Q41" s="76"/>
      <c r="R41" s="76"/>
      <c r="S41" s="76"/>
      <c r="T41" s="76"/>
      <c r="U41" s="76"/>
      <c r="V41" s="76"/>
      <c r="W41" s="76"/>
      <c r="X41" s="76"/>
      <c r="Y41" s="52"/>
      <c r="Z41" s="52"/>
      <c r="AA41" s="52"/>
      <c r="AB41" s="52"/>
      <c r="AC41" s="52"/>
      <c r="AD41" s="52"/>
      <c r="AE41" s="52"/>
      <c r="AF41" s="52"/>
      <c r="AG41" s="52"/>
      <c r="AH41" s="52"/>
      <c r="AI41" s="52"/>
      <c r="AJ41" s="52"/>
      <c r="AK41" s="52"/>
      <c r="AL41" s="52"/>
      <c r="AM41" s="52"/>
    </row>
    <row r="42">
      <c r="A42" s="170"/>
      <c r="B42" s="77"/>
      <c r="C42" s="77"/>
      <c r="D42" s="78"/>
      <c r="E42" s="77"/>
      <c r="F42" s="77"/>
      <c r="G42" s="77"/>
      <c r="H42" s="79"/>
      <c r="I42" s="83"/>
      <c r="J42" s="84"/>
      <c r="K42" s="544" t="s">
        <v>125</v>
      </c>
      <c r="L42" s="83"/>
      <c r="M42" s="545">
        <f>SUM(M27:M41)</f>
        <v>778690</v>
      </c>
      <c r="N42" s="76"/>
      <c r="O42" s="76"/>
      <c r="P42" s="76"/>
      <c r="Q42" s="76"/>
      <c r="R42" s="76"/>
      <c r="S42" s="76"/>
      <c r="T42" s="76"/>
      <c r="U42" s="76"/>
      <c r="V42" s="76"/>
      <c r="W42" s="76"/>
      <c r="X42" s="76"/>
      <c r="Y42" s="52"/>
      <c r="Z42" s="52"/>
      <c r="AA42" s="52"/>
      <c r="AB42" s="52"/>
      <c r="AC42" s="52"/>
      <c r="AD42" s="52"/>
      <c r="AE42" s="52"/>
      <c r="AF42" s="52"/>
      <c r="AG42" s="52"/>
      <c r="AH42" s="52"/>
      <c r="AI42" s="52"/>
      <c r="AJ42" s="52"/>
      <c r="AK42" s="52"/>
      <c r="AL42" s="52"/>
      <c r="AM42" s="52"/>
    </row>
    <row r="43" ht="28.5" customHeight="1">
      <c r="A43" s="63" t="s">
        <v>22</v>
      </c>
      <c r="B43" s="40"/>
      <c r="C43" s="40"/>
      <c r="D43" s="40"/>
      <c r="E43" s="40"/>
      <c r="F43" s="40"/>
      <c r="G43" s="28"/>
      <c r="H43" s="64"/>
      <c r="I43" s="40"/>
      <c r="J43" s="64"/>
      <c r="K43" s="546"/>
      <c r="L43" s="40"/>
      <c r="M43" s="28"/>
      <c r="N43" s="28"/>
      <c r="O43" s="28"/>
      <c r="P43" s="67"/>
      <c r="Q43" s="67"/>
      <c r="R43" s="67"/>
      <c r="S43" s="67"/>
      <c r="T43" s="67"/>
      <c r="U43" s="67"/>
      <c r="V43" s="67"/>
      <c r="W43" s="67"/>
      <c r="X43" s="67"/>
      <c r="Y43" s="1"/>
      <c r="Z43" s="1"/>
      <c r="AA43" s="1"/>
      <c r="AB43" s="1"/>
      <c r="AC43" s="1"/>
      <c r="AD43" s="1"/>
      <c r="AE43" s="1"/>
      <c r="AF43" s="1"/>
      <c r="AG43" s="1"/>
      <c r="AH43" s="1"/>
      <c r="AI43" s="1"/>
      <c r="AJ43" s="1"/>
      <c r="AK43" s="1"/>
      <c r="AL43" s="1"/>
      <c r="AM43" s="1"/>
    </row>
    <row r="44">
      <c r="A44" s="33" t="s">
        <v>16</v>
      </c>
      <c r="B44" s="31" t="s">
        <v>126</v>
      </c>
      <c r="C44" s="76" t="s">
        <v>22</v>
      </c>
      <c r="D44" s="76" t="s">
        <v>127</v>
      </c>
      <c r="E44" s="75" t="s">
        <v>128</v>
      </c>
      <c r="F44" s="31" t="s">
        <v>129</v>
      </c>
      <c r="G44" s="76" t="s">
        <v>130</v>
      </c>
      <c r="H44" s="78" t="s">
        <v>131</v>
      </c>
      <c r="I44" s="78" t="s">
        <v>16</v>
      </c>
      <c r="J44" s="69">
        <f t="shared" ref="J44:J45" si="3">H44*I44</f>
        <v>35000</v>
      </c>
      <c r="K44" s="547">
        <v>1.0</v>
      </c>
      <c r="L44" s="33">
        <f t="shared" ref="L44:L47" si="4">K44-J44</f>
        <v>-34999</v>
      </c>
      <c r="M44" s="534">
        <f t="shared" ref="M44:M47" si="5">K44*H44</f>
        <v>35000</v>
      </c>
      <c r="N44" s="80" t="s">
        <v>132</v>
      </c>
      <c r="O44" s="67"/>
      <c r="P44" s="67"/>
      <c r="Q44" s="67"/>
      <c r="R44" s="67"/>
      <c r="S44" s="67"/>
      <c r="T44" s="67"/>
      <c r="U44" s="67"/>
      <c r="V44" s="67"/>
      <c r="W44" s="67"/>
      <c r="X44" s="67"/>
      <c r="Y44" s="1"/>
      <c r="Z44" s="1"/>
      <c r="AA44" s="1"/>
      <c r="AB44" s="1"/>
      <c r="AC44" s="1"/>
      <c r="AD44" s="1"/>
      <c r="AE44" s="1"/>
      <c r="AF44" s="1"/>
      <c r="AG44" s="1"/>
      <c r="AH44" s="1"/>
      <c r="AI44" s="1"/>
      <c r="AJ44" s="1"/>
      <c r="AK44" s="1"/>
      <c r="AL44" s="1"/>
      <c r="AM44" s="1"/>
    </row>
    <row r="45">
      <c r="A45" s="33" t="s">
        <v>18</v>
      </c>
      <c r="B45" s="31" t="s">
        <v>126</v>
      </c>
      <c r="C45" s="76" t="s">
        <v>22</v>
      </c>
      <c r="D45" s="76" t="s">
        <v>127</v>
      </c>
      <c r="E45" s="75" t="s">
        <v>133</v>
      </c>
      <c r="F45" s="31" t="s">
        <v>129</v>
      </c>
      <c r="G45" s="76" t="s">
        <v>130</v>
      </c>
      <c r="H45" s="78" t="s">
        <v>134</v>
      </c>
      <c r="I45" s="78" t="s">
        <v>16</v>
      </c>
      <c r="J45" s="69">
        <f t="shared" si="3"/>
        <v>45000</v>
      </c>
      <c r="K45" s="547">
        <v>1.0</v>
      </c>
      <c r="L45" s="33">
        <f t="shared" si="4"/>
        <v>-44999</v>
      </c>
      <c r="M45" s="534">
        <f t="shared" si="5"/>
        <v>45000</v>
      </c>
      <c r="N45" s="80" t="s">
        <v>135</v>
      </c>
      <c r="O45" s="67"/>
      <c r="P45" s="67"/>
      <c r="Q45" s="67"/>
      <c r="R45" s="67"/>
      <c r="S45" s="67"/>
      <c r="T45" s="67"/>
      <c r="U45" s="67"/>
      <c r="V45" s="67"/>
      <c r="W45" s="67"/>
      <c r="X45" s="67"/>
      <c r="Y45" s="1"/>
      <c r="Z45" s="1"/>
      <c r="AA45" s="1"/>
      <c r="AB45" s="1"/>
      <c r="AC45" s="1"/>
      <c r="AD45" s="1"/>
      <c r="AE45" s="1"/>
      <c r="AF45" s="1"/>
      <c r="AG45" s="1"/>
      <c r="AH45" s="1"/>
      <c r="AI45" s="1"/>
      <c r="AJ45" s="1"/>
      <c r="AK45" s="1"/>
      <c r="AL45" s="1"/>
      <c r="AM45" s="1"/>
    </row>
    <row r="46">
      <c r="A46" s="33" t="s">
        <v>24</v>
      </c>
      <c r="B46" s="31" t="s">
        <v>126</v>
      </c>
      <c r="C46" s="76" t="s">
        <v>22</v>
      </c>
      <c r="D46" s="76" t="s">
        <v>127</v>
      </c>
      <c r="E46" s="75" t="s">
        <v>128</v>
      </c>
      <c r="F46" s="31" t="s">
        <v>129</v>
      </c>
      <c r="G46" s="76" t="s">
        <v>130</v>
      </c>
      <c r="H46" s="78" t="s">
        <v>131</v>
      </c>
      <c r="I46" s="78" t="s">
        <v>16</v>
      </c>
      <c r="J46" s="69">
        <f>J44</f>
        <v>35000</v>
      </c>
      <c r="K46" s="547">
        <v>1.0</v>
      </c>
      <c r="L46" s="33">
        <f t="shared" si="4"/>
        <v>-34999</v>
      </c>
      <c r="M46" s="534">
        <f t="shared" si="5"/>
        <v>35000</v>
      </c>
      <c r="N46" s="80" t="s">
        <v>136</v>
      </c>
      <c r="O46" s="67"/>
      <c r="P46" s="67"/>
      <c r="Q46" s="67"/>
      <c r="R46" s="67"/>
      <c r="S46" s="67"/>
      <c r="T46" s="67"/>
      <c r="U46" s="67"/>
      <c r="V46" s="67"/>
      <c r="W46" s="67"/>
      <c r="X46" s="67"/>
      <c r="Y46" s="1"/>
      <c r="Z46" s="1"/>
      <c r="AA46" s="1"/>
      <c r="AB46" s="1"/>
      <c r="AC46" s="1"/>
      <c r="AD46" s="1"/>
      <c r="AE46" s="1"/>
      <c r="AF46" s="1"/>
      <c r="AG46" s="1"/>
      <c r="AH46" s="1"/>
      <c r="AI46" s="1"/>
      <c r="AJ46" s="1"/>
      <c r="AK46" s="1"/>
      <c r="AL46" s="1"/>
      <c r="AM46" s="1"/>
    </row>
    <row r="47" ht="69.0" customHeight="1">
      <c r="A47" s="33" t="s">
        <v>27</v>
      </c>
      <c r="B47" s="77" t="s">
        <v>137</v>
      </c>
      <c r="C47" s="67" t="str">
        <f>VLOOKUP($B47,'Rate card'!$A$4:$G279,2,FALSE)</f>
        <v>Plumbing</v>
      </c>
      <c r="D47" s="67" t="str">
        <f>VLOOKUP($B47,'Rate card'!$A$4:$G279,3,FALSE)</f>
        <v>Kitchen Plumbing</v>
      </c>
      <c r="E47" s="62" t="s">
        <v>138</v>
      </c>
      <c r="F47" s="77" t="str">
        <f>VLOOKUP($B47,'Rate card'!$A$4:$G279,5,FALSE)</f>
        <v>all plumbing concealed wall and floor CPVC and UPVC pipes and chipping and replastering work </v>
      </c>
      <c r="G47" s="67" t="str">
        <f>VLOOKUP($B47,'Rate card'!$A$4:$G279,6,FALSE)</f>
        <v>per kitchen</v>
      </c>
      <c r="H47" s="31" t="s">
        <v>139</v>
      </c>
      <c r="I47" s="33" t="s">
        <v>16</v>
      </c>
      <c r="J47" s="69">
        <f>H47*I47</f>
        <v>20000</v>
      </c>
      <c r="K47" s="547">
        <v>1.0</v>
      </c>
      <c r="L47" s="33">
        <f t="shared" si="4"/>
        <v>-19999</v>
      </c>
      <c r="M47" s="534">
        <f t="shared" si="5"/>
        <v>20000</v>
      </c>
      <c r="N47" s="80" t="s">
        <v>140</v>
      </c>
      <c r="O47" s="67"/>
      <c r="P47" s="67"/>
      <c r="Q47" s="67"/>
      <c r="R47" s="67"/>
      <c r="S47" s="67"/>
      <c r="T47" s="67"/>
      <c r="U47" s="67"/>
      <c r="V47" s="67"/>
      <c r="W47" s="67"/>
      <c r="X47" s="67"/>
      <c r="Y47" s="1"/>
      <c r="Z47" s="1"/>
      <c r="AA47" s="1"/>
      <c r="AB47" s="1"/>
      <c r="AC47" s="1"/>
      <c r="AD47" s="1"/>
      <c r="AE47" s="1"/>
      <c r="AF47" s="1"/>
      <c r="AG47" s="1"/>
      <c r="AH47" s="1"/>
      <c r="AI47" s="1"/>
      <c r="AJ47" s="1"/>
      <c r="AK47" s="1"/>
      <c r="AL47" s="1"/>
      <c r="AM47" s="1"/>
    </row>
    <row r="48">
      <c r="A48" s="33"/>
      <c r="B48" s="33"/>
      <c r="C48" s="33"/>
      <c r="D48" s="33"/>
      <c r="E48" s="33"/>
      <c r="F48" s="33"/>
      <c r="G48" s="33"/>
      <c r="H48" s="89"/>
      <c r="I48" s="83" t="s">
        <v>125</v>
      </c>
      <c r="J48" s="84">
        <f>SUM(J44:J47)</f>
        <v>135000</v>
      </c>
      <c r="K48" s="548" t="s">
        <v>125</v>
      </c>
      <c r="L48" s="83">
        <f>sum(L44:L47)</f>
        <v>-134996</v>
      </c>
      <c r="M48" s="84">
        <f>SUM(M44:M47)</f>
        <v>135000</v>
      </c>
      <c r="N48" s="76"/>
      <c r="O48" s="76"/>
      <c r="P48" s="76"/>
      <c r="Q48" s="76"/>
      <c r="R48" s="76"/>
      <c r="S48" s="76"/>
      <c r="T48" s="76"/>
      <c r="U48" s="76"/>
      <c r="V48" s="76"/>
      <c r="W48" s="76"/>
      <c r="X48" s="76"/>
      <c r="Y48" s="52"/>
      <c r="Z48" s="52"/>
      <c r="AA48" s="52"/>
      <c r="AB48" s="52"/>
      <c r="AC48" s="52"/>
      <c r="AD48" s="52"/>
      <c r="AE48" s="52"/>
      <c r="AF48" s="52"/>
      <c r="AG48" s="52"/>
      <c r="AH48" s="52"/>
      <c r="AI48" s="52"/>
      <c r="AJ48" s="52"/>
      <c r="AK48" s="52"/>
      <c r="AL48" s="52"/>
      <c r="AM48" s="52"/>
    </row>
    <row r="49" ht="28.5" customHeight="1">
      <c r="A49" s="63" t="s">
        <v>25</v>
      </c>
      <c r="B49" s="40"/>
      <c r="C49" s="40"/>
      <c r="D49" s="40"/>
      <c r="E49" s="40"/>
      <c r="F49" s="40"/>
      <c r="G49" s="28"/>
      <c r="H49" s="64"/>
      <c r="I49" s="40"/>
      <c r="J49" s="64"/>
      <c r="K49" s="540"/>
      <c r="L49" s="40"/>
      <c r="M49" s="28"/>
      <c r="N49" s="28"/>
      <c r="O49" s="28"/>
      <c r="P49" s="67"/>
      <c r="Q49" s="67"/>
      <c r="R49" s="67"/>
      <c r="S49" s="67"/>
      <c r="T49" s="67"/>
      <c r="U49" s="67"/>
      <c r="V49" s="67"/>
      <c r="W49" s="67"/>
      <c r="X49" s="67"/>
      <c r="Y49" s="1"/>
      <c r="Z49" s="1"/>
      <c r="AA49" s="1"/>
      <c r="AB49" s="1"/>
      <c r="AC49" s="1"/>
      <c r="AD49" s="1"/>
      <c r="AE49" s="1"/>
      <c r="AF49" s="1"/>
      <c r="AG49" s="1"/>
      <c r="AH49" s="1"/>
      <c r="AI49" s="1"/>
      <c r="AJ49" s="1"/>
      <c r="AK49" s="1"/>
      <c r="AL49" s="1"/>
      <c r="AM49" s="1"/>
    </row>
    <row r="50">
      <c r="A50" s="33" t="s">
        <v>16</v>
      </c>
      <c r="B50" s="33" t="s">
        <v>141</v>
      </c>
      <c r="C50" s="77" t="s">
        <v>25</v>
      </c>
      <c r="D50" s="77" t="s">
        <v>142</v>
      </c>
      <c r="E50" s="77" t="s">
        <v>143</v>
      </c>
      <c r="F50" s="77" t="s">
        <v>144</v>
      </c>
      <c r="G50" s="33" t="s">
        <v>145</v>
      </c>
      <c r="H50" s="78" t="s">
        <v>70</v>
      </c>
      <c r="I50" s="78" t="s">
        <v>146</v>
      </c>
      <c r="J50" s="69">
        <f>H50*I50</f>
        <v>585550</v>
      </c>
      <c r="K50" s="537">
        <v>1673.0</v>
      </c>
      <c r="L50" s="33">
        <f>K50-J50</f>
        <v>-583877</v>
      </c>
      <c r="M50" s="80">
        <f>K50*H50</f>
        <v>585550</v>
      </c>
      <c r="N50" s="62" t="s">
        <v>145</v>
      </c>
      <c r="O50" s="67"/>
      <c r="P50" s="67"/>
      <c r="Q50" s="67"/>
      <c r="R50" s="67"/>
      <c r="S50" s="67"/>
      <c r="T50" s="67"/>
      <c r="U50" s="67"/>
      <c r="V50" s="67"/>
      <c r="W50" s="67"/>
      <c r="X50" s="67"/>
      <c r="Y50" s="1"/>
      <c r="Z50" s="1"/>
      <c r="AA50" s="1"/>
      <c r="AB50" s="1"/>
      <c r="AC50" s="1"/>
      <c r="AD50" s="1"/>
      <c r="AE50" s="1"/>
      <c r="AF50" s="1"/>
      <c r="AG50" s="1"/>
      <c r="AH50" s="1"/>
      <c r="AI50" s="1"/>
      <c r="AJ50" s="1"/>
      <c r="AK50" s="1"/>
      <c r="AL50" s="1"/>
      <c r="AM50" s="1"/>
    </row>
    <row r="51">
      <c r="A51" s="33"/>
      <c r="B51" s="33"/>
      <c r="C51" s="77"/>
      <c r="D51" s="77"/>
      <c r="E51" s="77"/>
      <c r="F51" s="77"/>
      <c r="G51" s="77"/>
      <c r="H51" s="91"/>
      <c r="I51" s="83" t="s">
        <v>125</v>
      </c>
      <c r="J51" s="92">
        <f>SUM(J50)</f>
        <v>585550</v>
      </c>
      <c r="K51" s="549" t="s">
        <v>147</v>
      </c>
      <c r="L51" s="83"/>
      <c r="M51" s="79">
        <f>SUM(M50)</f>
        <v>585550</v>
      </c>
      <c r="N51" s="67"/>
      <c r="O51" s="67"/>
      <c r="P51" s="67"/>
      <c r="Q51" s="67"/>
      <c r="R51" s="67"/>
      <c r="S51" s="67"/>
      <c r="T51" s="67"/>
      <c r="U51" s="67"/>
      <c r="V51" s="67"/>
      <c r="W51" s="67"/>
      <c r="X51" s="67"/>
      <c r="Y51" s="1"/>
      <c r="Z51" s="1"/>
      <c r="AA51" s="1"/>
      <c r="AB51" s="1"/>
      <c r="AC51" s="1"/>
      <c r="AD51" s="1"/>
      <c r="AE51" s="1"/>
      <c r="AF51" s="1"/>
      <c r="AG51" s="1"/>
      <c r="AH51" s="1"/>
      <c r="AI51" s="1"/>
      <c r="AJ51" s="1"/>
      <c r="AK51" s="1"/>
      <c r="AL51" s="1"/>
      <c r="AM51" s="1"/>
    </row>
    <row r="52">
      <c r="A52" s="25" t="s">
        <v>148</v>
      </c>
      <c r="B52" s="40"/>
      <c r="C52" s="40"/>
      <c r="D52" s="40"/>
      <c r="E52" s="40"/>
      <c r="F52" s="40"/>
      <c r="G52" s="64"/>
      <c r="H52" s="40"/>
      <c r="I52" s="64"/>
      <c r="J52" s="64"/>
      <c r="K52" s="540"/>
      <c r="L52" s="64"/>
      <c r="M52" s="28"/>
      <c r="N52" s="28"/>
      <c r="O52" s="28"/>
      <c r="P52" s="67"/>
      <c r="Q52" s="67"/>
      <c r="R52" s="67"/>
      <c r="S52" s="67"/>
      <c r="T52" s="67"/>
      <c r="U52" s="67"/>
      <c r="V52" s="67"/>
      <c r="W52" s="67"/>
      <c r="X52" s="67"/>
      <c r="Y52" s="1"/>
      <c r="Z52" s="1"/>
      <c r="AA52" s="1"/>
      <c r="AB52" s="1"/>
      <c r="AC52" s="1"/>
      <c r="AD52" s="1"/>
      <c r="AE52" s="1"/>
      <c r="AF52" s="1"/>
      <c r="AG52" s="1"/>
      <c r="AH52" s="1"/>
      <c r="AI52" s="1"/>
      <c r="AJ52" s="1"/>
      <c r="AK52" s="1"/>
      <c r="AL52" s="1"/>
      <c r="AM52" s="1"/>
    </row>
    <row r="53">
      <c r="A53" s="33" t="s">
        <v>16</v>
      </c>
      <c r="B53" s="77" t="s">
        <v>149</v>
      </c>
      <c r="C53" s="77" t="str">
        <f>VLOOKUP($B53,'Rate card'!$A$4:$G279,2,FALSE)</f>
        <v>False Ceiling</v>
      </c>
      <c r="D53" s="77" t="str">
        <f>VLOOKUP($B53,'Rate card'!$A$4:$G279,3,FALSE)</f>
        <v>Gypsum Board Ceiling</v>
      </c>
      <c r="E53" s="77" t="str">
        <f>VLOOKUP($B53,'Rate card'!$A$4:$G279,4,FALSE)</f>
        <v>Saint Gobain/Gyproc Board + local A Grade  channel</v>
      </c>
      <c r="F53" s="77" t="str">
        <f>VLOOKUP($B53,'Rate card'!$A$4:$G279,5,FALSE)</f>
        <v>12.5mm thick gypsum board, with local A Grade Channel including all material, labour, transportation etc | Ceiling Channel and Intermediate Channel at 900mm c/c &amp; Ceiling Section at 450mm c/c</v>
      </c>
      <c r="G53" s="77" t="str">
        <f>VLOOKUP($B53,'Rate card'!$A$4:$G279,6,FALSE)</f>
        <v>Sqft</v>
      </c>
      <c r="H53" s="62">
        <v>120.0</v>
      </c>
      <c r="I53" s="78" t="s">
        <v>150</v>
      </c>
      <c r="J53" s="79">
        <f t="shared" ref="J53:J57" si="6">H53*I53</f>
        <v>173640</v>
      </c>
      <c r="K53" s="537">
        <v>1450.0</v>
      </c>
      <c r="L53" s="33">
        <f t="shared" ref="L53:L56" si="7">K53-J53</f>
        <v>-172190</v>
      </c>
      <c r="M53" s="534">
        <f t="shared" ref="M53:M57" si="8">K53*H53</f>
        <v>174000</v>
      </c>
      <c r="N53" s="67" t="s">
        <v>151</v>
      </c>
      <c r="O53" s="67"/>
      <c r="P53" s="67"/>
      <c r="Q53" s="67"/>
      <c r="R53" s="67"/>
      <c r="S53" s="67"/>
      <c r="T53" s="67"/>
      <c r="U53" s="67"/>
      <c r="V53" s="67"/>
      <c r="W53" s="67"/>
      <c r="X53" s="67"/>
      <c r="Y53" s="1"/>
      <c r="Z53" s="1"/>
      <c r="AA53" s="1"/>
      <c r="AB53" s="1"/>
      <c r="AC53" s="1"/>
      <c r="AD53" s="1"/>
      <c r="AE53" s="1"/>
      <c r="AF53" s="1"/>
      <c r="AG53" s="1"/>
      <c r="AH53" s="1"/>
      <c r="AI53" s="1"/>
      <c r="AJ53" s="1"/>
      <c r="AK53" s="1"/>
      <c r="AL53" s="1"/>
      <c r="AM53" s="1"/>
    </row>
    <row r="54">
      <c r="A54" s="33" t="s">
        <v>18</v>
      </c>
      <c r="B54" s="33" t="s">
        <v>152</v>
      </c>
      <c r="C54" s="33" t="str">
        <f>VLOOKUP($B54,'Rate card'!$A$4:$G279,2,FALSE)</f>
        <v>False Ceiling</v>
      </c>
      <c r="D54" s="33" t="str">
        <f>VLOOKUP($B54,'Rate card'!$A$4:$G279,3,FALSE)</f>
        <v>Gypsum Board Cove</v>
      </c>
      <c r="E54" s="33" t="str">
        <f>VLOOKUP($B54,'Rate card'!$A$4:$G279,4,FALSE)</f>
        <v>Gypsum cove</v>
      </c>
      <c r="F54" s="33" t="str">
        <f>VLOOKUP($B54,'Rate card'!$A$4:$G279,5,FALSE)</f>
        <v>12.5mm thick gypsum board, with local A Grade Channel including all material, labour, transportation etc | Ceiling Channel and Intermediate Channel at 900mm c/c &amp; Ceiling Section at 450mm c/c</v>
      </c>
      <c r="G54" s="33" t="str">
        <f>VLOOKUP($B54,'Rate card'!$A$4:$G279,6,FALSE)</f>
        <v>Rft</v>
      </c>
      <c r="H54" s="94">
        <v>120.0</v>
      </c>
      <c r="I54" s="31" t="s">
        <v>153</v>
      </c>
      <c r="J54" s="69">
        <f t="shared" si="6"/>
        <v>96000</v>
      </c>
      <c r="K54" s="537">
        <v>800.0</v>
      </c>
      <c r="L54" s="33">
        <f t="shared" si="7"/>
        <v>-95200</v>
      </c>
      <c r="M54" s="534">
        <f t="shared" si="8"/>
        <v>96000</v>
      </c>
      <c r="N54" s="67" t="s">
        <v>151</v>
      </c>
      <c r="O54" s="67"/>
      <c r="P54" s="67"/>
      <c r="Q54" s="67"/>
      <c r="R54" s="67"/>
      <c r="S54" s="67"/>
      <c r="T54" s="67"/>
      <c r="U54" s="67"/>
      <c r="V54" s="67"/>
      <c r="W54" s="67"/>
      <c r="X54" s="67"/>
      <c r="Y54" s="1"/>
      <c r="Z54" s="1"/>
      <c r="AA54" s="1"/>
      <c r="AB54" s="1"/>
      <c r="AC54" s="1"/>
      <c r="AD54" s="1"/>
      <c r="AE54" s="1"/>
      <c r="AF54" s="1"/>
      <c r="AG54" s="1"/>
      <c r="AH54" s="1"/>
      <c r="AI54" s="1"/>
      <c r="AJ54" s="1"/>
      <c r="AK54" s="1"/>
      <c r="AL54" s="1"/>
      <c r="AM54" s="1"/>
    </row>
    <row r="55">
      <c r="A55" s="33" t="s">
        <v>24</v>
      </c>
      <c r="B55" s="77" t="s">
        <v>154</v>
      </c>
      <c r="C55" s="77" t="str">
        <f>VLOOKUP($B55,'Rate card'!$A$4:$G279,2,FALSE)</f>
        <v>False Ceiling</v>
      </c>
      <c r="D55" s="77" t="str">
        <f>VLOOKUP($B55,'Rate card'!$A$4:$G279,3,FALSE)</f>
        <v>Hilux Board ceiling</v>
      </c>
      <c r="E55" s="77" t="str">
        <f>VLOOKUP($B55,'Rate card'!$A$4:$G279,4,FALSE)</f>
        <v>Hilux Board + local A Grade  channel</v>
      </c>
      <c r="F55" s="77" t="str">
        <f>VLOOKUP($B55,'Rate card'!$A$4:$G279,5,FALSE)</f>
        <v>8mm Ramco hilux board, with local A Grade Channel including all material, labour, transportation etc | Ceiling Channel and Intermediate Channel at 900mm c/c &amp; Ceiling Section at 450mm c/c</v>
      </c>
      <c r="G55" s="77" t="str">
        <f>VLOOKUP($B55,'Rate card'!$A$4:$G279,6,FALSE)</f>
        <v>Sqft</v>
      </c>
      <c r="H55" s="94">
        <v>200.0</v>
      </c>
      <c r="I55" s="78" t="s">
        <v>155</v>
      </c>
      <c r="J55" s="79">
        <f t="shared" si="6"/>
        <v>45200</v>
      </c>
      <c r="K55" s="537">
        <v>200.0</v>
      </c>
      <c r="L55" s="33">
        <f t="shared" si="7"/>
        <v>-45000</v>
      </c>
      <c r="M55" s="534">
        <f t="shared" si="8"/>
        <v>40000</v>
      </c>
      <c r="N55" s="67" t="s">
        <v>156</v>
      </c>
      <c r="O55" s="67"/>
      <c r="P55" s="67"/>
      <c r="Q55" s="67"/>
      <c r="R55" s="67"/>
      <c r="S55" s="67"/>
      <c r="T55" s="67"/>
      <c r="U55" s="67"/>
      <c r="V55" s="67"/>
      <c r="W55" s="67"/>
      <c r="X55" s="67"/>
      <c r="Y55" s="1"/>
      <c r="Z55" s="1"/>
      <c r="AA55" s="1"/>
      <c r="AB55" s="1"/>
      <c r="AC55" s="1"/>
      <c r="AD55" s="1"/>
      <c r="AE55" s="1"/>
      <c r="AF55" s="1"/>
      <c r="AG55" s="1"/>
      <c r="AH55" s="1"/>
      <c r="AI55" s="1"/>
      <c r="AJ55" s="1"/>
      <c r="AK55" s="1"/>
      <c r="AL55" s="1"/>
      <c r="AM55" s="1"/>
    </row>
    <row r="56">
      <c r="A56" s="33" t="s">
        <v>27</v>
      </c>
      <c r="B56" s="77" t="s">
        <v>157</v>
      </c>
      <c r="C56" s="77" t="str">
        <f>VLOOKUP($B56,'Rate card'!$A$4:$G279,2,FALSE)</f>
        <v>POP</v>
      </c>
      <c r="D56" s="77" t="str">
        <f>VLOOKUP($B56,'Rate card'!$A$4:$G279,3,FALSE)</f>
        <v>POP Punning</v>
      </c>
      <c r="E56" s="77" t="str">
        <f>VLOOKUP($B56,'Rate card'!$A$4:$G279,4,FALSE)</f>
        <v>POP Punning (Plum) 12-25mm thick</v>
      </c>
      <c r="F56" s="77" t="str">
        <f>VLOOKUP($B56,'Rate card'!$A$4:$G279,5,FALSE)</f>
        <v>Providing and applying 12-25  mm thick POP punning on wall /ceiling including scrapping and hacking the existing finished surface and applying plaster of paris in proper line and levels etc. complete.</v>
      </c>
      <c r="G56" s="77" t="str">
        <f>VLOOKUP($B56,'Rate card'!$A$4:$G279,6,FALSE)</f>
        <v>Sqft</v>
      </c>
      <c r="H56" s="95">
        <v>45.0</v>
      </c>
      <c r="I56" s="78" t="s">
        <v>158</v>
      </c>
      <c r="J56" s="79">
        <f t="shared" si="6"/>
        <v>45000</v>
      </c>
      <c r="K56" s="537">
        <v>2000.0</v>
      </c>
      <c r="L56" s="33">
        <f t="shared" si="7"/>
        <v>-43000</v>
      </c>
      <c r="M56" s="534">
        <f t="shared" si="8"/>
        <v>90000</v>
      </c>
      <c r="N56" s="62" t="s">
        <v>159</v>
      </c>
      <c r="O56" s="67"/>
      <c r="P56" s="67"/>
      <c r="Q56" s="67"/>
      <c r="R56" s="67"/>
      <c r="S56" s="67"/>
      <c r="T56" s="67"/>
      <c r="U56" s="67"/>
      <c r="V56" s="67"/>
      <c r="W56" s="67"/>
      <c r="X56" s="67"/>
      <c r="Y56" s="1"/>
      <c r="Z56" s="1"/>
      <c r="AA56" s="1"/>
      <c r="AB56" s="1"/>
      <c r="AC56" s="1"/>
      <c r="AD56" s="1"/>
      <c r="AE56" s="1"/>
      <c r="AF56" s="1"/>
      <c r="AG56" s="1"/>
      <c r="AH56" s="1"/>
      <c r="AI56" s="1"/>
      <c r="AJ56" s="1"/>
      <c r="AK56" s="1"/>
      <c r="AL56" s="1"/>
      <c r="AM56" s="1"/>
    </row>
    <row r="57">
      <c r="A57" s="33" t="s">
        <v>32</v>
      </c>
      <c r="B57" s="77" t="s">
        <v>160</v>
      </c>
      <c r="C57" s="77" t="str">
        <f>VLOOKUP($B57,'Rate card'!$A$4:$G279,2,FALSE)</f>
        <v>False Ceiling</v>
      </c>
      <c r="D57" s="77" t="str">
        <f>VLOOKUP($B57,'Rate card'!$A$4:$G279,3,FALSE)</f>
        <v>Light Gala cutting</v>
      </c>
      <c r="E57" s="77" t="str">
        <f>VLOOKUP($B57,'Rate card'!$A$4:$G279,4,FALSE)</f>
        <v>NA</v>
      </c>
      <c r="F57" s="77" t="str">
        <f>VLOOKUP($B57,'Rate card'!$A$4:$G279,5,FALSE)</f>
        <v>NA</v>
      </c>
      <c r="G57" s="77" t="str">
        <f>VLOOKUP($B57,'Rate card'!$A$4:$G279,6,FALSE)</f>
        <v>Nos</v>
      </c>
      <c r="H57" s="94">
        <v>100.0</v>
      </c>
      <c r="I57" s="78" t="s">
        <v>90</v>
      </c>
      <c r="J57" s="79">
        <f t="shared" si="6"/>
        <v>20000</v>
      </c>
      <c r="K57" s="537">
        <v>200.0</v>
      </c>
      <c r="L57" s="33" t="str">
        <f>#REF!-#REF!</f>
        <v>#REF!</v>
      </c>
      <c r="M57" s="534">
        <f t="shared" si="8"/>
        <v>20000</v>
      </c>
      <c r="N57" s="67" t="s">
        <v>151</v>
      </c>
      <c r="O57" s="67"/>
      <c r="P57" s="67"/>
      <c r="Q57" s="67"/>
      <c r="R57" s="67"/>
      <c r="S57" s="67"/>
      <c r="T57" s="67"/>
      <c r="U57" s="67"/>
      <c r="V57" s="67"/>
      <c r="W57" s="67"/>
      <c r="X57" s="67"/>
      <c r="Y57" s="1"/>
      <c r="Z57" s="1"/>
      <c r="AA57" s="1"/>
      <c r="AB57" s="1"/>
      <c r="AC57" s="1"/>
      <c r="AD57" s="1"/>
      <c r="AE57" s="1"/>
      <c r="AF57" s="1"/>
      <c r="AG57" s="1"/>
      <c r="AH57" s="1"/>
      <c r="AI57" s="1"/>
      <c r="AJ57" s="1"/>
      <c r="AK57" s="1"/>
      <c r="AL57" s="1"/>
      <c r="AM57" s="1"/>
    </row>
    <row r="58">
      <c r="A58" s="33"/>
      <c r="B58" s="33"/>
      <c r="C58" s="77"/>
      <c r="D58" s="77"/>
      <c r="E58" s="77"/>
      <c r="F58" s="77"/>
      <c r="G58" s="77"/>
      <c r="H58" s="91"/>
      <c r="I58" s="83" t="s">
        <v>125</v>
      </c>
      <c r="J58" s="92">
        <f>SUM(J53:J57)</f>
        <v>379840</v>
      </c>
      <c r="K58" s="549" t="s">
        <v>147</v>
      </c>
      <c r="L58" s="83" t="s">
        <v>125</v>
      </c>
      <c r="M58" s="67">
        <f>SUM(M53:M57)</f>
        <v>420000</v>
      </c>
      <c r="N58" s="67"/>
      <c r="O58" s="67"/>
      <c r="P58" s="67"/>
      <c r="Q58" s="67"/>
      <c r="R58" s="67"/>
      <c r="S58" s="67"/>
      <c r="T58" s="67"/>
      <c r="U58" s="67"/>
      <c r="V58" s="67"/>
      <c r="W58" s="67"/>
      <c r="X58" s="67"/>
      <c r="Y58" s="1"/>
      <c r="Z58" s="1"/>
      <c r="AA58" s="1"/>
      <c r="AB58" s="1"/>
      <c r="AC58" s="1"/>
      <c r="AD58" s="1"/>
      <c r="AE58" s="1"/>
      <c r="AF58" s="1"/>
      <c r="AG58" s="1"/>
      <c r="AH58" s="1"/>
      <c r="AI58" s="1"/>
      <c r="AJ58" s="1"/>
      <c r="AK58" s="1"/>
      <c r="AL58" s="1"/>
      <c r="AM58" s="1"/>
    </row>
    <row r="59">
      <c r="A59" s="25" t="s">
        <v>31</v>
      </c>
      <c r="B59" s="40"/>
      <c r="C59" s="40"/>
      <c r="D59" s="40"/>
      <c r="E59" s="40"/>
      <c r="F59" s="40"/>
      <c r="G59" s="28"/>
      <c r="H59" s="64"/>
      <c r="I59" s="64"/>
      <c r="J59" s="64"/>
      <c r="K59" s="540"/>
      <c r="L59" s="64"/>
      <c r="M59" s="28"/>
      <c r="N59" s="28"/>
      <c r="O59" s="28"/>
      <c r="P59" s="67"/>
      <c r="Q59" s="67"/>
      <c r="R59" s="67"/>
      <c r="S59" s="67"/>
      <c r="T59" s="67"/>
      <c r="U59" s="67"/>
      <c r="V59" s="67"/>
      <c r="W59" s="67"/>
      <c r="X59" s="67"/>
      <c r="Y59" s="1"/>
      <c r="Z59" s="1"/>
      <c r="AA59" s="1"/>
      <c r="AB59" s="1"/>
      <c r="AC59" s="1"/>
      <c r="AD59" s="1"/>
      <c r="AE59" s="1"/>
      <c r="AF59" s="1"/>
      <c r="AG59" s="1"/>
      <c r="AH59" s="1"/>
      <c r="AI59" s="1"/>
      <c r="AJ59" s="1"/>
      <c r="AK59" s="1"/>
      <c r="AL59" s="1"/>
      <c r="AM59" s="1"/>
    </row>
    <row r="60">
      <c r="A60" s="63" t="s">
        <v>161</v>
      </c>
      <c r="B60" s="40"/>
      <c r="C60" s="40"/>
      <c r="D60" s="40"/>
      <c r="E60" s="40"/>
      <c r="F60" s="40"/>
      <c r="G60" s="28"/>
      <c r="H60" s="64"/>
      <c r="I60" s="40"/>
      <c r="J60" s="64"/>
      <c r="K60" s="540"/>
      <c r="L60" s="40"/>
      <c r="M60" s="28"/>
      <c r="N60" s="28"/>
      <c r="O60" s="28"/>
      <c r="P60" s="67"/>
      <c r="Q60" s="67"/>
      <c r="R60" s="67"/>
      <c r="S60" s="67"/>
      <c r="T60" s="67"/>
      <c r="U60" s="67"/>
      <c r="V60" s="67"/>
      <c r="W60" s="67"/>
      <c r="X60" s="67"/>
      <c r="Y60" s="1"/>
      <c r="Z60" s="1"/>
      <c r="AA60" s="1"/>
      <c r="AB60" s="1"/>
      <c r="AC60" s="1"/>
      <c r="AD60" s="1"/>
      <c r="AE60" s="1"/>
      <c r="AF60" s="1"/>
      <c r="AG60" s="1"/>
      <c r="AH60" s="1"/>
      <c r="AI60" s="1"/>
      <c r="AJ60" s="1"/>
      <c r="AK60" s="1"/>
      <c r="AL60" s="1"/>
      <c r="AM60" s="1"/>
    </row>
    <row r="61">
      <c r="A61" s="31" t="s">
        <v>16</v>
      </c>
      <c r="B61" s="62" t="s">
        <v>162</v>
      </c>
      <c r="C61" s="95" t="str">
        <f>VLOOKUP($B61,'Rate card'!$A$4:$G279,2,FALSE)</f>
        <v>Carpentry</v>
      </c>
      <c r="D61" s="75" t="s">
        <v>163</v>
      </c>
      <c r="E61" s="95" t="s">
        <v>164</v>
      </c>
      <c r="F61" s="75" t="s">
        <v>165</v>
      </c>
      <c r="G61" s="95" t="str">
        <f>VLOOKUP($B61,'Rate card'!$A$4:$G279,6,FALSE)</f>
        <v>Nos</v>
      </c>
      <c r="H61" s="62">
        <v>65000.0</v>
      </c>
      <c r="I61" s="78" t="s">
        <v>16</v>
      </c>
      <c r="J61" s="79">
        <f t="shared" ref="J61:J63" si="9">H61*I61</f>
        <v>65000</v>
      </c>
      <c r="K61" s="550">
        <v>1.0</v>
      </c>
      <c r="L61" s="534"/>
      <c r="M61" s="69">
        <f t="shared" ref="M61:M74" si="10">K61*H61</f>
        <v>65000</v>
      </c>
      <c r="N61" s="75" t="s">
        <v>166</v>
      </c>
      <c r="O61" s="534"/>
      <c r="P61" s="67"/>
      <c r="Q61" s="67"/>
      <c r="R61" s="67"/>
      <c r="S61" s="67"/>
      <c r="T61" s="67"/>
      <c r="U61" s="67"/>
      <c r="V61" s="67"/>
      <c r="W61" s="67"/>
      <c r="X61" s="67"/>
      <c r="Y61" s="1"/>
      <c r="Z61" s="1"/>
      <c r="AA61" s="1"/>
      <c r="AB61" s="1"/>
      <c r="AC61" s="1"/>
      <c r="AD61" s="1"/>
      <c r="AE61" s="1"/>
      <c r="AF61" s="1"/>
      <c r="AG61" s="1"/>
      <c r="AH61" s="1"/>
      <c r="AI61" s="1"/>
      <c r="AJ61" s="1"/>
      <c r="AK61" s="1"/>
      <c r="AL61" s="1"/>
      <c r="AM61" s="1"/>
    </row>
    <row r="62">
      <c r="A62" s="31" t="s">
        <v>18</v>
      </c>
      <c r="B62" s="62" t="s">
        <v>162</v>
      </c>
      <c r="C62" s="76" t="s">
        <v>31</v>
      </c>
      <c r="D62" s="76" t="s">
        <v>167</v>
      </c>
      <c r="E62" s="76" t="s">
        <v>164</v>
      </c>
      <c r="F62" s="76" t="s">
        <v>168</v>
      </c>
      <c r="G62" s="76" t="s">
        <v>120</v>
      </c>
      <c r="H62" s="62">
        <v>750.0</v>
      </c>
      <c r="I62" s="78">
        <f>4+9+9</f>
        <v>22</v>
      </c>
      <c r="J62" s="79">
        <f t="shared" si="9"/>
        <v>16500</v>
      </c>
      <c r="K62" s="550">
        <v>22.0</v>
      </c>
      <c r="L62" s="534"/>
      <c r="M62" s="69">
        <f t="shared" si="10"/>
        <v>16500</v>
      </c>
      <c r="N62" s="75" t="s">
        <v>169</v>
      </c>
      <c r="O62" s="534"/>
      <c r="P62" s="67"/>
      <c r="Q62" s="67"/>
      <c r="R62" s="67"/>
      <c r="S62" s="67"/>
      <c r="T62" s="67"/>
      <c r="U62" s="67"/>
      <c r="V62" s="67"/>
      <c r="W62" s="67"/>
      <c r="X62" s="67"/>
      <c r="Y62" s="1"/>
      <c r="Z62" s="1"/>
      <c r="AA62" s="1"/>
      <c r="AB62" s="1"/>
      <c r="AC62" s="1"/>
      <c r="AD62" s="1"/>
      <c r="AE62" s="1"/>
      <c r="AF62" s="1"/>
      <c r="AG62" s="1"/>
      <c r="AH62" s="1"/>
      <c r="AI62" s="1"/>
      <c r="AJ62" s="1"/>
      <c r="AK62" s="1"/>
      <c r="AL62" s="1"/>
      <c r="AM62" s="1"/>
    </row>
    <row r="63">
      <c r="A63" s="31" t="s">
        <v>24</v>
      </c>
      <c r="B63" s="75" t="s">
        <v>170</v>
      </c>
      <c r="C63" s="95" t="str">
        <f>VLOOKUP($B63,'Rate card'!$A$4:$G279,2,FALSE)</f>
        <v>Carpentry</v>
      </c>
      <c r="D63" s="95" t="str">
        <f>VLOOKUP($B63,'Rate card'!$A$4:$G279,3,FALSE)</f>
        <v>Carcass Storage</v>
      </c>
      <c r="E63" s="95" t="str">
        <f>VLOOKUP($B63,'Rate card'!$A$4:$G279,4,FALSE)</f>
        <v>Laminate Finish</v>
      </c>
      <c r="F63" s="95" t="str">
        <f>VLOOKUP($B63,'Rate card'!$A$4:$G279,5,FALSE)</f>
        <v>MR ply + Inside laminate + finish laminate</v>
      </c>
      <c r="G63" s="95" t="str">
        <f>VLOOKUP($B63,'Rate card'!$A$4:$G279,6,FALSE)</f>
        <v>Sqft</v>
      </c>
      <c r="H63" s="75">
        <v>1800.0</v>
      </c>
      <c r="I63" s="31">
        <f>7.5*10</f>
        <v>75</v>
      </c>
      <c r="J63" s="69">
        <f t="shared" si="9"/>
        <v>135000</v>
      </c>
      <c r="K63" s="551">
        <f>10.5*8.5</f>
        <v>89.25</v>
      </c>
      <c r="L63" s="534"/>
      <c r="M63" s="69">
        <f t="shared" si="10"/>
        <v>160650</v>
      </c>
      <c r="N63" s="31" t="s">
        <v>171</v>
      </c>
      <c r="P63" s="76"/>
      <c r="Q63" s="76"/>
      <c r="R63" s="76"/>
      <c r="S63" s="76"/>
      <c r="T63" s="76"/>
      <c r="U63" s="76"/>
      <c r="V63" s="76"/>
      <c r="W63" s="76"/>
      <c r="X63" s="76"/>
      <c r="Y63" s="52"/>
      <c r="Z63" s="52"/>
      <c r="AA63" s="52"/>
      <c r="AB63" s="52"/>
      <c r="AC63" s="52"/>
      <c r="AD63" s="52"/>
      <c r="AE63" s="52"/>
      <c r="AF63" s="52"/>
      <c r="AG63" s="52"/>
      <c r="AH63" s="52"/>
      <c r="AI63" s="52"/>
      <c r="AJ63" s="52"/>
      <c r="AK63" s="52"/>
      <c r="AL63" s="52"/>
      <c r="AM63" s="52"/>
    </row>
    <row r="64">
      <c r="A64" s="31" t="s">
        <v>27</v>
      </c>
      <c r="B64" s="95"/>
      <c r="C64" s="75" t="s">
        <v>31</v>
      </c>
      <c r="D64" s="31" t="s">
        <v>173</v>
      </c>
      <c r="E64" s="75" t="s">
        <v>174</v>
      </c>
      <c r="F64" s="75"/>
      <c r="G64" s="75" t="s">
        <v>175</v>
      </c>
      <c r="H64" s="75">
        <v>750.0</v>
      </c>
      <c r="I64" s="31"/>
      <c r="J64" s="69"/>
      <c r="K64" s="551">
        <f>6*8.5</f>
        <v>51</v>
      </c>
      <c r="L64" s="534"/>
      <c r="M64" s="69">
        <f t="shared" si="10"/>
        <v>38250</v>
      </c>
      <c r="N64" s="32" t="s">
        <v>176</v>
      </c>
      <c r="O64" s="552" t="s">
        <v>172</v>
      </c>
      <c r="P64" s="76"/>
      <c r="Q64" s="76"/>
      <c r="R64" s="76"/>
      <c r="S64" s="76"/>
      <c r="T64" s="76"/>
      <c r="U64" s="76"/>
      <c r="V64" s="76"/>
      <c r="W64" s="76"/>
      <c r="X64" s="76"/>
      <c r="Y64" s="52"/>
      <c r="Z64" s="52"/>
      <c r="AA64" s="52"/>
      <c r="AB64" s="52"/>
      <c r="AC64" s="52"/>
      <c r="AD64" s="52"/>
      <c r="AE64" s="52"/>
      <c r="AF64" s="52"/>
      <c r="AG64" s="52"/>
      <c r="AH64" s="52"/>
      <c r="AI64" s="52"/>
      <c r="AJ64" s="52"/>
      <c r="AK64" s="52"/>
      <c r="AL64" s="52"/>
      <c r="AM64" s="52"/>
    </row>
    <row r="65">
      <c r="A65" s="31" t="s">
        <v>30</v>
      </c>
      <c r="B65" s="95" t="s">
        <v>179</v>
      </c>
      <c r="C65" s="95" t="s">
        <v>31</v>
      </c>
      <c r="D65" s="33" t="s">
        <v>180</v>
      </c>
      <c r="E65" s="75" t="s">
        <v>164</v>
      </c>
      <c r="F65" s="75" t="s">
        <v>181</v>
      </c>
      <c r="G65" s="95" t="str">
        <f>VLOOKUP($B65,'Rate card'!$A$4:$G279,6,FALSE)</f>
        <v>Sqft</v>
      </c>
      <c r="H65" s="75">
        <v>900.0</v>
      </c>
      <c r="I65" s="31" t="s">
        <v>16</v>
      </c>
      <c r="J65" s="69">
        <f>H65*I65</f>
        <v>900</v>
      </c>
      <c r="K65" s="550">
        <v>110.0</v>
      </c>
      <c r="L65" s="534"/>
      <c r="M65" s="69">
        <f t="shared" si="10"/>
        <v>99000</v>
      </c>
      <c r="N65" s="32" t="s">
        <v>182</v>
      </c>
      <c r="O65" s="534"/>
      <c r="P65" s="76"/>
      <c r="Q65" s="76"/>
      <c r="R65" s="76"/>
      <c r="S65" s="76"/>
      <c r="T65" s="76"/>
      <c r="U65" s="76"/>
      <c r="V65" s="76"/>
      <c r="W65" s="76"/>
      <c r="X65" s="76"/>
      <c r="Y65" s="52"/>
      <c r="Z65" s="52"/>
      <c r="AA65" s="52"/>
      <c r="AB65" s="52"/>
      <c r="AC65" s="52"/>
      <c r="AD65" s="52"/>
      <c r="AE65" s="52"/>
      <c r="AF65" s="52"/>
      <c r="AG65" s="52"/>
      <c r="AH65" s="52"/>
      <c r="AI65" s="52"/>
      <c r="AJ65" s="52"/>
      <c r="AK65" s="52"/>
      <c r="AL65" s="52"/>
      <c r="AM65" s="52"/>
    </row>
    <row r="66">
      <c r="A66" s="31" t="s">
        <v>30</v>
      </c>
      <c r="B66" s="95" t="s">
        <v>179</v>
      </c>
      <c r="C66" s="95" t="s">
        <v>31</v>
      </c>
      <c r="D66" s="33" t="s">
        <v>180</v>
      </c>
      <c r="E66" s="75" t="s">
        <v>679</v>
      </c>
      <c r="F66" s="75" t="s">
        <v>181</v>
      </c>
      <c r="G66" s="95" t="str">
        <f>VLOOKUP($B66,'Rate card'!$A$4:$G279,6,FALSE)</f>
        <v>Sqft</v>
      </c>
      <c r="H66" s="75">
        <v>2500.0</v>
      </c>
      <c r="I66" s="31"/>
      <c r="J66" s="69"/>
      <c r="K66" s="550">
        <v>80.0</v>
      </c>
      <c r="L66" s="534"/>
      <c r="M66" s="69">
        <f t="shared" si="10"/>
        <v>200000</v>
      </c>
      <c r="N66" s="31" t="s">
        <v>680</v>
      </c>
      <c r="O66" s="552"/>
      <c r="P66" s="76"/>
      <c r="Q66" s="76"/>
      <c r="R66" s="76"/>
      <c r="S66" s="76"/>
      <c r="T66" s="76"/>
      <c r="U66" s="76"/>
      <c r="V66" s="76"/>
      <c r="W66" s="76"/>
      <c r="X66" s="76"/>
      <c r="Y66" s="52"/>
      <c r="Z66" s="52"/>
      <c r="AA66" s="52"/>
      <c r="AB66" s="52"/>
      <c r="AC66" s="52"/>
      <c r="AD66" s="52"/>
      <c r="AE66" s="52"/>
      <c r="AF66" s="52"/>
      <c r="AG66" s="52"/>
      <c r="AH66" s="52"/>
      <c r="AI66" s="52"/>
      <c r="AJ66" s="52"/>
      <c r="AK66" s="52"/>
      <c r="AL66" s="52"/>
      <c r="AM66" s="52"/>
    </row>
    <row r="67">
      <c r="A67" s="31" t="s">
        <v>32</v>
      </c>
      <c r="B67" s="75"/>
      <c r="C67" s="75" t="s">
        <v>31</v>
      </c>
      <c r="D67" s="75" t="s">
        <v>183</v>
      </c>
      <c r="E67" s="75" t="s">
        <v>681</v>
      </c>
      <c r="F67" s="75"/>
      <c r="G67" s="75" t="s">
        <v>185</v>
      </c>
      <c r="H67" s="75">
        <v>35000.0</v>
      </c>
      <c r="I67" s="31"/>
      <c r="J67" s="69"/>
      <c r="K67" s="550">
        <v>1.0</v>
      </c>
      <c r="L67" s="534"/>
      <c r="M67" s="69">
        <f t="shared" si="10"/>
        <v>35000</v>
      </c>
      <c r="N67" s="31" t="s">
        <v>183</v>
      </c>
      <c r="O67" s="552" t="s">
        <v>186</v>
      </c>
      <c r="P67" s="76"/>
      <c r="Q67" s="76"/>
      <c r="R67" s="76"/>
      <c r="S67" s="76"/>
      <c r="T67" s="76"/>
      <c r="U67" s="76"/>
      <c r="V67" s="76"/>
      <c r="W67" s="76"/>
      <c r="X67" s="76"/>
      <c r="Y67" s="52"/>
      <c r="Z67" s="52"/>
      <c r="AA67" s="52"/>
      <c r="AB67" s="52"/>
      <c r="AC67" s="52"/>
      <c r="AD67" s="52"/>
      <c r="AE67" s="52"/>
      <c r="AF67" s="52"/>
      <c r="AG67" s="52"/>
      <c r="AH67" s="52"/>
      <c r="AI67" s="52"/>
      <c r="AJ67" s="52"/>
      <c r="AK67" s="52"/>
      <c r="AL67" s="52"/>
      <c r="AM67" s="52"/>
    </row>
    <row r="68">
      <c r="A68" s="31" t="s">
        <v>34</v>
      </c>
      <c r="B68" s="75" t="s">
        <v>170</v>
      </c>
      <c r="C68" s="95" t="str">
        <f>VLOOKUP($B68,'Rate card'!$A$4:$G279,2,FALSE)</f>
        <v>Carpentry</v>
      </c>
      <c r="D68" s="95" t="str">
        <f>VLOOKUP($B68,'Rate card'!$A$4:$G279,3,FALSE)</f>
        <v>Carcass Storage</v>
      </c>
      <c r="E68" s="75" t="s">
        <v>178</v>
      </c>
      <c r="F68" s="75" t="s">
        <v>187</v>
      </c>
      <c r="G68" s="75" t="s">
        <v>188</v>
      </c>
      <c r="H68" s="75">
        <v>5000.0</v>
      </c>
      <c r="I68" s="31" t="s">
        <v>189</v>
      </c>
      <c r="J68" s="69">
        <f t="shared" ref="J68:J74" si="11">H68*I68</f>
        <v>37500</v>
      </c>
      <c r="K68" s="550">
        <v>8.0</v>
      </c>
      <c r="L68" s="534"/>
      <c r="M68" s="69">
        <f t="shared" si="10"/>
        <v>40000</v>
      </c>
      <c r="N68" s="31" t="s">
        <v>190</v>
      </c>
      <c r="O68" s="534"/>
      <c r="P68" s="76"/>
      <c r="Q68" s="76"/>
      <c r="R68" s="76"/>
      <c r="S68" s="76"/>
      <c r="T68" s="76"/>
      <c r="U68" s="76"/>
      <c r="V68" s="76"/>
      <c r="W68" s="76"/>
      <c r="X68" s="76"/>
      <c r="Y68" s="52"/>
      <c r="Z68" s="52"/>
      <c r="AA68" s="52"/>
      <c r="AB68" s="52"/>
      <c r="AC68" s="52"/>
      <c r="AD68" s="52"/>
      <c r="AE68" s="52"/>
      <c r="AF68" s="52"/>
      <c r="AG68" s="52"/>
      <c r="AH68" s="52"/>
      <c r="AI68" s="52"/>
      <c r="AJ68" s="52"/>
      <c r="AK68" s="52"/>
      <c r="AL68" s="52"/>
      <c r="AM68" s="52"/>
    </row>
    <row r="69">
      <c r="A69" s="31" t="s">
        <v>36</v>
      </c>
      <c r="B69" s="75" t="s">
        <v>170</v>
      </c>
      <c r="C69" s="95" t="str">
        <f>VLOOKUP($B69,'Rate card'!$A$4:$G279,2,FALSE)</f>
        <v>Carpentry</v>
      </c>
      <c r="D69" s="95" t="str">
        <f>VLOOKUP($B69,'Rate card'!$A$4:$G279,3,FALSE)</f>
        <v>Carcass Storage</v>
      </c>
      <c r="E69" s="75" t="s">
        <v>191</v>
      </c>
      <c r="F69" s="75" t="s">
        <v>192</v>
      </c>
      <c r="G69" s="95" t="str">
        <f>VLOOKUP($B69,'Rate card'!$A$4:$G279,6,FALSE)</f>
        <v>Sqft</v>
      </c>
      <c r="H69" s="75">
        <v>1100.0</v>
      </c>
      <c r="I69" s="31">
        <f>7*8</f>
        <v>56</v>
      </c>
      <c r="J69" s="69">
        <f t="shared" si="11"/>
        <v>61600</v>
      </c>
      <c r="K69" s="551">
        <f>11*9.5</f>
        <v>104.5</v>
      </c>
      <c r="L69" s="534"/>
      <c r="M69" s="69">
        <f t="shared" si="10"/>
        <v>114950</v>
      </c>
      <c r="N69" s="31" t="s">
        <v>193</v>
      </c>
      <c r="O69" s="552" t="s">
        <v>682</v>
      </c>
      <c r="P69" s="76"/>
      <c r="Q69" s="76"/>
      <c r="R69" s="76"/>
      <c r="S69" s="76"/>
      <c r="T69" s="76"/>
      <c r="U69" s="76"/>
      <c r="V69" s="76"/>
      <c r="W69" s="76"/>
      <c r="X69" s="76"/>
      <c r="Y69" s="52"/>
      <c r="Z69" s="52"/>
      <c r="AA69" s="52"/>
      <c r="AB69" s="52"/>
      <c r="AC69" s="52"/>
      <c r="AD69" s="52"/>
      <c r="AE69" s="52"/>
      <c r="AF69" s="52"/>
      <c r="AG69" s="52"/>
      <c r="AH69" s="52"/>
      <c r="AI69" s="52"/>
      <c r="AJ69" s="52"/>
      <c r="AK69" s="52"/>
      <c r="AL69" s="52"/>
      <c r="AM69" s="52"/>
    </row>
    <row r="70">
      <c r="A70" s="31" t="s">
        <v>92</v>
      </c>
      <c r="B70" s="75" t="s">
        <v>170</v>
      </c>
      <c r="C70" s="95" t="str">
        <f>VLOOKUP($B70,'Rate card'!$A$4:$G279,2,FALSE)</f>
        <v>Carpentry</v>
      </c>
      <c r="D70" s="95" t="str">
        <f>VLOOKUP($B70,'Rate card'!$A$4:$G279,3,FALSE)</f>
        <v>Carcass Storage</v>
      </c>
      <c r="E70" s="95" t="str">
        <f>VLOOKUP($B70,'Rate card'!$A$4:$G279,4,FALSE)</f>
        <v>Laminate Finish</v>
      </c>
      <c r="F70" s="95" t="str">
        <f>VLOOKUP($B70,'Rate card'!$A$4:$G279,5,FALSE)</f>
        <v>MR ply + Inside laminate + finish laminate</v>
      </c>
      <c r="G70" s="95" t="str">
        <f>VLOOKUP($B70,'Rate card'!$A$4:$G279,6,FALSE)</f>
        <v>Sqft</v>
      </c>
      <c r="H70" s="75">
        <v>6000.0</v>
      </c>
      <c r="I70" s="31">
        <f>4*7</f>
        <v>28</v>
      </c>
      <c r="J70" s="69">
        <f t="shared" si="11"/>
        <v>168000</v>
      </c>
      <c r="K70" s="551">
        <f>3*7</f>
        <v>21</v>
      </c>
      <c r="L70" s="534"/>
      <c r="M70" s="69">
        <f t="shared" si="10"/>
        <v>126000</v>
      </c>
      <c r="N70" s="31" t="s">
        <v>195</v>
      </c>
      <c r="O70" s="534"/>
      <c r="P70" s="76"/>
      <c r="Q70" s="76"/>
      <c r="R70" s="76"/>
      <c r="S70" s="76"/>
      <c r="T70" s="76"/>
      <c r="U70" s="76"/>
      <c r="V70" s="76"/>
      <c r="W70" s="76"/>
      <c r="X70" s="76"/>
      <c r="Y70" s="52"/>
      <c r="Z70" s="52"/>
      <c r="AA70" s="52"/>
      <c r="AB70" s="52"/>
      <c r="AC70" s="52"/>
      <c r="AD70" s="52"/>
      <c r="AE70" s="52"/>
      <c r="AF70" s="52"/>
      <c r="AG70" s="52"/>
      <c r="AH70" s="52"/>
      <c r="AI70" s="52"/>
      <c r="AJ70" s="52"/>
      <c r="AK70" s="52"/>
      <c r="AL70" s="52"/>
      <c r="AM70" s="52"/>
    </row>
    <row r="71">
      <c r="A71" s="31" t="s">
        <v>95</v>
      </c>
      <c r="B71" s="75" t="s">
        <v>170</v>
      </c>
      <c r="C71" s="95" t="str">
        <f>VLOOKUP($B71,'Rate card'!$A$4:$G279,2,FALSE)</f>
        <v>Carpentry</v>
      </c>
      <c r="D71" s="95" t="str">
        <f>VLOOKUP($B71,'Rate card'!$A$4:$G279,3,FALSE)</f>
        <v>Carcass Storage</v>
      </c>
      <c r="E71" s="75" t="s">
        <v>196</v>
      </c>
      <c r="F71" s="95" t="str">
        <f>F68</f>
        <v>MR ply + Inside laminate + pu finish</v>
      </c>
      <c r="G71" s="95" t="str">
        <f>VLOOKUP($B71,'Rate card'!$A$4:$G279,6,FALSE)</f>
        <v>Sqft</v>
      </c>
      <c r="H71" s="75">
        <v>2500.0</v>
      </c>
      <c r="I71" s="31">
        <f>5*3.5</f>
        <v>17.5</v>
      </c>
      <c r="J71" s="69">
        <f t="shared" si="11"/>
        <v>43750</v>
      </c>
      <c r="K71" s="551">
        <f>3*3</f>
        <v>9</v>
      </c>
      <c r="L71" s="534"/>
      <c r="M71" s="69">
        <f t="shared" si="10"/>
        <v>22500</v>
      </c>
      <c r="N71" s="31" t="s">
        <v>183</v>
      </c>
      <c r="O71" s="552" t="s">
        <v>197</v>
      </c>
      <c r="P71" s="76"/>
      <c r="Q71" s="76"/>
      <c r="R71" s="76"/>
      <c r="S71" s="76"/>
      <c r="T71" s="76"/>
      <c r="U71" s="76"/>
      <c r="V71" s="76"/>
      <c r="W71" s="76"/>
      <c r="X71" s="76"/>
      <c r="Y71" s="52"/>
      <c r="Z71" s="52"/>
      <c r="AA71" s="52"/>
      <c r="AB71" s="52"/>
      <c r="AC71" s="52"/>
      <c r="AD71" s="52"/>
      <c r="AE71" s="52"/>
      <c r="AF71" s="52"/>
      <c r="AG71" s="52"/>
      <c r="AH71" s="52"/>
      <c r="AI71" s="52"/>
      <c r="AJ71" s="52"/>
      <c r="AK71" s="52"/>
      <c r="AL71" s="52"/>
      <c r="AM71" s="52"/>
    </row>
    <row r="72">
      <c r="A72" s="31" t="s">
        <v>103</v>
      </c>
      <c r="B72" s="95" t="s">
        <v>179</v>
      </c>
      <c r="C72" s="95" t="s">
        <v>31</v>
      </c>
      <c r="D72" s="33" t="s">
        <v>180</v>
      </c>
      <c r="E72" s="75" t="s">
        <v>198</v>
      </c>
      <c r="F72" s="75" t="s">
        <v>181</v>
      </c>
      <c r="G72" s="95" t="str">
        <f>VLOOKUP($B72,'Rate card'!$A$4:$G279,6,FALSE)</f>
        <v>Sqft</v>
      </c>
      <c r="H72" s="75">
        <v>1500.0</v>
      </c>
      <c r="I72" s="31">
        <f>12*10</f>
        <v>120</v>
      </c>
      <c r="J72" s="69">
        <f t="shared" si="11"/>
        <v>180000</v>
      </c>
      <c r="K72" s="551">
        <f>12.5*8.5</f>
        <v>106.25</v>
      </c>
      <c r="L72" s="534"/>
      <c r="M72" s="69">
        <f t="shared" si="10"/>
        <v>159375</v>
      </c>
      <c r="N72" s="32" t="s">
        <v>199</v>
      </c>
      <c r="O72" s="552" t="s">
        <v>200</v>
      </c>
      <c r="P72" s="76"/>
      <c r="Q72" s="76"/>
      <c r="R72" s="76"/>
      <c r="S72" s="76"/>
      <c r="T72" s="76"/>
      <c r="U72" s="76"/>
      <c r="V72" s="76"/>
      <c r="W72" s="76"/>
      <c r="X72" s="76"/>
      <c r="Y72" s="52"/>
      <c r="Z72" s="52"/>
      <c r="AA72" s="52"/>
      <c r="AB72" s="52"/>
      <c r="AC72" s="52"/>
      <c r="AD72" s="52"/>
      <c r="AE72" s="52"/>
      <c r="AF72" s="52"/>
      <c r="AG72" s="52"/>
      <c r="AH72" s="52"/>
      <c r="AI72" s="52"/>
      <c r="AJ72" s="52"/>
      <c r="AK72" s="52"/>
      <c r="AL72" s="52"/>
      <c r="AM72" s="52"/>
    </row>
    <row r="73">
      <c r="A73" s="31" t="s">
        <v>104</v>
      </c>
      <c r="B73" s="95" t="s">
        <v>179</v>
      </c>
      <c r="C73" s="95" t="s">
        <v>31</v>
      </c>
      <c r="D73" s="33" t="s">
        <v>180</v>
      </c>
      <c r="E73" s="75" t="s">
        <v>201</v>
      </c>
      <c r="F73" s="75" t="s">
        <v>192</v>
      </c>
      <c r="G73" s="95" t="str">
        <f>VLOOKUP($B73,'Rate card'!$A$4:$G279,6,FALSE)</f>
        <v>Sqft</v>
      </c>
      <c r="H73" s="75">
        <v>1200.0</v>
      </c>
      <c r="I73" s="31">
        <f>29*10</f>
        <v>290</v>
      </c>
      <c r="J73" s="69">
        <f t="shared" si="11"/>
        <v>348000</v>
      </c>
      <c r="K73" s="551">
        <f>34*8.5</f>
        <v>289</v>
      </c>
      <c r="L73" s="534"/>
      <c r="M73" s="69">
        <f t="shared" si="10"/>
        <v>346800</v>
      </c>
      <c r="N73" s="32" t="s">
        <v>202</v>
      </c>
      <c r="O73" s="552" t="s">
        <v>682</v>
      </c>
      <c r="P73" s="76"/>
      <c r="Q73" s="76"/>
      <c r="R73" s="76"/>
      <c r="S73" s="76"/>
      <c r="T73" s="76"/>
      <c r="U73" s="76"/>
      <c r="V73" s="76"/>
      <c r="W73" s="76"/>
      <c r="X73" s="76"/>
      <c r="Y73" s="52"/>
      <c r="Z73" s="52"/>
      <c r="AA73" s="52"/>
      <c r="AB73" s="52"/>
      <c r="AC73" s="52"/>
      <c r="AD73" s="52"/>
      <c r="AE73" s="52"/>
      <c r="AF73" s="52"/>
      <c r="AG73" s="52"/>
      <c r="AH73" s="52"/>
      <c r="AI73" s="52"/>
      <c r="AJ73" s="52"/>
      <c r="AK73" s="52"/>
      <c r="AL73" s="52"/>
      <c r="AM73" s="52"/>
    </row>
    <row r="74">
      <c r="A74" s="31" t="s">
        <v>103</v>
      </c>
      <c r="B74" s="95" t="s">
        <v>179</v>
      </c>
      <c r="C74" s="95" t="s">
        <v>31</v>
      </c>
      <c r="D74" s="33" t="s">
        <v>180</v>
      </c>
      <c r="E74" s="75" t="s">
        <v>174</v>
      </c>
      <c r="F74" s="75" t="s">
        <v>181</v>
      </c>
      <c r="G74" s="95" t="str">
        <f>VLOOKUP($B74,'Rate card'!$A$4:$G279,6,FALSE)</f>
        <v>Sqft</v>
      </c>
      <c r="H74" s="75">
        <v>1000.0</v>
      </c>
      <c r="I74" s="31">
        <f>12*10</f>
        <v>120</v>
      </c>
      <c r="J74" s="69">
        <f t="shared" si="11"/>
        <v>120000</v>
      </c>
      <c r="K74" s="551">
        <f>5*8.5</f>
        <v>42.5</v>
      </c>
      <c r="L74" s="534"/>
      <c r="M74" s="69">
        <f t="shared" si="10"/>
        <v>42500</v>
      </c>
      <c r="N74" s="32" t="s">
        <v>203</v>
      </c>
      <c r="O74" s="552" t="s">
        <v>204</v>
      </c>
      <c r="P74" s="76"/>
      <c r="Q74" s="76"/>
      <c r="R74" s="76"/>
      <c r="S74" s="76"/>
      <c r="T74" s="76"/>
      <c r="U74" s="76"/>
      <c r="V74" s="76"/>
      <c r="W74" s="76"/>
      <c r="X74" s="76"/>
      <c r="Y74" s="52"/>
      <c r="Z74" s="52"/>
      <c r="AA74" s="52"/>
      <c r="AB74" s="52"/>
      <c r="AC74" s="52"/>
      <c r="AD74" s="52"/>
      <c r="AE74" s="52"/>
      <c r="AF74" s="52"/>
      <c r="AG74" s="52"/>
      <c r="AH74" s="52"/>
      <c r="AI74" s="52"/>
      <c r="AJ74" s="52"/>
      <c r="AK74" s="52"/>
      <c r="AL74" s="52"/>
      <c r="AM74" s="52"/>
    </row>
    <row r="75">
      <c r="A75" s="24" t="s">
        <v>205</v>
      </c>
      <c r="B75" s="28"/>
      <c r="C75" s="28"/>
      <c r="D75" s="28"/>
      <c r="E75" s="28"/>
      <c r="F75" s="28"/>
      <c r="G75" s="28"/>
      <c r="H75" s="64"/>
      <c r="I75" s="98"/>
      <c r="J75" s="28"/>
      <c r="K75" s="540"/>
      <c r="L75" s="64"/>
      <c r="M75" s="64"/>
      <c r="N75" s="28"/>
      <c r="O75" s="28"/>
      <c r="P75" s="67"/>
      <c r="Q75" s="67"/>
      <c r="R75" s="67"/>
      <c r="S75" s="67"/>
      <c r="T75" s="67"/>
      <c r="U75" s="67"/>
      <c r="V75" s="67"/>
      <c r="W75" s="67"/>
      <c r="X75" s="67"/>
      <c r="Y75" s="1"/>
      <c r="Z75" s="1"/>
      <c r="AA75" s="1"/>
      <c r="AB75" s="1"/>
      <c r="AC75" s="1"/>
      <c r="AD75" s="1"/>
      <c r="AE75" s="1"/>
      <c r="AF75" s="1"/>
      <c r="AG75" s="1"/>
      <c r="AH75" s="1"/>
      <c r="AI75" s="1"/>
      <c r="AJ75" s="1"/>
      <c r="AK75" s="1"/>
      <c r="AL75" s="1"/>
      <c r="AM75" s="1"/>
    </row>
    <row r="76">
      <c r="A76" s="31" t="s">
        <v>16</v>
      </c>
      <c r="B76" s="62" t="s">
        <v>170</v>
      </c>
      <c r="C76" s="94" t="str">
        <f>VLOOKUP($B76,'Rate card'!$A$4:$G279,2,FALSE)</f>
        <v>Carpentry</v>
      </c>
      <c r="D76" s="94" t="str">
        <f>VLOOKUP($B76,'Rate card'!$A$4:$G279,3,FALSE)</f>
        <v>Carcass Storage</v>
      </c>
      <c r="E76" s="62" t="s">
        <v>206</v>
      </c>
      <c r="F76" s="62" t="s">
        <v>207</v>
      </c>
      <c r="G76" s="94" t="str">
        <f>VLOOKUP($B76,'Rate card'!$A$4:$G279,6,FALSE)</f>
        <v>Sqft</v>
      </c>
      <c r="H76" s="62">
        <v>2700.0</v>
      </c>
      <c r="I76" s="31">
        <f>18.5*2.5</f>
        <v>46.25</v>
      </c>
      <c r="J76" s="79">
        <f t="shared" ref="J76:J80" si="12">H76*I76</f>
        <v>124875</v>
      </c>
      <c r="K76" s="551">
        <f>20*2.5</f>
        <v>50</v>
      </c>
      <c r="L76" s="534"/>
      <c r="M76" s="33">
        <f t="shared" ref="M76:M86" si="13">K76*H76</f>
        <v>135000</v>
      </c>
      <c r="N76" s="62" t="s">
        <v>208</v>
      </c>
      <c r="O76" s="534"/>
      <c r="P76" s="67"/>
      <c r="Q76" s="67"/>
      <c r="R76" s="67"/>
      <c r="S76" s="67"/>
      <c r="T76" s="67"/>
      <c r="U76" s="67"/>
      <c r="V76" s="67"/>
      <c r="W76" s="67"/>
      <c r="X76" s="67"/>
      <c r="Y76" s="1"/>
      <c r="Z76" s="1"/>
      <c r="AA76" s="1"/>
      <c r="AB76" s="1"/>
      <c r="AC76" s="1"/>
      <c r="AD76" s="1"/>
      <c r="AE76" s="1"/>
      <c r="AF76" s="1"/>
      <c r="AG76" s="1"/>
      <c r="AH76" s="1"/>
      <c r="AI76" s="1"/>
      <c r="AJ76" s="1"/>
      <c r="AK76" s="1"/>
      <c r="AL76" s="1"/>
      <c r="AM76" s="1"/>
    </row>
    <row r="77">
      <c r="A77" s="31" t="s">
        <v>18</v>
      </c>
      <c r="B77" s="62" t="s">
        <v>170</v>
      </c>
      <c r="C77" s="94" t="str">
        <f>VLOOKUP($B77,'Rate card'!$A$4:$G279,2,FALSE)</f>
        <v>Carpentry</v>
      </c>
      <c r="D77" s="94" t="str">
        <f>VLOOKUP($B77,'Rate card'!$A$4:$G279,3,FALSE)</f>
        <v>Carcass Storage</v>
      </c>
      <c r="E77" s="62" t="s">
        <v>206</v>
      </c>
      <c r="F77" s="62" t="s">
        <v>207</v>
      </c>
      <c r="G77" s="94" t="str">
        <f>VLOOKUP($B77,'Rate card'!$A$4:$G279,6,FALSE)</f>
        <v>Sqft</v>
      </c>
      <c r="H77" s="62">
        <v>2700.0</v>
      </c>
      <c r="I77" s="31">
        <f>28+11.25*2.5+4*2.5</f>
        <v>66.125</v>
      </c>
      <c r="J77" s="79">
        <f t="shared" si="12"/>
        <v>178537.5</v>
      </c>
      <c r="K77" s="551">
        <f>20*5.5</f>
        <v>110</v>
      </c>
      <c r="L77" s="534"/>
      <c r="M77" s="33">
        <f t="shared" si="13"/>
        <v>297000</v>
      </c>
      <c r="N77" s="62" t="s">
        <v>209</v>
      </c>
      <c r="O77" s="534"/>
      <c r="P77" s="67"/>
      <c r="Q77" s="67"/>
      <c r="R77" s="67"/>
      <c r="S77" s="67"/>
      <c r="T77" s="67"/>
      <c r="U77" s="67"/>
      <c r="V77" s="67"/>
      <c r="W77" s="67"/>
      <c r="X77" s="67"/>
      <c r="Y77" s="1"/>
      <c r="Z77" s="1"/>
      <c r="AA77" s="1"/>
      <c r="AB77" s="1"/>
      <c r="AC77" s="1"/>
      <c r="AD77" s="1"/>
      <c r="AE77" s="1"/>
      <c r="AF77" s="1"/>
      <c r="AG77" s="1"/>
      <c r="AH77" s="1"/>
      <c r="AI77" s="1"/>
      <c r="AJ77" s="1"/>
      <c r="AK77" s="1"/>
      <c r="AL77" s="1"/>
      <c r="AM77" s="1"/>
    </row>
    <row r="78">
      <c r="A78" s="31" t="s">
        <v>24</v>
      </c>
      <c r="B78" s="62" t="s">
        <v>170</v>
      </c>
      <c r="C78" s="94" t="str">
        <f>VLOOKUP($B78,'Rate card'!$A$4:$G279,2,FALSE)</f>
        <v>Carpentry</v>
      </c>
      <c r="D78" s="94" t="str">
        <f>VLOOKUP($B78,'Rate card'!$A$4:$G279,3,FALSE)</f>
        <v>Carcass Storage</v>
      </c>
      <c r="E78" s="62" t="s">
        <v>206</v>
      </c>
      <c r="F78" s="62" t="s">
        <v>207</v>
      </c>
      <c r="G78" s="94" t="str">
        <f>VLOOKUP($B78,'Rate card'!$A$4:$G279,6,FALSE)</f>
        <v>Sqft</v>
      </c>
      <c r="H78" s="62">
        <v>2700.0</v>
      </c>
      <c r="I78" s="31">
        <f>4*10</f>
        <v>40</v>
      </c>
      <c r="J78" s="79">
        <f t="shared" si="12"/>
        <v>108000</v>
      </c>
      <c r="K78" s="551">
        <f>4*10.5</f>
        <v>42</v>
      </c>
      <c r="L78" s="534"/>
      <c r="M78" s="33">
        <f t="shared" si="13"/>
        <v>113400</v>
      </c>
      <c r="N78" s="62" t="s">
        <v>210</v>
      </c>
      <c r="O78" s="534"/>
      <c r="P78" s="67"/>
      <c r="Q78" s="67"/>
      <c r="R78" s="67"/>
      <c r="S78" s="67"/>
      <c r="T78" s="67"/>
      <c r="U78" s="67"/>
      <c r="V78" s="67"/>
      <c r="W78" s="67"/>
      <c r="X78" s="67"/>
      <c r="Y78" s="1"/>
      <c r="Z78" s="1"/>
      <c r="AA78" s="1"/>
      <c r="AB78" s="1"/>
      <c r="AC78" s="1"/>
      <c r="AD78" s="1"/>
      <c r="AE78" s="1"/>
      <c r="AF78" s="1"/>
      <c r="AG78" s="1"/>
      <c r="AH78" s="1"/>
      <c r="AI78" s="1"/>
      <c r="AJ78" s="1"/>
      <c r="AK78" s="1"/>
      <c r="AL78" s="1"/>
      <c r="AM78" s="1"/>
    </row>
    <row r="79">
      <c r="A79" s="31" t="s">
        <v>27</v>
      </c>
      <c r="B79" s="62" t="s">
        <v>211</v>
      </c>
      <c r="C79" s="94" t="str">
        <f>VLOOKUP($B79,'Rate card'!$A$4:$G279,2,FALSE)</f>
        <v>Carpentry</v>
      </c>
      <c r="D79" s="94" t="str">
        <f>VLOOKUP($B79,'Rate card'!$A$4:$G279,3,FALSE)</f>
        <v>Kitchen Basket </v>
      </c>
      <c r="E79" s="62" t="s">
        <v>212</v>
      </c>
      <c r="F79" s="94" t="str">
        <f>VLOOKUP($B79,'Rate card'!$A$4:$G279,5,FALSE)</f>
        <v>Basket + Channel+Fitting charges</v>
      </c>
      <c r="G79" s="94" t="str">
        <f>VLOOKUP($B79,'Rate card'!$A$4:$G279,6,FALSE)</f>
        <v>Nos</v>
      </c>
      <c r="H79" s="62">
        <v>8000.0</v>
      </c>
      <c r="I79" s="78" t="s">
        <v>30</v>
      </c>
      <c r="J79" s="79">
        <f t="shared" si="12"/>
        <v>40000</v>
      </c>
      <c r="K79" s="550">
        <v>14.0</v>
      </c>
      <c r="L79" s="534"/>
      <c r="M79" s="33">
        <f t="shared" si="13"/>
        <v>112000</v>
      </c>
      <c r="N79" s="62" t="s">
        <v>213</v>
      </c>
      <c r="O79" s="534"/>
      <c r="P79" s="67"/>
      <c r="Q79" s="67"/>
      <c r="R79" s="67"/>
      <c r="S79" s="67"/>
      <c r="T79" s="67"/>
      <c r="U79" s="67"/>
      <c r="V79" s="67"/>
      <c r="W79" s="67"/>
      <c r="X79" s="67"/>
      <c r="Y79" s="1"/>
      <c r="Z79" s="1"/>
      <c r="AA79" s="1"/>
      <c r="AB79" s="1"/>
      <c r="AC79" s="1"/>
      <c r="AD79" s="1"/>
      <c r="AE79" s="1"/>
      <c r="AF79" s="1"/>
      <c r="AG79" s="1"/>
      <c r="AH79" s="1"/>
      <c r="AI79" s="1"/>
      <c r="AJ79" s="1"/>
      <c r="AK79" s="1"/>
      <c r="AL79" s="1"/>
      <c r="AM79" s="1"/>
    </row>
    <row r="80">
      <c r="A80" s="31" t="s">
        <v>30</v>
      </c>
      <c r="B80" s="62" t="s">
        <v>214</v>
      </c>
      <c r="C80" s="94" t="str">
        <f>VLOOKUP($B80,'Rate card'!$A$4:$G279,2,FALSE)</f>
        <v>Carpentry</v>
      </c>
      <c r="D80" s="94" t="str">
        <f>VLOOKUP($B80,'Rate card'!$A$4:$G279,3,FALSE)</f>
        <v>Wicker basket</v>
      </c>
      <c r="E80" s="94" t="str">
        <f>VLOOKUP($B80,'Rate card'!$A$4:$G279,4,FALSE)</f>
        <v>Wicker basket</v>
      </c>
      <c r="F80" s="94" t="str">
        <f>VLOOKUP($B80,'Rate card'!$A$4:$G279,5,FALSE)</f>
        <v>Basket + Channel+Fitting charges</v>
      </c>
      <c r="G80" s="94" t="str">
        <f>VLOOKUP($B80,'Rate card'!$A$4:$G279,6,FALSE)</f>
        <v>Nos</v>
      </c>
      <c r="H80" s="62">
        <v>6000.0</v>
      </c>
      <c r="I80" s="78" t="s">
        <v>18</v>
      </c>
      <c r="J80" s="79">
        <f t="shared" si="12"/>
        <v>12000</v>
      </c>
      <c r="K80" s="550">
        <v>2.0</v>
      </c>
      <c r="L80" s="534"/>
      <c r="M80" s="33">
        <f t="shared" si="13"/>
        <v>12000</v>
      </c>
      <c r="N80" s="62" t="s">
        <v>213</v>
      </c>
      <c r="O80" s="534"/>
      <c r="P80" s="67"/>
      <c r="Q80" s="67"/>
      <c r="R80" s="67"/>
      <c r="S80" s="67"/>
      <c r="T80" s="67"/>
      <c r="U80" s="67"/>
      <c r="V80" s="67"/>
      <c r="W80" s="67"/>
      <c r="X80" s="67"/>
      <c r="Y80" s="1"/>
      <c r="Z80" s="1"/>
      <c r="AA80" s="1"/>
      <c r="AB80" s="1"/>
      <c r="AC80" s="1"/>
      <c r="AD80" s="1"/>
      <c r="AE80" s="1"/>
      <c r="AF80" s="1"/>
      <c r="AG80" s="1"/>
      <c r="AH80" s="1"/>
      <c r="AI80" s="1"/>
      <c r="AJ80" s="1"/>
      <c r="AK80" s="1"/>
      <c r="AL80" s="1"/>
      <c r="AM80" s="1"/>
    </row>
    <row r="81">
      <c r="A81" s="553"/>
      <c r="B81" s="553"/>
      <c r="C81" s="554" t="s">
        <v>31</v>
      </c>
      <c r="D81" s="554" t="s">
        <v>215</v>
      </c>
      <c r="E81" s="554" t="s">
        <v>683</v>
      </c>
      <c r="F81" s="553"/>
      <c r="G81" s="554" t="s">
        <v>175</v>
      </c>
      <c r="H81" s="555">
        <v>1200.0</v>
      </c>
      <c r="I81" s="556" t="s">
        <v>216</v>
      </c>
      <c r="J81" s="557">
        <f>I81*H81</f>
        <v>36000</v>
      </c>
      <c r="K81" s="556" t="s">
        <v>216</v>
      </c>
      <c r="L81" s="283"/>
      <c r="M81" s="33">
        <f t="shared" si="13"/>
        <v>36000</v>
      </c>
      <c r="N81" s="13" t="s">
        <v>684</v>
      </c>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row>
    <row r="82">
      <c r="A82" s="31" t="s">
        <v>32</v>
      </c>
      <c r="B82" s="62"/>
      <c r="C82" s="94" t="s">
        <v>31</v>
      </c>
      <c r="D82" s="94" t="s">
        <v>217</v>
      </c>
      <c r="E82" s="94" t="s">
        <v>218</v>
      </c>
      <c r="F82" s="94" t="s">
        <v>205</v>
      </c>
      <c r="G82" s="94" t="s">
        <v>175</v>
      </c>
      <c r="H82" s="62">
        <v>1650.0</v>
      </c>
      <c r="I82" s="78">
        <f>3*7</f>
        <v>21</v>
      </c>
      <c r="J82" s="79">
        <f>H82*I82</f>
        <v>34650</v>
      </c>
      <c r="K82" s="551">
        <f>3*7.5</f>
        <v>22.5</v>
      </c>
      <c r="L82" s="534"/>
      <c r="M82" s="33">
        <f t="shared" si="13"/>
        <v>37125</v>
      </c>
      <c r="N82" s="62" t="s">
        <v>219</v>
      </c>
      <c r="O82" s="534"/>
      <c r="P82" s="67"/>
      <c r="Q82" s="67"/>
      <c r="R82" s="67"/>
      <c r="S82" s="67"/>
      <c r="T82" s="67"/>
      <c r="U82" s="67"/>
      <c r="V82" s="67"/>
      <c r="W82" s="67"/>
      <c r="X82" s="67"/>
      <c r="Y82" s="1"/>
      <c r="Z82" s="1"/>
      <c r="AA82" s="1"/>
      <c r="AB82" s="1"/>
      <c r="AC82" s="1"/>
      <c r="AD82" s="1"/>
      <c r="AE82" s="1"/>
      <c r="AF82" s="1"/>
      <c r="AG82" s="1"/>
      <c r="AH82" s="1"/>
      <c r="AI82" s="1"/>
      <c r="AJ82" s="1"/>
      <c r="AK82" s="1"/>
      <c r="AL82" s="1"/>
      <c r="AM82" s="1"/>
    </row>
    <row r="83">
      <c r="A83" s="30" t="s">
        <v>220</v>
      </c>
      <c r="B83" s="28"/>
      <c r="C83" s="28"/>
      <c r="D83" s="28"/>
      <c r="E83" s="28"/>
      <c r="F83" s="28"/>
      <c r="G83" s="28"/>
      <c r="H83" s="64"/>
      <c r="I83" s="98"/>
      <c r="J83" s="28"/>
      <c r="K83" s="558"/>
      <c r="L83" s="559"/>
      <c r="M83" s="40">
        <f t="shared" si="13"/>
        <v>0</v>
      </c>
      <c r="N83" s="64"/>
      <c r="O83" s="559"/>
      <c r="P83" s="67"/>
      <c r="Q83" s="67"/>
      <c r="R83" s="67"/>
      <c r="S83" s="67"/>
      <c r="T83" s="67"/>
      <c r="U83" s="67"/>
      <c r="V83" s="67"/>
      <c r="W83" s="67"/>
      <c r="X83" s="67"/>
      <c r="Y83" s="1"/>
      <c r="Z83" s="1"/>
      <c r="AA83" s="1"/>
      <c r="AB83" s="1"/>
      <c r="AC83" s="1"/>
      <c r="AD83" s="1"/>
      <c r="AE83" s="1"/>
      <c r="AF83" s="1"/>
      <c r="AG83" s="1"/>
      <c r="AH83" s="1"/>
      <c r="AI83" s="1"/>
      <c r="AJ83" s="1"/>
      <c r="AK83" s="1"/>
      <c r="AL83" s="1"/>
      <c r="AM83" s="1"/>
    </row>
    <row r="84">
      <c r="A84" s="31" t="s">
        <v>16</v>
      </c>
      <c r="B84" s="62" t="s">
        <v>170</v>
      </c>
      <c r="C84" s="94" t="str">
        <f>VLOOKUP($B84,'Rate card'!$A$4:$G279,2,FALSE)</f>
        <v>Carpentry</v>
      </c>
      <c r="D84" s="94" t="str">
        <f>VLOOKUP($B84,'Rate card'!$A$4:$G279,3,FALSE)</f>
        <v>Carcass Storage</v>
      </c>
      <c r="E84" s="94" t="str">
        <f>VLOOKUP($B84,'Rate card'!$A$4:$G279,4,FALSE)</f>
        <v>Laminate Finish</v>
      </c>
      <c r="F84" s="62" t="s">
        <v>221</v>
      </c>
      <c r="G84" s="94" t="str">
        <f>VLOOKUP($B84,'Rate card'!$A$4:$G279,6,FALSE)</f>
        <v>Sqft</v>
      </c>
      <c r="H84" s="62">
        <v>1800.0</v>
      </c>
      <c r="I84" s="31">
        <f>5.5*2.5</f>
        <v>13.75</v>
      </c>
      <c r="J84" s="79">
        <f t="shared" ref="J84:J86" si="14">H84*I84</f>
        <v>24750</v>
      </c>
      <c r="K84" s="551">
        <f>12*2.5</f>
        <v>30</v>
      </c>
      <c r="L84" s="534"/>
      <c r="M84" s="33">
        <f t="shared" si="13"/>
        <v>54000</v>
      </c>
      <c r="N84" s="62" t="s">
        <v>208</v>
      </c>
      <c r="O84" s="534"/>
      <c r="P84" s="67"/>
      <c r="Q84" s="67"/>
      <c r="R84" s="67"/>
      <c r="S84" s="67"/>
      <c r="T84" s="67"/>
      <c r="U84" s="67"/>
      <c r="V84" s="67"/>
      <c r="W84" s="67"/>
      <c r="X84" s="67"/>
      <c r="Y84" s="1"/>
      <c r="Z84" s="1"/>
      <c r="AA84" s="1"/>
      <c r="AB84" s="1"/>
      <c r="AC84" s="1"/>
      <c r="AD84" s="1"/>
      <c r="AE84" s="1"/>
      <c r="AF84" s="1"/>
      <c r="AG84" s="1"/>
      <c r="AH84" s="1"/>
      <c r="AI84" s="1"/>
      <c r="AJ84" s="1"/>
      <c r="AK84" s="1"/>
      <c r="AL84" s="1"/>
      <c r="AM84" s="1"/>
    </row>
    <row r="85">
      <c r="A85" s="31" t="s">
        <v>18</v>
      </c>
      <c r="B85" s="62" t="s">
        <v>170</v>
      </c>
      <c r="C85" s="94" t="str">
        <f>VLOOKUP($B85,'Rate card'!$A$4:$G279,2,FALSE)</f>
        <v>Carpentry</v>
      </c>
      <c r="D85" s="94" t="str">
        <f>VLOOKUP($B85,'Rate card'!$A$4:$G279,3,FALSE)</f>
        <v>Carcass Storage</v>
      </c>
      <c r="E85" s="94" t="str">
        <f>VLOOKUP($B85,'Rate card'!$A$4:$G279,4,FALSE)</f>
        <v>Laminate Finish</v>
      </c>
      <c r="F85" s="62" t="s">
        <v>221</v>
      </c>
      <c r="G85" s="94" t="str">
        <f>VLOOKUP($B85,'Rate card'!$A$4:$G279,6,FALSE)</f>
        <v>Sqft</v>
      </c>
      <c r="H85" s="62">
        <v>750.0</v>
      </c>
      <c r="I85" s="31">
        <f>10*10</f>
        <v>100</v>
      </c>
      <c r="J85" s="79">
        <f t="shared" si="14"/>
        <v>75000</v>
      </c>
      <c r="K85" s="551">
        <f>12*8.5</f>
        <v>102</v>
      </c>
      <c r="L85" s="534"/>
      <c r="M85" s="33">
        <f t="shared" si="13"/>
        <v>76500</v>
      </c>
      <c r="N85" s="62" t="s">
        <v>222</v>
      </c>
      <c r="O85" s="534"/>
      <c r="P85" s="67"/>
      <c r="Q85" s="67"/>
      <c r="R85" s="67"/>
      <c r="S85" s="67"/>
      <c r="T85" s="67"/>
      <c r="U85" s="67"/>
      <c r="V85" s="67"/>
      <c r="W85" s="67"/>
      <c r="X85" s="67"/>
      <c r="Y85" s="1"/>
      <c r="Z85" s="1"/>
      <c r="AA85" s="1"/>
      <c r="AB85" s="1"/>
      <c r="AC85" s="1"/>
      <c r="AD85" s="1"/>
      <c r="AE85" s="1"/>
      <c r="AF85" s="1"/>
      <c r="AG85" s="1"/>
      <c r="AH85" s="1"/>
      <c r="AI85" s="1"/>
      <c r="AJ85" s="1"/>
      <c r="AK85" s="1"/>
      <c r="AL85" s="1"/>
      <c r="AM85" s="1"/>
    </row>
    <row r="86">
      <c r="A86" s="31" t="s">
        <v>24</v>
      </c>
      <c r="B86" s="62" t="s">
        <v>223</v>
      </c>
      <c r="C86" s="94" t="str">
        <f>VLOOKUP($B86,'Rate card'!$A$4:$G279,2,FALSE)</f>
        <v>Carpentry</v>
      </c>
      <c r="D86" s="77" t="str">
        <f>VLOOKUP($B86,'Rate card'!$A$4:$G279,3,FALSE)</f>
        <v>Carcass Storage</v>
      </c>
      <c r="E86" s="77" t="str">
        <f>VLOOKUP($B86,'Rate card'!$A$4:$G279,4,FALSE)</f>
        <v>Laminate Finish</v>
      </c>
      <c r="F86" s="62" t="s">
        <v>221</v>
      </c>
      <c r="G86" s="94" t="str">
        <f>VLOOKUP($B86,'Rate card'!$A$4:$G279,6,FALSE)</f>
        <v>Sqft</v>
      </c>
      <c r="H86" s="62">
        <v>1800.0</v>
      </c>
      <c r="I86" s="31" t="s">
        <v>224</v>
      </c>
      <c r="J86" s="79">
        <f t="shared" si="14"/>
        <v>39600</v>
      </c>
      <c r="K86" s="551">
        <f>4*5</f>
        <v>20</v>
      </c>
      <c r="L86" s="534"/>
      <c r="M86" s="33">
        <f t="shared" si="13"/>
        <v>36000</v>
      </c>
      <c r="N86" s="31" t="s">
        <v>225</v>
      </c>
      <c r="O86" s="534"/>
      <c r="P86" s="67"/>
      <c r="Q86" s="67"/>
      <c r="R86" s="67"/>
      <c r="S86" s="67"/>
      <c r="T86" s="67"/>
      <c r="U86" s="67"/>
      <c r="V86" s="67"/>
      <c r="W86" s="67"/>
      <c r="X86" s="67"/>
      <c r="Y86" s="1"/>
      <c r="Z86" s="1"/>
      <c r="AA86" s="1"/>
      <c r="AB86" s="1"/>
      <c r="AC86" s="1"/>
      <c r="AD86" s="1"/>
      <c r="AE86" s="1"/>
      <c r="AF86" s="1"/>
      <c r="AG86" s="1"/>
      <c r="AH86" s="1"/>
      <c r="AI86" s="1"/>
      <c r="AJ86" s="1"/>
      <c r="AK86" s="1"/>
      <c r="AL86" s="1"/>
      <c r="AM86" s="1"/>
    </row>
    <row r="87">
      <c r="A87" s="30" t="s">
        <v>226</v>
      </c>
      <c r="B87" s="28"/>
      <c r="C87" s="28"/>
      <c r="D87" s="28"/>
      <c r="E87" s="28"/>
      <c r="F87" s="28"/>
      <c r="G87" s="28"/>
      <c r="H87" s="64"/>
      <c r="I87" s="40"/>
      <c r="J87" s="64"/>
      <c r="K87" s="540"/>
      <c r="L87" s="40"/>
      <c r="M87" s="28"/>
      <c r="N87" s="28"/>
      <c r="O87" s="28"/>
      <c r="P87" s="67"/>
      <c r="Q87" s="67"/>
      <c r="R87" s="67"/>
      <c r="S87" s="67"/>
      <c r="T87" s="67"/>
      <c r="U87" s="67"/>
      <c r="V87" s="67"/>
      <c r="W87" s="67"/>
      <c r="X87" s="67"/>
      <c r="Y87" s="1"/>
      <c r="Z87" s="1"/>
      <c r="AA87" s="1"/>
      <c r="AB87" s="1"/>
      <c r="AC87" s="1"/>
      <c r="AD87" s="1"/>
      <c r="AE87" s="1"/>
      <c r="AF87" s="1"/>
      <c r="AG87" s="1"/>
      <c r="AH87" s="1"/>
      <c r="AI87" s="1"/>
      <c r="AJ87" s="1"/>
      <c r="AK87" s="1"/>
      <c r="AL87" s="1"/>
      <c r="AM87" s="1"/>
    </row>
    <row r="88">
      <c r="A88" s="33" t="s">
        <v>16</v>
      </c>
      <c r="B88" s="94" t="s">
        <v>227</v>
      </c>
      <c r="C88" s="94" t="str">
        <f>VLOOKUP($B88,'Rate card'!$A$4:$G279,2,FALSE)</f>
        <v>Carpentry</v>
      </c>
      <c r="D88" s="94" t="str">
        <f>VLOOKUP($B88,'Rate card'!$A$4:$G279,3,FALSE)</f>
        <v>Bed</v>
      </c>
      <c r="E88" s="94" t="str">
        <f>VLOOKUP($B88,'Rate card'!$A$4:$G279,4,FALSE)</f>
        <v>Laminate Finish</v>
      </c>
      <c r="F88" s="94" t="s">
        <v>228</v>
      </c>
      <c r="G88" s="94" t="str">
        <f>VLOOKUP($B88,'Rate card'!$A$4:$G279,6,FALSE)</f>
        <v>Sqft</v>
      </c>
      <c r="H88" s="62">
        <v>1800.0</v>
      </c>
      <c r="I88" s="78">
        <f>5.5*6.5</f>
        <v>35.75</v>
      </c>
      <c r="J88" s="79">
        <f t="shared" ref="J88:J96" si="15">H88*I88</f>
        <v>64350</v>
      </c>
      <c r="K88" s="551">
        <f>6*6.5</f>
        <v>39</v>
      </c>
      <c r="L88" s="534"/>
      <c r="M88" s="33">
        <f t="shared" ref="M88:M96" si="16">K88*H88</f>
        <v>70200</v>
      </c>
      <c r="N88" s="75" t="s">
        <v>229</v>
      </c>
      <c r="O88" s="534"/>
      <c r="P88" s="67"/>
      <c r="Q88" s="67"/>
      <c r="R88" s="67"/>
      <c r="S88" s="67"/>
      <c r="T88" s="67"/>
      <c r="U88" s="67"/>
      <c r="V88" s="67"/>
      <c r="W88" s="67"/>
      <c r="X88" s="67"/>
      <c r="Y88" s="1"/>
      <c r="Z88" s="1"/>
      <c r="AA88" s="1"/>
      <c r="AB88" s="1"/>
      <c r="AC88" s="1"/>
      <c r="AD88" s="1"/>
      <c r="AE88" s="1"/>
      <c r="AF88" s="1"/>
      <c r="AG88" s="1"/>
      <c r="AH88" s="1"/>
      <c r="AI88" s="1"/>
      <c r="AJ88" s="1"/>
      <c r="AK88" s="1"/>
      <c r="AL88" s="1"/>
      <c r="AM88" s="1"/>
    </row>
    <row r="89">
      <c r="A89" s="33" t="s">
        <v>18</v>
      </c>
      <c r="B89" s="94" t="s">
        <v>230</v>
      </c>
      <c r="C89" s="94" t="str">
        <f>VLOOKUP($B89,'Rate card'!$A$4:$G279,2,FALSE)</f>
        <v>Carpentry</v>
      </c>
      <c r="D89" s="94" t="str">
        <f>VLOOKUP($B89,'Rate card'!$A$4:$G279,3,FALSE)</f>
        <v>Headboard</v>
      </c>
      <c r="E89" s="94" t="str">
        <f>VLOOKUP($B89,'Rate card'!$A$4:$G279,4,FALSE)</f>
        <v>Fabric Finish</v>
      </c>
      <c r="F89" s="94" t="str">
        <f>VLOOKUP($B89,'Rate card'!$A$4:$G279,5,FALSE)</f>
        <v>MR ply panelling + Foam material and labour. Excludes Fabric cost</v>
      </c>
      <c r="G89" s="94" t="str">
        <f>VLOOKUP($B89,'Rate card'!$A$4:$G279,6,FALSE)</f>
        <v>Sqft</v>
      </c>
      <c r="H89" s="94">
        <v>1300.0</v>
      </c>
      <c r="I89" s="78">
        <f>5.5*3</f>
        <v>16.5</v>
      </c>
      <c r="J89" s="79">
        <f t="shared" si="15"/>
        <v>21450</v>
      </c>
      <c r="K89" s="551">
        <f>9*4.5</f>
        <v>40.5</v>
      </c>
      <c r="L89" s="534"/>
      <c r="M89" s="33">
        <f t="shared" si="16"/>
        <v>52650</v>
      </c>
      <c r="N89" s="95" t="s">
        <v>231</v>
      </c>
      <c r="O89" s="534"/>
      <c r="P89" s="67"/>
      <c r="Q89" s="67"/>
      <c r="R89" s="67"/>
      <c r="S89" s="67"/>
      <c r="T89" s="67"/>
      <c r="U89" s="67"/>
      <c r="V89" s="67"/>
      <c r="W89" s="67"/>
      <c r="X89" s="67"/>
      <c r="Y89" s="1"/>
      <c r="Z89" s="1"/>
      <c r="AA89" s="1"/>
      <c r="AB89" s="1"/>
      <c r="AC89" s="1"/>
      <c r="AD89" s="1"/>
      <c r="AE89" s="1"/>
      <c r="AF89" s="1"/>
      <c r="AG89" s="1"/>
      <c r="AH89" s="1"/>
      <c r="AI89" s="1"/>
      <c r="AJ89" s="1"/>
      <c r="AK89" s="1"/>
      <c r="AL89" s="1"/>
      <c r="AM89" s="1"/>
    </row>
    <row r="90">
      <c r="A90" s="33" t="s">
        <v>24</v>
      </c>
      <c r="B90" s="62" t="s">
        <v>232</v>
      </c>
      <c r="C90" s="94" t="str">
        <f>VLOOKUP($B90,'Rate card'!$A$4:$G279,2,FALSE)</f>
        <v>Carpentry</v>
      </c>
      <c r="D90" s="62" t="s">
        <v>233</v>
      </c>
      <c r="E90" s="94" t="str">
        <f>VLOOKUP($B90,'Rate card'!$A$4:$G279,4,FALSE)</f>
        <v>Laminate Finish</v>
      </c>
      <c r="F90" s="94" t="str">
        <f>VLOOKUP($B90,'Rate card'!$A$4:$G279,5,FALSE)</f>
        <v>MR ply + Inside laminate + finish laminate (1 Drawer)</v>
      </c>
      <c r="G90" s="94" t="str">
        <f>VLOOKUP($B90,'Rate card'!$A$4:$G279,6,FALSE)</f>
        <v>Nos</v>
      </c>
      <c r="H90" s="62">
        <v>20000.0</v>
      </c>
      <c r="I90" s="78" t="s">
        <v>18</v>
      </c>
      <c r="J90" s="79">
        <f t="shared" si="15"/>
        <v>40000</v>
      </c>
      <c r="K90" s="550">
        <v>2.0</v>
      </c>
      <c r="L90" s="534"/>
      <c r="M90" s="33">
        <f t="shared" si="16"/>
        <v>40000</v>
      </c>
      <c r="N90" s="75" t="s">
        <v>233</v>
      </c>
      <c r="O90" s="534"/>
      <c r="P90" s="67"/>
      <c r="Q90" s="67"/>
      <c r="R90" s="67"/>
      <c r="S90" s="67"/>
      <c r="T90" s="67"/>
      <c r="U90" s="67"/>
      <c r="V90" s="67"/>
      <c r="W90" s="67"/>
      <c r="X90" s="67"/>
      <c r="Y90" s="1"/>
      <c r="Z90" s="1"/>
      <c r="AA90" s="1"/>
      <c r="AB90" s="1"/>
      <c r="AC90" s="1"/>
      <c r="AD90" s="1"/>
      <c r="AE90" s="1"/>
      <c r="AF90" s="1"/>
      <c r="AG90" s="1"/>
      <c r="AH90" s="1"/>
      <c r="AI90" s="1"/>
      <c r="AJ90" s="1"/>
      <c r="AK90" s="1"/>
      <c r="AL90" s="1"/>
      <c r="AM90" s="1"/>
    </row>
    <row r="91">
      <c r="A91" s="33" t="s">
        <v>27</v>
      </c>
      <c r="B91" s="62" t="s">
        <v>170</v>
      </c>
      <c r="C91" s="94" t="str">
        <f>VLOOKUP($B91,'Rate card'!$A$4:$G279,2,FALSE)</f>
        <v>Carpentry</v>
      </c>
      <c r="D91" s="94" t="str">
        <f>VLOOKUP($B91,'Rate card'!$A$4:$G279,3,FALSE)</f>
        <v>Carcass Storage</v>
      </c>
      <c r="E91" s="94" t="str">
        <f>VLOOKUP($B91,'Rate card'!$A$4:$G279,4,FALSE)</f>
        <v>Laminate Finish</v>
      </c>
      <c r="F91" s="94" t="str">
        <f>VLOOKUP($B91,'Rate card'!$A$4:$G279,5,FALSE)</f>
        <v>MR ply + Inside laminate + finish laminate</v>
      </c>
      <c r="G91" s="62" t="s">
        <v>175</v>
      </c>
      <c r="H91" s="62">
        <v>1800.0</v>
      </c>
      <c r="I91" s="78" t="s">
        <v>34</v>
      </c>
      <c r="J91" s="79">
        <f t="shared" si="15"/>
        <v>12600</v>
      </c>
      <c r="K91" s="551">
        <f>7*1</f>
        <v>7</v>
      </c>
      <c r="L91" s="534"/>
      <c r="M91" s="33">
        <f t="shared" si="16"/>
        <v>12600</v>
      </c>
      <c r="N91" s="31" t="s">
        <v>234</v>
      </c>
      <c r="O91" s="534"/>
      <c r="P91" s="67"/>
      <c r="Q91" s="67"/>
      <c r="R91" s="67"/>
      <c r="S91" s="67"/>
      <c r="T91" s="67"/>
      <c r="U91" s="67"/>
      <c r="V91" s="67"/>
      <c r="W91" s="67"/>
      <c r="X91" s="67"/>
      <c r="Y91" s="1"/>
      <c r="Z91" s="1"/>
      <c r="AA91" s="1"/>
      <c r="AB91" s="1"/>
      <c r="AC91" s="1"/>
      <c r="AD91" s="1"/>
      <c r="AE91" s="1"/>
      <c r="AF91" s="1"/>
      <c r="AG91" s="1"/>
      <c r="AH91" s="1"/>
      <c r="AI91" s="1"/>
      <c r="AJ91" s="1"/>
      <c r="AK91" s="1"/>
      <c r="AL91" s="1"/>
      <c r="AM91" s="1"/>
    </row>
    <row r="92">
      <c r="A92" s="33" t="s">
        <v>30</v>
      </c>
      <c r="B92" s="62" t="s">
        <v>170</v>
      </c>
      <c r="C92" s="94" t="str">
        <f>VLOOKUP($B92,'Rate card'!$A$4:$G279,2,FALSE)</f>
        <v>Carpentry</v>
      </c>
      <c r="D92" s="94" t="str">
        <f>VLOOKUP($B92,'Rate card'!$A$4:$G279,3,FALSE)</f>
        <v>Carcass Storage</v>
      </c>
      <c r="E92" s="94" t="str">
        <f>VLOOKUP($B92,'Rate card'!$A$4:$G279,4,FALSE)</f>
        <v>Laminate Finish</v>
      </c>
      <c r="F92" s="94" t="str">
        <f>VLOOKUP($B92,'Rate card'!$A$4:$G279,5,FALSE)</f>
        <v>MR ply + Inside laminate + finish laminate</v>
      </c>
      <c r="G92" s="94" t="str">
        <f>VLOOKUP($B92,'Rate card'!$A$4:$G279,6,FALSE)</f>
        <v>Sqft</v>
      </c>
      <c r="H92" s="94">
        <f>VLOOKUP($B92,'Rate card'!$A$4:$J279,8,FALSE)</f>
        <v>1800</v>
      </c>
      <c r="I92" s="78">
        <f>5*10</f>
        <v>50</v>
      </c>
      <c r="J92" s="79">
        <f t="shared" si="15"/>
        <v>90000</v>
      </c>
      <c r="K92" s="551">
        <f>5*9</f>
        <v>45</v>
      </c>
      <c r="L92" s="534"/>
      <c r="M92" s="33">
        <f t="shared" si="16"/>
        <v>81000</v>
      </c>
      <c r="N92" s="75" t="s">
        <v>235</v>
      </c>
      <c r="O92" s="534"/>
      <c r="P92" s="67"/>
      <c r="Q92" s="67"/>
      <c r="R92" s="67"/>
      <c r="S92" s="67"/>
      <c r="T92" s="67"/>
      <c r="U92" s="67"/>
      <c r="V92" s="67"/>
      <c r="W92" s="67"/>
      <c r="X92" s="67"/>
      <c r="Y92" s="1"/>
      <c r="Z92" s="1"/>
      <c r="AA92" s="1"/>
      <c r="AB92" s="1"/>
      <c r="AC92" s="1"/>
      <c r="AD92" s="1"/>
      <c r="AE92" s="1"/>
      <c r="AF92" s="1"/>
      <c r="AG92" s="1"/>
      <c r="AH92" s="1"/>
      <c r="AI92" s="1"/>
      <c r="AJ92" s="1"/>
      <c r="AK92" s="1"/>
      <c r="AL92" s="1"/>
      <c r="AM92" s="1"/>
    </row>
    <row r="93">
      <c r="A93" s="33" t="s">
        <v>32</v>
      </c>
      <c r="B93" s="62" t="s">
        <v>236</v>
      </c>
      <c r="C93" s="94" t="str">
        <f>VLOOKUP($B93,'Rate card'!$A$4:$G279,2,FALSE)</f>
        <v>Carpentry</v>
      </c>
      <c r="D93" s="94" t="str">
        <f>VLOOKUP($B93,'Rate card'!$A$4:$G279,3,FALSE)</f>
        <v>Panelling with framing</v>
      </c>
      <c r="E93" s="94" t="str">
        <f>VLOOKUP($B93,'Rate card'!$A$4:$G279,4,FALSE)</f>
        <v>Mirror Finish</v>
      </c>
      <c r="F93" s="94" t="str">
        <f>VLOOKUP($B93,'Rate card'!$A$4:$G279,5,FALSE)</f>
        <v>MR ply + ply framing + 5mm clear mirror</v>
      </c>
      <c r="G93" s="94" t="str">
        <f>VLOOKUP($B93,'Rate card'!$A$4:$G279,6,FALSE)</f>
        <v>Sqft</v>
      </c>
      <c r="H93" s="94">
        <f>VLOOKUP($B93,'Rate card'!$A$4:$J279,8,FALSE)</f>
        <v>750</v>
      </c>
      <c r="I93" s="78">
        <f>2.5*7</f>
        <v>17.5</v>
      </c>
      <c r="J93" s="79">
        <f t="shared" si="15"/>
        <v>13125</v>
      </c>
      <c r="K93" s="551">
        <f>7*2</f>
        <v>14</v>
      </c>
      <c r="L93" s="534"/>
      <c r="M93" s="33">
        <f t="shared" si="16"/>
        <v>10500</v>
      </c>
      <c r="N93" s="75" t="s">
        <v>237</v>
      </c>
      <c r="O93" s="534"/>
      <c r="P93" s="67"/>
      <c r="Q93" s="67"/>
      <c r="R93" s="67"/>
      <c r="S93" s="67"/>
      <c r="T93" s="67"/>
      <c r="U93" s="67"/>
      <c r="V93" s="67"/>
      <c r="W93" s="67"/>
      <c r="X93" s="67"/>
      <c r="Y93" s="1"/>
      <c r="Z93" s="1"/>
      <c r="AA93" s="1"/>
      <c r="AB93" s="1"/>
      <c r="AC93" s="1"/>
      <c r="AD93" s="1"/>
      <c r="AE93" s="1"/>
      <c r="AF93" s="1"/>
      <c r="AG93" s="1"/>
      <c r="AH93" s="1"/>
      <c r="AI93" s="1"/>
      <c r="AJ93" s="1"/>
      <c r="AK93" s="1"/>
      <c r="AL93" s="1"/>
      <c r="AM93" s="1"/>
    </row>
    <row r="94" ht="26.25" customHeight="1">
      <c r="A94" s="33" t="s">
        <v>34</v>
      </c>
      <c r="B94" s="75" t="s">
        <v>238</v>
      </c>
      <c r="C94" s="95" t="s">
        <v>31</v>
      </c>
      <c r="D94" s="33" t="s">
        <v>180</v>
      </c>
      <c r="E94" s="95" t="str">
        <f>VLOOKUP($B94,'Rate card'!$A$4:$G279,4,FALSE)</f>
        <v>Laminate Finish</v>
      </c>
      <c r="F94" s="76" t="s">
        <v>239</v>
      </c>
      <c r="G94" s="95" t="str">
        <f>VLOOKUP($B94,'Rate card'!$A$4:$G279,6,FALSE)</f>
        <v>Sqft</v>
      </c>
      <c r="H94" s="75">
        <v>950.0</v>
      </c>
      <c r="I94" s="31" t="s">
        <v>240</v>
      </c>
      <c r="J94" s="69">
        <f t="shared" si="15"/>
        <v>76000</v>
      </c>
      <c r="K94" s="551">
        <f>9*9</f>
        <v>81</v>
      </c>
      <c r="L94" s="534"/>
      <c r="M94" s="33">
        <f t="shared" si="16"/>
        <v>76950</v>
      </c>
      <c r="N94" s="32" t="s">
        <v>241</v>
      </c>
      <c r="O94" s="552" t="s">
        <v>242</v>
      </c>
      <c r="P94" s="76"/>
      <c r="Q94" s="76"/>
      <c r="R94" s="76"/>
      <c r="S94" s="76"/>
      <c r="T94" s="76"/>
      <c r="U94" s="76"/>
      <c r="V94" s="76"/>
      <c r="W94" s="76"/>
      <c r="X94" s="76"/>
      <c r="Y94" s="52"/>
      <c r="Z94" s="52"/>
      <c r="AA94" s="52"/>
      <c r="AB94" s="52"/>
      <c r="AC94" s="52"/>
      <c r="AD94" s="52"/>
      <c r="AE94" s="52"/>
      <c r="AF94" s="52"/>
      <c r="AG94" s="52"/>
      <c r="AH94" s="52"/>
      <c r="AI94" s="52"/>
      <c r="AJ94" s="52"/>
      <c r="AK94" s="52"/>
      <c r="AL94" s="52"/>
      <c r="AM94" s="52"/>
    </row>
    <row r="95">
      <c r="A95" s="33" t="s">
        <v>36</v>
      </c>
      <c r="B95" s="62" t="s">
        <v>243</v>
      </c>
      <c r="C95" s="94" t="str">
        <f>VLOOKUP($B95,'Rate card'!$A$4:$G279,2,FALSE)</f>
        <v>Carpentry</v>
      </c>
      <c r="D95" s="94" t="str">
        <f>VLOOKUP($B95,'Rate card'!$A$4:$G279,3,FALSE)</f>
        <v>Wardrobe</v>
      </c>
      <c r="E95" s="94" t="str">
        <f>VLOOKUP($B95,'Rate card'!$A$4:$G279,4,FALSE)</f>
        <v>Laminate Finish</v>
      </c>
      <c r="F95" s="94" t="str">
        <f>VLOOKUP($B95,'Rate card'!$A$4:$G279,5,FALSE)</f>
        <v>MR ply + Inside laminate + finish laminate. (Includes 4 pencil drawers, Handles of base rate Rs.1000/pc)</v>
      </c>
      <c r="G95" s="94" t="str">
        <f>VLOOKUP($B95,'Rate card'!$A$4:$G279,6,FALSE)</f>
        <v>Sqft</v>
      </c>
      <c r="H95" s="62">
        <v>2200.0</v>
      </c>
      <c r="I95" s="78">
        <f>7.5*10</f>
        <v>75</v>
      </c>
      <c r="J95" s="79">
        <f t="shared" si="15"/>
        <v>165000</v>
      </c>
      <c r="K95" s="551">
        <f>10*9</f>
        <v>90</v>
      </c>
      <c r="L95" s="534"/>
      <c r="M95" s="33">
        <f t="shared" si="16"/>
        <v>198000</v>
      </c>
      <c r="N95" s="75" t="s">
        <v>244</v>
      </c>
      <c r="O95" s="534"/>
      <c r="P95" s="67"/>
      <c r="Q95" s="67"/>
      <c r="R95" s="67"/>
      <c r="S95" s="67"/>
      <c r="T95" s="67"/>
      <c r="U95" s="67"/>
      <c r="V95" s="67"/>
      <c r="W95" s="67"/>
      <c r="X95" s="67"/>
      <c r="Y95" s="1"/>
      <c r="Z95" s="1"/>
      <c r="AA95" s="1"/>
      <c r="AB95" s="1"/>
      <c r="AC95" s="1"/>
      <c r="AD95" s="1"/>
      <c r="AE95" s="1"/>
      <c r="AF95" s="1"/>
      <c r="AG95" s="1"/>
      <c r="AH95" s="1"/>
      <c r="AI95" s="1"/>
      <c r="AJ95" s="1"/>
      <c r="AK95" s="1"/>
      <c r="AL95" s="1"/>
      <c r="AM95" s="1"/>
    </row>
    <row r="96">
      <c r="A96" s="33" t="s">
        <v>92</v>
      </c>
      <c r="B96" s="62" t="s">
        <v>179</v>
      </c>
      <c r="C96" s="94" t="str">
        <f>VLOOKUP($B96,'Rate card'!$A$4:$G279,2,FALSE)</f>
        <v>Carpentry</v>
      </c>
      <c r="D96" s="94" t="str">
        <f>VLOOKUP($B96,'Rate card'!$A$4:$G279,3,FALSE)</f>
        <v>Panelling with framing</v>
      </c>
      <c r="E96" s="94" t="str">
        <f>VLOOKUP($B96,'Rate card'!$A$4:$G279,4,FALSE)</f>
        <v>MDF</v>
      </c>
      <c r="F96" s="94" t="str">
        <f>VLOOKUP($B96,'Rate card'!$A$4:$G279,5,FALSE)</f>
        <v>MR ply + ply framing + 12mm MDF</v>
      </c>
      <c r="G96" s="94" t="str">
        <f>VLOOKUP($B96,'Rate card'!$A$4:$G279,6,FALSE)</f>
        <v>Sqft</v>
      </c>
      <c r="H96" s="62">
        <v>600.0</v>
      </c>
      <c r="I96" s="78">
        <f>12*2.5</f>
        <v>30</v>
      </c>
      <c r="J96" s="79">
        <f t="shared" si="15"/>
        <v>18000</v>
      </c>
      <c r="K96" s="551">
        <f>10*2</f>
        <v>20</v>
      </c>
      <c r="L96" s="534"/>
      <c r="M96" s="33">
        <f t="shared" si="16"/>
        <v>12000</v>
      </c>
      <c r="N96" s="75" t="s">
        <v>245</v>
      </c>
      <c r="O96" s="534"/>
      <c r="P96" s="67"/>
      <c r="Q96" s="67"/>
      <c r="R96" s="67"/>
      <c r="S96" s="67"/>
      <c r="T96" s="67"/>
      <c r="U96" s="67"/>
      <c r="V96" s="67"/>
      <c r="W96" s="67"/>
      <c r="X96" s="67"/>
      <c r="Y96" s="1"/>
      <c r="Z96" s="1"/>
      <c r="AA96" s="1"/>
      <c r="AB96" s="1"/>
      <c r="AC96" s="1"/>
      <c r="AD96" s="1"/>
      <c r="AE96" s="1"/>
      <c r="AF96" s="1"/>
      <c r="AG96" s="1"/>
      <c r="AH96" s="1"/>
      <c r="AI96" s="1"/>
      <c r="AJ96" s="1"/>
      <c r="AK96" s="1"/>
      <c r="AL96" s="1"/>
      <c r="AM96" s="1"/>
    </row>
    <row r="97">
      <c r="A97" s="30" t="s">
        <v>246</v>
      </c>
      <c r="B97" s="28"/>
      <c r="C97" s="28"/>
      <c r="D97" s="28"/>
      <c r="E97" s="28"/>
      <c r="F97" s="28"/>
      <c r="G97" s="28"/>
      <c r="H97" s="64"/>
      <c r="I97" s="40"/>
      <c r="J97" s="64"/>
      <c r="K97" s="540"/>
      <c r="L97" s="40"/>
      <c r="M97" s="28"/>
      <c r="N97" s="28"/>
      <c r="O97" s="28"/>
      <c r="P97" s="67"/>
      <c r="Q97" s="67"/>
      <c r="R97" s="67"/>
      <c r="S97" s="67"/>
      <c r="T97" s="67"/>
      <c r="U97" s="67"/>
      <c r="V97" s="67"/>
      <c r="W97" s="67"/>
      <c r="X97" s="67"/>
      <c r="Y97" s="1"/>
      <c r="Z97" s="1"/>
      <c r="AA97" s="1"/>
      <c r="AB97" s="1"/>
      <c r="AC97" s="1"/>
      <c r="AD97" s="1"/>
      <c r="AE97" s="1"/>
      <c r="AF97" s="1"/>
      <c r="AG97" s="1"/>
      <c r="AH97" s="1"/>
      <c r="AI97" s="1"/>
      <c r="AJ97" s="1"/>
      <c r="AK97" s="1"/>
      <c r="AL97" s="1"/>
      <c r="AM97" s="1"/>
    </row>
    <row r="98">
      <c r="A98" s="33" t="s">
        <v>16</v>
      </c>
      <c r="B98" s="94" t="s">
        <v>227</v>
      </c>
      <c r="C98" s="94" t="str">
        <f>VLOOKUP($B98,'Rate card'!$A$4:$G279,2,FALSE)</f>
        <v>Carpentry</v>
      </c>
      <c r="D98" s="94" t="str">
        <f>VLOOKUP($B98,'Rate card'!$A$4:$G279,3,FALSE)</f>
        <v>Bed</v>
      </c>
      <c r="E98" s="94" t="str">
        <f>VLOOKUP($B98,'Rate card'!$A$4:$G279,4,FALSE)</f>
        <v>Laminate Finish</v>
      </c>
      <c r="F98" s="94" t="str">
        <f>VLOOKUP($B98,'Rate card'!$A$4:$G279,5,FALSE)</f>
        <v>MR ply + Inside laminate + finish laminate</v>
      </c>
      <c r="G98" s="94" t="str">
        <f>VLOOKUP($B98,'Rate card'!$A$4:$G279,6,FALSE)</f>
        <v>Sqft</v>
      </c>
      <c r="H98" s="94">
        <v>2200.0</v>
      </c>
      <c r="I98" s="77">
        <f>6*6.5</f>
        <v>39</v>
      </c>
      <c r="J98" s="79">
        <f t="shared" ref="J98:J109" si="17">H98*I98</f>
        <v>85800</v>
      </c>
      <c r="K98" s="560">
        <f>6*6.5</f>
        <v>39</v>
      </c>
      <c r="L98" s="192"/>
      <c r="M98" s="79">
        <f t="shared" ref="M98:M109" si="18">K98*H98</f>
        <v>85800</v>
      </c>
      <c r="N98" s="95" t="s">
        <v>247</v>
      </c>
      <c r="O98" s="192"/>
      <c r="P98" s="67"/>
      <c r="Q98" s="67"/>
      <c r="R98" s="67"/>
      <c r="S98" s="67"/>
      <c r="T98" s="67"/>
      <c r="U98" s="67"/>
      <c r="V98" s="67"/>
      <c r="W98" s="67"/>
      <c r="X98" s="67"/>
      <c r="Y98" s="1"/>
      <c r="Z98" s="1"/>
      <c r="AA98" s="1"/>
      <c r="AB98" s="1"/>
      <c r="AC98" s="1"/>
      <c r="AD98" s="1"/>
      <c r="AE98" s="1"/>
      <c r="AF98" s="1"/>
      <c r="AG98" s="1"/>
      <c r="AH98" s="1"/>
      <c r="AI98" s="1"/>
      <c r="AJ98" s="1"/>
      <c r="AK98" s="1"/>
      <c r="AL98" s="1"/>
      <c r="AM98" s="1"/>
    </row>
    <row r="99">
      <c r="A99" s="33" t="s">
        <v>18</v>
      </c>
      <c r="B99" s="94" t="s">
        <v>230</v>
      </c>
      <c r="C99" s="94" t="str">
        <f>VLOOKUP($B99,'Rate card'!$A$4:$G279,2,FALSE)</f>
        <v>Carpentry</v>
      </c>
      <c r="D99" s="94" t="str">
        <f>VLOOKUP($B99,'Rate card'!$A$4:$G279,3,FALSE)</f>
        <v>Headboard</v>
      </c>
      <c r="E99" s="94" t="str">
        <f>VLOOKUP($B99,'Rate card'!$A$4:$G279,4,FALSE)</f>
        <v>Fabric Finish</v>
      </c>
      <c r="F99" s="94" t="str">
        <f>VLOOKUP($B99,'Rate card'!$A$4:$G279,5,FALSE)</f>
        <v>MR ply panelling + Foam material and labour. Excludes Fabric cost</v>
      </c>
      <c r="G99" s="94" t="str">
        <f>VLOOKUP($B99,'Rate card'!$A$4:$G279,6,FALSE)</f>
        <v>Sqft</v>
      </c>
      <c r="H99" s="94">
        <v>1300.0</v>
      </c>
      <c r="I99" s="77">
        <f>6*3.5</f>
        <v>21</v>
      </c>
      <c r="J99" s="79">
        <f t="shared" si="17"/>
        <v>27300</v>
      </c>
      <c r="K99" s="560">
        <f>6*4.5</f>
        <v>27</v>
      </c>
      <c r="L99" s="192"/>
      <c r="M99" s="79">
        <f t="shared" si="18"/>
        <v>35100</v>
      </c>
      <c r="N99" s="95" t="s">
        <v>231</v>
      </c>
      <c r="O99" s="192"/>
      <c r="P99" s="67"/>
      <c r="Q99" s="67"/>
      <c r="R99" s="67"/>
      <c r="S99" s="67"/>
      <c r="T99" s="67"/>
      <c r="U99" s="67"/>
      <c r="V99" s="67"/>
      <c r="W99" s="67"/>
      <c r="X99" s="67"/>
      <c r="Y99" s="1"/>
      <c r="Z99" s="1"/>
      <c r="AA99" s="1"/>
      <c r="AB99" s="1"/>
      <c r="AC99" s="1"/>
      <c r="AD99" s="1"/>
      <c r="AE99" s="1"/>
      <c r="AF99" s="1"/>
      <c r="AG99" s="1"/>
      <c r="AH99" s="1"/>
      <c r="AI99" s="1"/>
      <c r="AJ99" s="1"/>
      <c r="AK99" s="1"/>
      <c r="AL99" s="1"/>
      <c r="AM99" s="1"/>
    </row>
    <row r="100">
      <c r="A100" s="33" t="s">
        <v>24</v>
      </c>
      <c r="B100" s="62" t="s">
        <v>232</v>
      </c>
      <c r="C100" s="94" t="str">
        <f>VLOOKUP($B100,'Rate card'!$A$4:$G279,2,FALSE)</f>
        <v>Carpentry</v>
      </c>
      <c r="D100" s="62" t="s">
        <v>233</v>
      </c>
      <c r="E100" s="94" t="str">
        <f>VLOOKUP($B100,'Rate card'!$A$4:$G279,4,FALSE)</f>
        <v>Laminate Finish</v>
      </c>
      <c r="F100" s="94" t="str">
        <f>VLOOKUP($B100,'Rate card'!$A$4:$G279,5,FALSE)</f>
        <v>MR ply + Inside laminate + finish laminate (1 Drawer)</v>
      </c>
      <c r="G100" s="94" t="str">
        <f>VLOOKUP($B100,'Rate card'!$A$4:$G279,6,FALSE)</f>
        <v>Nos</v>
      </c>
      <c r="H100" s="62">
        <v>20000.0</v>
      </c>
      <c r="I100" s="78" t="s">
        <v>16</v>
      </c>
      <c r="J100" s="79">
        <f t="shared" si="17"/>
        <v>20000</v>
      </c>
      <c r="K100" s="561">
        <v>2.0</v>
      </c>
      <c r="L100" s="192"/>
      <c r="M100" s="79">
        <f t="shared" si="18"/>
        <v>40000</v>
      </c>
      <c r="N100" s="75" t="s">
        <v>233</v>
      </c>
      <c r="O100" s="192"/>
      <c r="P100" s="67"/>
      <c r="Q100" s="67"/>
      <c r="R100" s="67"/>
      <c r="S100" s="67"/>
      <c r="T100" s="67"/>
      <c r="U100" s="67"/>
      <c r="V100" s="67"/>
      <c r="W100" s="67"/>
      <c r="X100" s="67"/>
      <c r="Y100" s="1"/>
      <c r="Z100" s="1"/>
      <c r="AA100" s="1"/>
      <c r="AB100" s="1"/>
      <c r="AC100" s="1"/>
      <c r="AD100" s="1"/>
      <c r="AE100" s="1"/>
      <c r="AF100" s="1"/>
      <c r="AG100" s="1"/>
      <c r="AH100" s="1"/>
      <c r="AI100" s="1"/>
      <c r="AJ100" s="1"/>
      <c r="AK100" s="1"/>
      <c r="AL100" s="1"/>
      <c r="AM100" s="1"/>
    </row>
    <row r="101">
      <c r="A101" s="33" t="s">
        <v>27</v>
      </c>
      <c r="B101" s="62" t="s">
        <v>248</v>
      </c>
      <c r="C101" s="94" t="str">
        <f>VLOOKUP($B101,'Rate card'!$A$4:$G279,2,FALSE)</f>
        <v>Carpentry</v>
      </c>
      <c r="D101" s="94" t="str">
        <f>VLOOKUP($B101,'Rate card'!$A$4:$G279,3,FALSE)</f>
        <v>Study Table</v>
      </c>
      <c r="E101" s="94" t="str">
        <f>VLOOKUP($B101,'Rate card'!$A$4:$G279,4,FALSE)</f>
        <v>Laminate Finish</v>
      </c>
      <c r="F101" s="94" t="str">
        <f>VLOOKUP($B101,'Rate card'!$A$4:$G279,5,FALSE)</f>
        <v>MR ply + Inside laminate + finish laminate (2 pencil drawers)</v>
      </c>
      <c r="G101" s="94" t="str">
        <f>VLOOKUP($B101,'Rate card'!$A$4:$G279,6,FALSE)</f>
        <v>Rft</v>
      </c>
      <c r="H101" s="62">
        <v>4500.0</v>
      </c>
      <c r="I101" s="78" t="s">
        <v>27</v>
      </c>
      <c r="J101" s="79">
        <f t="shared" si="17"/>
        <v>18000</v>
      </c>
      <c r="K101" s="561">
        <v>4.5</v>
      </c>
      <c r="L101" s="192"/>
      <c r="M101" s="79">
        <f t="shared" si="18"/>
        <v>20250</v>
      </c>
      <c r="N101" s="75" t="s">
        <v>249</v>
      </c>
      <c r="O101" s="192"/>
      <c r="P101" s="67"/>
      <c r="Q101" s="67"/>
      <c r="R101" s="67"/>
      <c r="S101" s="67"/>
      <c r="T101" s="67"/>
      <c r="U101" s="67"/>
      <c r="V101" s="67"/>
      <c r="W101" s="67"/>
      <c r="X101" s="67"/>
      <c r="Y101" s="1"/>
      <c r="Z101" s="1"/>
      <c r="AA101" s="1"/>
      <c r="AB101" s="1"/>
      <c r="AC101" s="1"/>
      <c r="AD101" s="1"/>
      <c r="AE101" s="1"/>
      <c r="AF101" s="1"/>
      <c r="AG101" s="1"/>
      <c r="AH101" s="1"/>
      <c r="AI101" s="1"/>
      <c r="AJ101" s="1"/>
      <c r="AK101" s="1"/>
      <c r="AL101" s="1"/>
      <c r="AM101" s="1"/>
    </row>
    <row r="102">
      <c r="A102" s="33" t="s">
        <v>30</v>
      </c>
      <c r="B102" s="62" t="s">
        <v>170</v>
      </c>
      <c r="C102" s="94" t="str">
        <f>VLOOKUP($B102,'Rate card'!$A$4:$G279,2,FALSE)</f>
        <v>Carpentry</v>
      </c>
      <c r="D102" s="94" t="str">
        <f>VLOOKUP($B102,'Rate card'!$A$4:$G279,3,FALSE)</f>
        <v>Carcass Storage</v>
      </c>
      <c r="E102" s="94" t="str">
        <f>VLOOKUP($B102,'Rate card'!$A$4:$G279,4,FALSE)</f>
        <v>Laminate Finish</v>
      </c>
      <c r="F102" s="94" t="str">
        <f>VLOOKUP($B102,'Rate card'!$A$4:$G279,5,FALSE)</f>
        <v>MR ply + Inside laminate + finish laminate</v>
      </c>
      <c r="G102" s="94" t="str">
        <f>VLOOKUP($B102,'Rate card'!$A$4:$G279,6,FALSE)</f>
        <v>Sqft</v>
      </c>
      <c r="H102" s="94">
        <f>VLOOKUP($B102,'Rate card'!$A$4:$J279,8,FALSE)</f>
        <v>1800</v>
      </c>
      <c r="I102" s="78" t="s">
        <v>121</v>
      </c>
      <c r="J102" s="79">
        <f t="shared" si="17"/>
        <v>36000</v>
      </c>
      <c r="K102" s="560">
        <f>4.5*5.5</f>
        <v>24.75</v>
      </c>
      <c r="L102" s="192"/>
      <c r="M102" s="79">
        <f t="shared" si="18"/>
        <v>44550</v>
      </c>
      <c r="N102" s="75" t="s">
        <v>250</v>
      </c>
      <c r="O102" s="192"/>
      <c r="P102" s="67"/>
      <c r="Q102" s="67"/>
      <c r="R102" s="67"/>
      <c r="S102" s="67"/>
      <c r="T102" s="67"/>
      <c r="U102" s="67"/>
      <c r="V102" s="67"/>
      <c r="W102" s="67"/>
      <c r="X102" s="67"/>
      <c r="Y102" s="1"/>
      <c r="Z102" s="1"/>
      <c r="AA102" s="1"/>
      <c r="AB102" s="1"/>
      <c r="AC102" s="1"/>
      <c r="AD102" s="1"/>
      <c r="AE102" s="1"/>
      <c r="AF102" s="1"/>
      <c r="AG102" s="1"/>
      <c r="AH102" s="1"/>
      <c r="AI102" s="1"/>
      <c r="AJ102" s="1"/>
      <c r="AK102" s="1"/>
      <c r="AL102" s="1"/>
      <c r="AM102" s="1"/>
    </row>
    <row r="103">
      <c r="A103" s="33" t="s">
        <v>32</v>
      </c>
      <c r="B103" s="62" t="s">
        <v>170</v>
      </c>
      <c r="C103" s="94" t="str">
        <f>VLOOKUP($B103,'Rate card'!$A$4:$G279,2,FALSE)</f>
        <v>Carpentry</v>
      </c>
      <c r="D103" s="94" t="str">
        <f>VLOOKUP($B103,'Rate card'!$A$4:$G279,3,FALSE)</f>
        <v>Carcass Storage</v>
      </c>
      <c r="E103" s="94" t="str">
        <f>VLOOKUP($B103,'Rate card'!$A$4:$G279,4,FALSE)</f>
        <v>Laminate Finish</v>
      </c>
      <c r="F103" s="94" t="str">
        <f>VLOOKUP($B103,'Rate card'!$A$4:$G279,5,FALSE)</f>
        <v>MR ply + Inside laminate + finish laminate</v>
      </c>
      <c r="G103" s="94" t="str">
        <f>VLOOKUP($B103,'Rate card'!$A$4:$G279,6,FALSE)</f>
        <v>Sqft</v>
      </c>
      <c r="H103" s="94">
        <f>VLOOKUP($B103,'Rate card'!$A$4:$J279,8,FALSE)</f>
        <v>1800</v>
      </c>
      <c r="I103" s="78" t="s">
        <v>116</v>
      </c>
      <c r="J103" s="79">
        <f t="shared" si="17"/>
        <v>32400</v>
      </c>
      <c r="K103" s="560">
        <f>5*7</f>
        <v>35</v>
      </c>
      <c r="L103" s="192"/>
      <c r="M103" s="79">
        <f t="shared" si="18"/>
        <v>63000</v>
      </c>
      <c r="N103" s="75" t="s">
        <v>251</v>
      </c>
      <c r="O103" s="192"/>
      <c r="P103" s="67"/>
      <c r="Q103" s="67"/>
      <c r="R103" s="67"/>
      <c r="S103" s="67"/>
      <c r="T103" s="67"/>
      <c r="U103" s="67"/>
      <c r="V103" s="67"/>
      <c r="W103" s="67"/>
      <c r="X103" s="67"/>
      <c r="Y103" s="1"/>
      <c r="Z103" s="1"/>
      <c r="AA103" s="1"/>
      <c r="AB103" s="1"/>
      <c r="AC103" s="1"/>
      <c r="AD103" s="1"/>
      <c r="AE103" s="1"/>
      <c r="AF103" s="1"/>
      <c r="AG103" s="1"/>
      <c r="AH103" s="1"/>
      <c r="AI103" s="1"/>
      <c r="AJ103" s="1"/>
      <c r="AK103" s="1"/>
      <c r="AL103" s="1"/>
      <c r="AM103" s="1"/>
    </row>
    <row r="104">
      <c r="A104" s="33" t="s">
        <v>34</v>
      </c>
      <c r="B104" s="62" t="s">
        <v>236</v>
      </c>
      <c r="C104" s="94" t="str">
        <f>VLOOKUP($B104,'Rate card'!$A$4:$G279,2,FALSE)</f>
        <v>Carpentry</v>
      </c>
      <c r="D104" s="94" t="str">
        <f>VLOOKUP($B104,'Rate card'!$A$4:$G279,3,FALSE)</f>
        <v>Panelling with framing</v>
      </c>
      <c r="E104" s="94" t="str">
        <f>VLOOKUP($B104,'Rate card'!$A$4:$G279,4,FALSE)</f>
        <v>Mirror Finish</v>
      </c>
      <c r="F104" s="94" t="str">
        <f>VLOOKUP($B104,'Rate card'!$A$4:$G279,5,FALSE)</f>
        <v>MR ply + ply framing + 5mm clear mirror</v>
      </c>
      <c r="G104" s="94" t="str">
        <f>VLOOKUP($B104,'Rate card'!$A$4:$G279,6,FALSE)</f>
        <v>Sqft</v>
      </c>
      <c r="H104" s="94">
        <f>VLOOKUP($B104,'Rate card'!$A$4:$J279,8,FALSE)</f>
        <v>750</v>
      </c>
      <c r="I104" s="78">
        <f>2*5</f>
        <v>10</v>
      </c>
      <c r="J104" s="79">
        <f t="shared" si="17"/>
        <v>7500</v>
      </c>
      <c r="K104" s="560">
        <f>3*3</f>
        <v>9</v>
      </c>
      <c r="L104" s="192"/>
      <c r="M104" s="79">
        <f t="shared" si="18"/>
        <v>6750</v>
      </c>
      <c r="N104" s="75" t="s">
        <v>237</v>
      </c>
      <c r="O104" s="192"/>
      <c r="P104" s="67"/>
      <c r="Q104" s="67"/>
      <c r="R104" s="67"/>
      <c r="S104" s="67"/>
      <c r="T104" s="67"/>
      <c r="U104" s="67"/>
      <c r="V104" s="67"/>
      <c r="W104" s="67"/>
      <c r="X104" s="67"/>
      <c r="Y104" s="1"/>
      <c r="Z104" s="1"/>
      <c r="AA104" s="1"/>
      <c r="AB104" s="1"/>
      <c r="AC104" s="1"/>
      <c r="AD104" s="1"/>
      <c r="AE104" s="1"/>
      <c r="AF104" s="1"/>
      <c r="AG104" s="1"/>
      <c r="AH104" s="1"/>
      <c r="AI104" s="1"/>
      <c r="AJ104" s="1"/>
      <c r="AK104" s="1"/>
      <c r="AL104" s="1"/>
      <c r="AM104" s="1"/>
    </row>
    <row r="105" hidden="1">
      <c r="A105" s="33" t="s">
        <v>36</v>
      </c>
      <c r="B105" s="62" t="s">
        <v>252</v>
      </c>
      <c r="C105" s="94" t="str">
        <f>VLOOKUP($B105,'Rate card'!$A$4:$G279,2,FALSE)</f>
        <v>Carpentry</v>
      </c>
      <c r="D105" s="94" t="str">
        <f>VLOOKUP($B105,'Rate card'!$A$4:$G279,3,FALSE)</f>
        <v>Dresser</v>
      </c>
      <c r="E105" s="77" t="str">
        <f>VLOOKUP($B105,'Rate card'!$A$4:$G279,4,FALSE)</f>
        <v>Laminate Finish</v>
      </c>
      <c r="F105" s="77" t="str">
        <f>VLOOKUP($B105,'Rate card'!$A$4:$G279,5,FALSE)</f>
        <v>MRply + Inside laminate + finish laminate </v>
      </c>
      <c r="G105" s="94" t="str">
        <f>VLOOKUP($B105,'Rate card'!$A$4:$G279,6,FALSE)</f>
        <v>Sqft</v>
      </c>
      <c r="H105" s="62">
        <v>1800.0</v>
      </c>
      <c r="I105" s="78" t="s">
        <v>32</v>
      </c>
      <c r="J105" s="79">
        <f t="shared" si="17"/>
        <v>10800</v>
      </c>
      <c r="K105" s="561">
        <v>0.0</v>
      </c>
      <c r="L105" s="192"/>
      <c r="M105" s="79">
        <f t="shared" si="18"/>
        <v>0</v>
      </c>
      <c r="N105" s="75" t="s">
        <v>234</v>
      </c>
      <c r="O105" s="192"/>
      <c r="P105" s="67"/>
      <c r="Q105" s="67"/>
      <c r="R105" s="67"/>
      <c r="S105" s="67"/>
      <c r="T105" s="67"/>
      <c r="U105" s="67"/>
      <c r="V105" s="67"/>
      <c r="W105" s="67"/>
      <c r="X105" s="67"/>
      <c r="Y105" s="1"/>
      <c r="Z105" s="1"/>
      <c r="AA105" s="1"/>
      <c r="AB105" s="1"/>
      <c r="AC105" s="1"/>
      <c r="AD105" s="1"/>
      <c r="AE105" s="1"/>
      <c r="AF105" s="1"/>
      <c r="AG105" s="1"/>
      <c r="AH105" s="1"/>
      <c r="AI105" s="1"/>
      <c r="AJ105" s="1"/>
      <c r="AK105" s="1"/>
      <c r="AL105" s="1"/>
      <c r="AM105" s="1"/>
    </row>
    <row r="106" hidden="1">
      <c r="A106" s="33" t="s">
        <v>92</v>
      </c>
      <c r="B106" s="62" t="s">
        <v>238</v>
      </c>
      <c r="C106" s="94" t="s">
        <v>31</v>
      </c>
      <c r="D106" s="77" t="s">
        <v>180</v>
      </c>
      <c r="E106" s="94" t="str">
        <f>VLOOKUP($B106,'Rate card'!$A$4:$G279,4,FALSE)</f>
        <v>Laminate Finish</v>
      </c>
      <c r="F106" s="100" t="s">
        <v>239</v>
      </c>
      <c r="G106" s="94" t="str">
        <f>VLOOKUP($B106,'Rate card'!$A$4:$G279,6,FALSE)</f>
        <v>Sqft</v>
      </c>
      <c r="H106" s="94">
        <f>VLOOKUP($B106,'Rate card'!$A$4:$J279,8,FALSE)</f>
        <v>650</v>
      </c>
      <c r="I106" s="78" t="s">
        <v>64</v>
      </c>
      <c r="J106" s="79">
        <f t="shared" si="17"/>
        <v>26000</v>
      </c>
      <c r="K106" s="561">
        <v>0.0</v>
      </c>
      <c r="L106" s="192"/>
      <c r="M106" s="79">
        <f t="shared" si="18"/>
        <v>0</v>
      </c>
      <c r="N106" s="80" t="s">
        <v>241</v>
      </c>
      <c r="O106" s="192"/>
      <c r="P106" s="67"/>
      <c r="Q106" s="67"/>
      <c r="R106" s="67"/>
      <c r="S106" s="67"/>
      <c r="T106" s="67"/>
      <c r="U106" s="67"/>
      <c r="V106" s="67"/>
      <c r="W106" s="67"/>
      <c r="X106" s="67"/>
      <c r="Y106" s="1"/>
      <c r="Z106" s="1"/>
      <c r="AA106" s="1"/>
      <c r="AB106" s="1"/>
      <c r="AC106" s="1"/>
      <c r="AD106" s="1"/>
      <c r="AE106" s="1"/>
      <c r="AF106" s="1"/>
      <c r="AG106" s="1"/>
      <c r="AH106" s="1"/>
      <c r="AI106" s="1"/>
      <c r="AJ106" s="1"/>
      <c r="AK106" s="1"/>
      <c r="AL106" s="1"/>
      <c r="AM106" s="1"/>
    </row>
    <row r="107">
      <c r="A107" s="33" t="s">
        <v>95</v>
      </c>
      <c r="B107" s="62" t="s">
        <v>243</v>
      </c>
      <c r="C107" s="94" t="str">
        <f>VLOOKUP($B107,'Rate card'!$A$4:$G279,2,FALSE)</f>
        <v>Carpentry</v>
      </c>
      <c r="D107" s="94" t="str">
        <f>VLOOKUP($B107,'Rate card'!$A$4:$G279,3,FALSE)</f>
        <v>Wardrobe</v>
      </c>
      <c r="E107" s="62" t="s">
        <v>253</v>
      </c>
      <c r="F107" s="94" t="str">
        <f>VLOOKUP($B107,'Rate card'!$A$4:$G279,5,FALSE)</f>
        <v>MR ply + Inside laminate + finish laminate. (Includes 4 pencil drawers, Handles of base rate Rs.1000/pc)</v>
      </c>
      <c r="G107" s="94" t="str">
        <f>VLOOKUP($B107,'Rate card'!$A$4:$G279,6,FALSE)</f>
        <v>Sqft</v>
      </c>
      <c r="H107" s="62">
        <v>2500.0</v>
      </c>
      <c r="I107" s="78">
        <f>5*10</f>
        <v>50</v>
      </c>
      <c r="J107" s="79">
        <f t="shared" si="17"/>
        <v>125000</v>
      </c>
      <c r="K107" s="560">
        <f>5*9</f>
        <v>45</v>
      </c>
      <c r="L107" s="192"/>
      <c r="M107" s="79">
        <f t="shared" si="18"/>
        <v>112500</v>
      </c>
      <c r="N107" s="75" t="s">
        <v>254</v>
      </c>
      <c r="O107" s="192"/>
      <c r="P107" s="67"/>
      <c r="Q107" s="67"/>
      <c r="R107" s="67"/>
      <c r="S107" s="67"/>
      <c r="T107" s="67"/>
      <c r="U107" s="67"/>
      <c r="V107" s="67"/>
      <c r="W107" s="67"/>
      <c r="X107" s="67"/>
      <c r="Y107" s="1"/>
      <c r="Z107" s="1"/>
      <c r="AA107" s="1"/>
      <c r="AB107" s="1"/>
      <c r="AC107" s="1"/>
      <c r="AD107" s="1"/>
      <c r="AE107" s="1"/>
      <c r="AF107" s="1"/>
      <c r="AG107" s="1"/>
      <c r="AH107" s="1"/>
      <c r="AI107" s="1"/>
      <c r="AJ107" s="1"/>
      <c r="AK107" s="1"/>
      <c r="AL107" s="1"/>
      <c r="AM107" s="1"/>
    </row>
    <row r="108">
      <c r="A108" s="33" t="s">
        <v>95</v>
      </c>
      <c r="B108" s="62" t="s">
        <v>243</v>
      </c>
      <c r="C108" s="94" t="str">
        <f>VLOOKUP($B108,'Rate card'!$A$4:$G279,2,FALSE)</f>
        <v>Carpentry</v>
      </c>
      <c r="D108" s="94" t="str">
        <f>VLOOKUP($B108,'Rate card'!$A$4:$G279,3,FALSE)</f>
        <v>Wardrobe</v>
      </c>
      <c r="E108" s="62" t="s">
        <v>253</v>
      </c>
      <c r="F108" s="94" t="str">
        <f>VLOOKUP($B108,'Rate card'!$A$4:$G279,5,FALSE)</f>
        <v>MR ply + Inside laminate + finish laminate. (Includes 4 pencil drawers, Handles of base rate Rs.1000/pc)</v>
      </c>
      <c r="G108" s="94" t="str">
        <f>VLOOKUP($B108,'Rate card'!$A$4:$G279,6,FALSE)</f>
        <v>Sqft</v>
      </c>
      <c r="H108" s="62">
        <v>2500.0</v>
      </c>
      <c r="I108" s="78">
        <f>4.25*10</f>
        <v>42.5</v>
      </c>
      <c r="J108" s="79">
        <f t="shared" si="17"/>
        <v>106250</v>
      </c>
      <c r="K108" s="560">
        <f>6*9</f>
        <v>54</v>
      </c>
      <c r="L108" s="192"/>
      <c r="M108" s="79">
        <f t="shared" si="18"/>
        <v>135000</v>
      </c>
      <c r="N108" s="75" t="s">
        <v>255</v>
      </c>
      <c r="O108" s="192"/>
      <c r="P108" s="67"/>
      <c r="Q108" s="67"/>
      <c r="R108" s="67"/>
      <c r="S108" s="67"/>
      <c r="T108" s="67"/>
      <c r="U108" s="67"/>
      <c r="V108" s="67"/>
      <c r="W108" s="67"/>
      <c r="X108" s="67"/>
      <c r="Y108" s="1"/>
      <c r="Z108" s="1"/>
      <c r="AA108" s="1"/>
      <c r="AB108" s="1"/>
      <c r="AC108" s="1"/>
      <c r="AD108" s="1"/>
      <c r="AE108" s="1"/>
      <c r="AF108" s="1"/>
      <c r="AG108" s="1"/>
      <c r="AH108" s="1"/>
      <c r="AI108" s="1"/>
      <c r="AJ108" s="1"/>
      <c r="AK108" s="1"/>
      <c r="AL108" s="1"/>
      <c r="AM108" s="1"/>
    </row>
    <row r="109">
      <c r="A109" s="33" t="s">
        <v>97</v>
      </c>
      <c r="B109" s="62" t="s">
        <v>179</v>
      </c>
      <c r="C109" s="94" t="str">
        <f>VLOOKUP($B109,'Rate card'!$A$4:$G279,2,FALSE)</f>
        <v>Carpentry</v>
      </c>
      <c r="D109" s="94" t="str">
        <f>VLOOKUP($B109,'Rate card'!$A$4:$G279,3,FALSE)</f>
        <v>Panelling with framing</v>
      </c>
      <c r="E109" s="94" t="str">
        <f>VLOOKUP($B109,'Rate card'!$A$4:$G279,4,FALSE)</f>
        <v>MDF</v>
      </c>
      <c r="F109" s="94" t="str">
        <f>VLOOKUP($B109,'Rate card'!$A$4:$G279,5,FALSE)</f>
        <v>MR ply + ply framing + 12mm MDF</v>
      </c>
      <c r="G109" s="94" t="str">
        <f>VLOOKUP($B109,'Rate card'!$A$4:$G279,6,FALSE)</f>
        <v>Sqft</v>
      </c>
      <c r="H109" s="62">
        <v>600.0</v>
      </c>
      <c r="I109" s="78">
        <f>12*2.5</f>
        <v>30</v>
      </c>
      <c r="J109" s="79">
        <f t="shared" si="17"/>
        <v>18000</v>
      </c>
      <c r="K109" s="560">
        <f>10*2</f>
        <v>20</v>
      </c>
      <c r="L109" s="192"/>
      <c r="M109" s="79">
        <f t="shared" si="18"/>
        <v>12000</v>
      </c>
      <c r="N109" s="75" t="s">
        <v>245</v>
      </c>
      <c r="O109" s="192"/>
      <c r="P109" s="67"/>
      <c r="Q109" s="67"/>
      <c r="R109" s="67"/>
      <c r="S109" s="67"/>
      <c r="T109" s="67"/>
      <c r="U109" s="67"/>
      <c r="V109" s="67"/>
      <c r="W109" s="67"/>
      <c r="X109" s="67"/>
      <c r="Y109" s="1"/>
      <c r="Z109" s="1"/>
      <c r="AA109" s="1"/>
      <c r="AB109" s="1"/>
      <c r="AC109" s="1"/>
      <c r="AD109" s="1"/>
      <c r="AE109" s="1"/>
      <c r="AF109" s="1"/>
      <c r="AG109" s="1"/>
      <c r="AH109" s="1"/>
      <c r="AI109" s="1"/>
      <c r="AJ109" s="1"/>
      <c r="AK109" s="1"/>
      <c r="AL109" s="1"/>
      <c r="AM109" s="1"/>
    </row>
    <row r="110">
      <c r="A110" s="30" t="s">
        <v>256</v>
      </c>
      <c r="B110" s="28"/>
      <c r="C110" s="28"/>
      <c r="D110" s="28"/>
      <c r="E110" s="28"/>
      <c r="F110" s="28"/>
      <c r="G110" s="28"/>
      <c r="H110" s="64"/>
      <c r="I110" s="40"/>
      <c r="J110" s="64"/>
      <c r="K110" s="540"/>
      <c r="L110" s="40"/>
      <c r="M110" s="28"/>
      <c r="N110" s="28"/>
      <c r="O110" s="28"/>
      <c r="P110" s="67"/>
      <c r="Q110" s="67"/>
      <c r="R110" s="67"/>
      <c r="S110" s="67"/>
      <c r="T110" s="67"/>
      <c r="U110" s="67"/>
      <c r="V110" s="67"/>
      <c r="W110" s="67"/>
      <c r="X110" s="67"/>
      <c r="Y110" s="1"/>
      <c r="Z110" s="1"/>
      <c r="AA110" s="1"/>
      <c r="AB110" s="1"/>
      <c r="AC110" s="1"/>
      <c r="AD110" s="1"/>
      <c r="AE110" s="1"/>
      <c r="AF110" s="1"/>
      <c r="AG110" s="1"/>
      <c r="AH110" s="1"/>
      <c r="AI110" s="1"/>
      <c r="AJ110" s="1"/>
      <c r="AK110" s="1"/>
      <c r="AL110" s="1"/>
      <c r="AM110" s="1"/>
    </row>
    <row r="111">
      <c r="A111" s="31" t="s">
        <v>16</v>
      </c>
      <c r="B111" s="62" t="s">
        <v>227</v>
      </c>
      <c r="C111" s="94" t="str">
        <f>VLOOKUP($B111,'Rate card'!$A$4:$G279,2,FALSE)</f>
        <v>Carpentry</v>
      </c>
      <c r="D111" s="94" t="str">
        <f>VLOOKUP($B111,'Rate card'!$A$4:$G279,3,FALSE)</f>
        <v>Bed</v>
      </c>
      <c r="E111" s="94" t="str">
        <f>VLOOKUP($B111,'Rate card'!$A$4:$G279,4,FALSE)</f>
        <v>Laminate Finish</v>
      </c>
      <c r="F111" s="94" t="s">
        <v>228</v>
      </c>
      <c r="G111" s="94" t="str">
        <f>VLOOKUP($B111,'Rate card'!$A$4:$G279,6,FALSE)</f>
        <v>Sqft</v>
      </c>
      <c r="H111" s="62">
        <v>2200.0</v>
      </c>
      <c r="I111" s="78">
        <f t="shared" ref="I111:I112" si="19">I98</f>
        <v>39</v>
      </c>
      <c r="J111" s="79">
        <f t="shared" ref="J111:J122" si="20">H111*I111</f>
        <v>85800</v>
      </c>
      <c r="K111" s="560">
        <f>6*6.5</f>
        <v>39</v>
      </c>
      <c r="L111" s="192"/>
      <c r="M111" s="77">
        <f t="shared" ref="M111:M122" si="21">K111*H111</f>
        <v>85800</v>
      </c>
      <c r="N111" s="75" t="s">
        <v>247</v>
      </c>
      <c r="O111" s="192"/>
      <c r="P111" s="67"/>
      <c r="Q111" s="67"/>
      <c r="R111" s="67"/>
      <c r="S111" s="67"/>
      <c r="T111" s="67"/>
      <c r="U111" s="67"/>
      <c r="V111" s="67"/>
      <c r="W111" s="67"/>
      <c r="X111" s="67"/>
      <c r="Y111" s="1"/>
      <c r="Z111" s="1"/>
      <c r="AA111" s="1"/>
      <c r="AB111" s="1"/>
      <c r="AC111" s="1"/>
      <c r="AD111" s="1"/>
      <c r="AE111" s="1"/>
      <c r="AF111" s="1"/>
      <c r="AG111" s="1"/>
      <c r="AH111" s="1"/>
      <c r="AI111" s="1"/>
      <c r="AJ111" s="1"/>
      <c r="AK111" s="1"/>
      <c r="AL111" s="1"/>
      <c r="AM111" s="1"/>
    </row>
    <row r="112">
      <c r="A112" s="31" t="s">
        <v>18</v>
      </c>
      <c r="B112" s="62" t="s">
        <v>230</v>
      </c>
      <c r="C112" s="94" t="str">
        <f>VLOOKUP($B112,'Rate card'!$A$4:$G279,2,FALSE)</f>
        <v>Carpentry</v>
      </c>
      <c r="D112" s="94" t="str">
        <f>VLOOKUP($B112,'Rate card'!$A$4:$G279,3,FALSE)</f>
        <v>Headboard</v>
      </c>
      <c r="E112" s="94" t="str">
        <f>VLOOKUP($B112,'Rate card'!$A$4:$G279,4,FALSE)</f>
        <v>Fabric Finish</v>
      </c>
      <c r="F112" s="94" t="str">
        <f>VLOOKUP($B112,'Rate card'!$A$4:$G279,5,FALSE)</f>
        <v>MR ply panelling + Foam material and labour. Excludes Fabric cost</v>
      </c>
      <c r="G112" s="94" t="str">
        <f>VLOOKUP($B112,'Rate card'!$A$4:$G279,6,FALSE)</f>
        <v>Sqft</v>
      </c>
      <c r="H112" s="62">
        <v>1300.0</v>
      </c>
      <c r="I112" s="78">
        <f t="shared" si="19"/>
        <v>21</v>
      </c>
      <c r="J112" s="79">
        <f t="shared" si="20"/>
        <v>27300</v>
      </c>
      <c r="K112" s="560">
        <f>6*4.5</f>
        <v>27</v>
      </c>
      <c r="L112" s="192"/>
      <c r="M112" s="77">
        <f t="shared" si="21"/>
        <v>35100</v>
      </c>
      <c r="N112" s="75" t="s">
        <v>231</v>
      </c>
      <c r="O112" s="192"/>
      <c r="P112" s="67"/>
      <c r="Q112" s="67"/>
      <c r="R112" s="67"/>
      <c r="S112" s="67"/>
      <c r="T112" s="67"/>
      <c r="U112" s="67"/>
      <c r="V112" s="67"/>
      <c r="W112" s="67"/>
      <c r="X112" s="67"/>
      <c r="Y112" s="1"/>
      <c r="Z112" s="1"/>
      <c r="AA112" s="1"/>
      <c r="AB112" s="1"/>
      <c r="AC112" s="1"/>
      <c r="AD112" s="1"/>
      <c r="AE112" s="1"/>
      <c r="AF112" s="1"/>
      <c r="AG112" s="1"/>
      <c r="AH112" s="1"/>
      <c r="AI112" s="1"/>
      <c r="AJ112" s="1"/>
      <c r="AK112" s="1"/>
      <c r="AL112" s="1"/>
      <c r="AM112" s="1"/>
    </row>
    <row r="113">
      <c r="A113" s="31" t="s">
        <v>24</v>
      </c>
      <c r="B113" s="62" t="s">
        <v>232</v>
      </c>
      <c r="C113" s="94" t="str">
        <f>VLOOKUP($B113,'Rate card'!$A$4:$G279,2,FALSE)</f>
        <v>Carpentry</v>
      </c>
      <c r="D113" s="62" t="s">
        <v>233</v>
      </c>
      <c r="E113" s="94" t="str">
        <f>VLOOKUP($B113,'Rate card'!$A$4:$G279,4,FALSE)</f>
        <v>Laminate Finish</v>
      </c>
      <c r="F113" s="94" t="str">
        <f>VLOOKUP($B113,'Rate card'!$A$4:$G279,5,FALSE)</f>
        <v>MR ply + Inside laminate + finish laminate (1 Drawer)</v>
      </c>
      <c r="G113" s="94" t="str">
        <f>VLOOKUP($B113,'Rate card'!$A$4:$G279,6,FALSE)</f>
        <v>Nos</v>
      </c>
      <c r="H113" s="62">
        <v>20000.0</v>
      </c>
      <c r="I113" s="78" t="s">
        <v>18</v>
      </c>
      <c r="J113" s="79">
        <f t="shared" si="20"/>
        <v>40000</v>
      </c>
      <c r="K113" s="561">
        <v>2.0</v>
      </c>
      <c r="L113" s="192"/>
      <c r="M113" s="77">
        <f t="shared" si="21"/>
        <v>40000</v>
      </c>
      <c r="N113" s="75" t="s">
        <v>233</v>
      </c>
      <c r="O113" s="192"/>
      <c r="P113" s="67"/>
      <c r="Q113" s="67"/>
      <c r="R113" s="67"/>
      <c r="S113" s="67"/>
      <c r="T113" s="67"/>
      <c r="U113" s="67"/>
      <c r="V113" s="67"/>
      <c r="W113" s="67"/>
      <c r="X113" s="67"/>
      <c r="Y113" s="1"/>
      <c r="Z113" s="1"/>
      <c r="AA113" s="1"/>
      <c r="AB113" s="1"/>
      <c r="AC113" s="1"/>
      <c r="AD113" s="1"/>
      <c r="AE113" s="1"/>
      <c r="AF113" s="1"/>
      <c r="AG113" s="1"/>
      <c r="AH113" s="1"/>
      <c r="AI113" s="1"/>
      <c r="AJ113" s="1"/>
      <c r="AK113" s="1"/>
      <c r="AL113" s="1"/>
      <c r="AM113" s="1"/>
    </row>
    <row r="114">
      <c r="A114" s="31" t="s">
        <v>27</v>
      </c>
      <c r="B114" s="62" t="s">
        <v>248</v>
      </c>
      <c r="C114" s="94" t="str">
        <f>VLOOKUP($B114,'Rate card'!$A$4:$G279,2,FALSE)</f>
        <v>Carpentry</v>
      </c>
      <c r="D114" s="94" t="str">
        <f>VLOOKUP($B114,'Rate card'!$A$4:$G279,3,FALSE)</f>
        <v>Study Table</v>
      </c>
      <c r="E114" s="94" t="str">
        <f>VLOOKUP($B114,'Rate card'!$A$4:$G279,4,FALSE)</f>
        <v>Laminate Finish</v>
      </c>
      <c r="F114" s="94" t="str">
        <f>VLOOKUP($B114,'Rate card'!$A$4:$G279,5,FALSE)</f>
        <v>MR ply + Inside laminate + finish laminate (2 pencil drawers)</v>
      </c>
      <c r="G114" s="94" t="str">
        <f>VLOOKUP($B114,'Rate card'!$A$4:$G279,6,FALSE)</f>
        <v>Rft</v>
      </c>
      <c r="H114" s="62">
        <v>4500.0</v>
      </c>
      <c r="I114" s="78" t="s">
        <v>27</v>
      </c>
      <c r="J114" s="79">
        <f t="shared" si="20"/>
        <v>18000</v>
      </c>
      <c r="K114" s="561">
        <v>5.0</v>
      </c>
      <c r="L114" s="192"/>
      <c r="M114" s="77">
        <f t="shared" si="21"/>
        <v>22500</v>
      </c>
      <c r="N114" s="75" t="s">
        <v>249</v>
      </c>
      <c r="O114" s="192"/>
      <c r="P114" s="67"/>
      <c r="Q114" s="67"/>
      <c r="R114" s="67"/>
      <c r="S114" s="67"/>
      <c r="T114" s="67"/>
      <c r="U114" s="67"/>
      <c r="V114" s="67"/>
      <c r="W114" s="67"/>
      <c r="X114" s="67"/>
      <c r="Y114" s="1"/>
      <c r="Z114" s="1"/>
      <c r="AA114" s="1"/>
      <c r="AB114" s="1"/>
      <c r="AC114" s="1"/>
      <c r="AD114" s="1"/>
      <c r="AE114" s="1"/>
      <c r="AF114" s="1"/>
      <c r="AG114" s="1"/>
      <c r="AH114" s="1"/>
      <c r="AI114" s="1"/>
      <c r="AJ114" s="1"/>
      <c r="AK114" s="1"/>
      <c r="AL114" s="1"/>
      <c r="AM114" s="1"/>
    </row>
    <row r="115">
      <c r="A115" s="31" t="s">
        <v>30</v>
      </c>
      <c r="B115" s="62" t="s">
        <v>170</v>
      </c>
      <c r="C115" s="94" t="str">
        <f>VLOOKUP($B115,'Rate card'!$A$4:$G279,2,FALSE)</f>
        <v>Carpentry</v>
      </c>
      <c r="D115" s="94" t="str">
        <f>VLOOKUP($B115,'Rate card'!$A$4:$G279,3,FALSE)</f>
        <v>Carcass Storage</v>
      </c>
      <c r="E115" s="94" t="str">
        <f>VLOOKUP($B115,'Rate card'!$A$4:$G279,4,FALSE)</f>
        <v>Laminate Finish</v>
      </c>
      <c r="F115" s="94" t="str">
        <f>VLOOKUP($B115,'Rate card'!$A$4:$G279,5,FALSE)</f>
        <v>MR ply + Inside laminate + finish laminate</v>
      </c>
      <c r="G115" s="94" t="str">
        <f>VLOOKUP($B115,'Rate card'!$A$4:$G279,6,FALSE)</f>
        <v>Sqft</v>
      </c>
      <c r="H115" s="62">
        <v>650.0</v>
      </c>
      <c r="I115" s="78">
        <f>4*3</f>
        <v>12</v>
      </c>
      <c r="J115" s="79">
        <f t="shared" si="20"/>
        <v>7800</v>
      </c>
      <c r="K115" s="561">
        <v>32.0</v>
      </c>
      <c r="L115" s="192"/>
      <c r="M115" s="77">
        <f t="shared" si="21"/>
        <v>20800</v>
      </c>
      <c r="N115" s="75" t="s">
        <v>257</v>
      </c>
      <c r="O115" s="192"/>
      <c r="P115" s="67"/>
      <c r="Q115" s="67"/>
      <c r="R115" s="67"/>
      <c r="S115" s="67"/>
      <c r="T115" s="67"/>
      <c r="U115" s="67"/>
      <c r="V115" s="67"/>
      <c r="W115" s="67"/>
      <c r="X115" s="67"/>
      <c r="Y115" s="1"/>
      <c r="Z115" s="1"/>
      <c r="AA115" s="1"/>
      <c r="AB115" s="1"/>
      <c r="AC115" s="1"/>
      <c r="AD115" s="1"/>
      <c r="AE115" s="1"/>
      <c r="AF115" s="1"/>
      <c r="AG115" s="1"/>
      <c r="AH115" s="1"/>
      <c r="AI115" s="1"/>
      <c r="AJ115" s="1"/>
      <c r="AK115" s="1"/>
      <c r="AL115" s="1"/>
      <c r="AM115" s="1"/>
    </row>
    <row r="116">
      <c r="A116" s="31" t="s">
        <v>32</v>
      </c>
      <c r="B116" s="62" t="s">
        <v>170</v>
      </c>
      <c r="C116" s="94" t="str">
        <f>VLOOKUP($B116,'Rate card'!$A$4:$G279,2,FALSE)</f>
        <v>Carpentry</v>
      </c>
      <c r="D116" s="94" t="str">
        <f>VLOOKUP($B116,'Rate card'!$A$4:$G279,3,FALSE)</f>
        <v>Carcass Storage</v>
      </c>
      <c r="E116" s="94" t="str">
        <f>VLOOKUP($B116,'Rate card'!$A$4:$G279,4,FALSE)</f>
        <v>Laminate Finish</v>
      </c>
      <c r="F116" s="94" t="str">
        <f>VLOOKUP($B116,'Rate card'!$A$4:$G279,5,FALSE)</f>
        <v>MR ply + Inside laminate + finish laminate</v>
      </c>
      <c r="G116" s="62" t="s">
        <v>188</v>
      </c>
      <c r="H116" s="62">
        <v>4500.0</v>
      </c>
      <c r="I116" s="78" t="s">
        <v>258</v>
      </c>
      <c r="J116" s="79">
        <f t="shared" si="20"/>
        <v>42750</v>
      </c>
      <c r="K116" s="561">
        <v>9.0</v>
      </c>
      <c r="L116" s="192"/>
      <c r="M116" s="77">
        <f t="shared" si="21"/>
        <v>40500</v>
      </c>
      <c r="N116" s="31" t="s">
        <v>190</v>
      </c>
      <c r="O116" s="192"/>
      <c r="P116" s="67"/>
      <c r="Q116" s="67"/>
      <c r="R116" s="67"/>
      <c r="S116" s="67"/>
      <c r="T116" s="67"/>
      <c r="U116" s="67"/>
      <c r="V116" s="67"/>
      <c r="W116" s="67"/>
      <c r="X116" s="67"/>
      <c r="Y116" s="1"/>
      <c r="Z116" s="1"/>
      <c r="AA116" s="1"/>
      <c r="AB116" s="1"/>
      <c r="AC116" s="1"/>
      <c r="AD116" s="1"/>
      <c r="AE116" s="1"/>
      <c r="AF116" s="1"/>
      <c r="AG116" s="1"/>
      <c r="AH116" s="1"/>
      <c r="AI116" s="1"/>
      <c r="AJ116" s="1"/>
      <c r="AK116" s="1"/>
      <c r="AL116" s="1"/>
      <c r="AM116" s="1"/>
    </row>
    <row r="117">
      <c r="A117" s="33" t="s">
        <v>97</v>
      </c>
      <c r="B117" s="62" t="s">
        <v>179</v>
      </c>
      <c r="C117" s="94" t="str">
        <f>VLOOKUP($B117,'Rate card'!$A$4:$G279,2,FALSE)</f>
        <v>Carpentry</v>
      </c>
      <c r="D117" s="94" t="str">
        <f>VLOOKUP($B117,'Rate card'!$A$4:$G279,3,FALSE)</f>
        <v>Panelling with framing</v>
      </c>
      <c r="E117" s="62" t="s">
        <v>259</v>
      </c>
      <c r="F117" s="94" t="str">
        <f>VLOOKUP($B117,'Rate card'!$A$4:$G279,5,FALSE)</f>
        <v>MR ply + ply framing + 12mm MDF</v>
      </c>
      <c r="G117" s="94" t="str">
        <f>VLOOKUP($B117,'Rate card'!$A$4:$G279,6,FALSE)</f>
        <v>Sqft</v>
      </c>
      <c r="H117" s="62">
        <v>650.0</v>
      </c>
      <c r="I117" s="78">
        <f>12*2.5</f>
        <v>30</v>
      </c>
      <c r="J117" s="79">
        <f t="shared" si="20"/>
        <v>19500</v>
      </c>
      <c r="K117" s="560">
        <f>12*9</f>
        <v>108</v>
      </c>
      <c r="L117" s="192"/>
      <c r="M117" s="79">
        <f t="shared" si="21"/>
        <v>70200</v>
      </c>
      <c r="N117" s="75" t="s">
        <v>260</v>
      </c>
      <c r="O117" s="192"/>
      <c r="P117" s="67"/>
      <c r="Q117" s="67"/>
      <c r="R117" s="67"/>
      <c r="S117" s="67"/>
      <c r="T117" s="67"/>
      <c r="U117" s="67"/>
      <c r="V117" s="67"/>
      <c r="W117" s="67"/>
      <c r="X117" s="67"/>
      <c r="Y117" s="1"/>
      <c r="Z117" s="1"/>
      <c r="AA117" s="1"/>
      <c r="AB117" s="1"/>
      <c r="AC117" s="1"/>
      <c r="AD117" s="1"/>
      <c r="AE117" s="1"/>
      <c r="AF117" s="1"/>
      <c r="AG117" s="1"/>
      <c r="AH117" s="1"/>
      <c r="AI117" s="1"/>
      <c r="AJ117" s="1"/>
      <c r="AK117" s="1"/>
      <c r="AL117" s="1"/>
      <c r="AM117" s="1"/>
    </row>
    <row r="118">
      <c r="A118" s="31" t="s">
        <v>34</v>
      </c>
      <c r="B118" s="62" t="s">
        <v>236</v>
      </c>
      <c r="C118" s="94" t="str">
        <f>VLOOKUP($B118,'Rate card'!$A$4:$G279,2,FALSE)</f>
        <v>Carpentry</v>
      </c>
      <c r="D118" s="94" t="str">
        <f>VLOOKUP($B118,'Rate card'!$A$4:$G279,3,FALSE)</f>
        <v>Panelling with framing</v>
      </c>
      <c r="E118" s="94" t="str">
        <f>VLOOKUP($B118,'Rate card'!$A$4:$G279,4,FALSE)</f>
        <v>Mirror Finish</v>
      </c>
      <c r="F118" s="94" t="str">
        <f>VLOOKUP($B118,'Rate card'!$A$4:$G279,5,FALSE)</f>
        <v>MR ply + ply framing + 5mm clear mirror</v>
      </c>
      <c r="G118" s="94" t="str">
        <f>VLOOKUP($B118,'Rate card'!$A$4:$G279,6,FALSE)</f>
        <v>Sqft</v>
      </c>
      <c r="H118" s="94">
        <f>VLOOKUP($B118,'Rate card'!$A$4:$J279,8,FALSE)</f>
        <v>750</v>
      </c>
      <c r="I118" s="78">
        <f>2.5*10</f>
        <v>25</v>
      </c>
      <c r="J118" s="79">
        <f t="shared" si="20"/>
        <v>18750</v>
      </c>
      <c r="K118" s="560">
        <f>2.5*9</f>
        <v>22.5</v>
      </c>
      <c r="L118" s="192"/>
      <c r="M118" s="77">
        <f t="shared" si="21"/>
        <v>16875</v>
      </c>
      <c r="N118" s="75" t="s">
        <v>237</v>
      </c>
      <c r="O118" s="192"/>
      <c r="P118" s="67"/>
      <c r="Q118" s="67"/>
      <c r="R118" s="67"/>
      <c r="S118" s="67"/>
      <c r="T118" s="67"/>
      <c r="U118" s="67"/>
      <c r="V118" s="67"/>
      <c r="W118" s="67"/>
      <c r="X118" s="67"/>
      <c r="Y118" s="1"/>
      <c r="Z118" s="1"/>
      <c r="AA118" s="1"/>
      <c r="AB118" s="1"/>
      <c r="AC118" s="1"/>
      <c r="AD118" s="1"/>
      <c r="AE118" s="1"/>
      <c r="AF118" s="1"/>
      <c r="AG118" s="1"/>
      <c r="AH118" s="1"/>
      <c r="AI118" s="1"/>
      <c r="AJ118" s="1"/>
      <c r="AK118" s="1"/>
      <c r="AL118" s="1"/>
      <c r="AM118" s="1"/>
    </row>
    <row r="119">
      <c r="A119" s="31" t="s">
        <v>36</v>
      </c>
      <c r="B119" s="62" t="s">
        <v>252</v>
      </c>
      <c r="C119" s="94" t="str">
        <f>VLOOKUP($B119,'Rate card'!$A$4:$G279,2,FALSE)</f>
        <v>Carpentry</v>
      </c>
      <c r="D119" s="94" t="str">
        <f>VLOOKUP($B119,'Rate card'!$A$4:$G279,3,FALSE)</f>
        <v>Dresser</v>
      </c>
      <c r="E119" s="77" t="str">
        <f>VLOOKUP($B119,'Rate card'!$A$4:$G279,4,FALSE)</f>
        <v>Laminate Finish</v>
      </c>
      <c r="F119" s="77" t="str">
        <f>VLOOKUP($B119,'Rate card'!$A$4:$G279,5,FALSE)</f>
        <v>MRply + Inside laminate + finish laminate </v>
      </c>
      <c r="G119" s="94" t="str">
        <f>VLOOKUP($B119,'Rate card'!$A$4:$G279,6,FALSE)</f>
        <v>Sqft</v>
      </c>
      <c r="H119" s="62">
        <v>1800.0</v>
      </c>
      <c r="I119" s="78">
        <f>3*7</f>
        <v>21</v>
      </c>
      <c r="J119" s="79">
        <f t="shared" si="20"/>
        <v>37800</v>
      </c>
      <c r="K119" s="560">
        <f>3.5*9</f>
        <v>31.5</v>
      </c>
      <c r="L119" s="192"/>
      <c r="M119" s="77">
        <f t="shared" si="21"/>
        <v>56700</v>
      </c>
      <c r="N119" s="75" t="s">
        <v>261</v>
      </c>
      <c r="O119" s="192"/>
      <c r="P119" s="67"/>
      <c r="Q119" s="67"/>
      <c r="R119" s="67"/>
      <c r="S119" s="67"/>
      <c r="T119" s="67"/>
      <c r="U119" s="67"/>
      <c r="V119" s="67"/>
      <c r="W119" s="67"/>
      <c r="X119" s="67"/>
      <c r="Y119" s="1"/>
      <c r="Z119" s="1"/>
      <c r="AA119" s="1"/>
      <c r="AB119" s="1"/>
      <c r="AC119" s="1"/>
      <c r="AD119" s="1"/>
      <c r="AE119" s="1"/>
      <c r="AF119" s="1"/>
      <c r="AG119" s="1"/>
      <c r="AH119" s="1"/>
      <c r="AI119" s="1"/>
      <c r="AJ119" s="1"/>
      <c r="AK119" s="1"/>
      <c r="AL119" s="1"/>
      <c r="AM119" s="1"/>
    </row>
    <row r="120">
      <c r="A120" s="31" t="s">
        <v>92</v>
      </c>
      <c r="B120" s="62" t="s">
        <v>238</v>
      </c>
      <c r="C120" s="94" t="s">
        <v>31</v>
      </c>
      <c r="D120" s="77" t="s">
        <v>180</v>
      </c>
      <c r="E120" s="94" t="str">
        <f>VLOOKUP($B120,'Rate card'!$A$4:$G279,4,FALSE)</f>
        <v>Laminate Finish</v>
      </c>
      <c r="F120" s="100" t="s">
        <v>239</v>
      </c>
      <c r="G120" s="94" t="str">
        <f>VLOOKUP($B120,'Rate card'!$A$4:$G279,6,FALSE)</f>
        <v>Sqft</v>
      </c>
      <c r="H120" s="62">
        <v>1500.0</v>
      </c>
      <c r="I120" s="78" t="s">
        <v>262</v>
      </c>
      <c r="J120" s="79">
        <f t="shared" si="20"/>
        <v>135000</v>
      </c>
      <c r="K120" s="560">
        <f>9*9</f>
        <v>81</v>
      </c>
      <c r="L120" s="192"/>
      <c r="M120" s="77">
        <f t="shared" si="21"/>
        <v>121500</v>
      </c>
      <c r="N120" s="80" t="s">
        <v>241</v>
      </c>
      <c r="O120" s="192"/>
      <c r="P120" s="67"/>
      <c r="Q120" s="67"/>
      <c r="R120" s="67"/>
      <c r="S120" s="67"/>
      <c r="T120" s="67"/>
      <c r="U120" s="67"/>
      <c r="V120" s="67"/>
      <c r="W120" s="67"/>
      <c r="X120" s="67"/>
      <c r="Y120" s="1"/>
      <c r="Z120" s="1"/>
      <c r="AA120" s="1"/>
      <c r="AB120" s="1"/>
      <c r="AC120" s="1"/>
      <c r="AD120" s="1"/>
      <c r="AE120" s="1"/>
      <c r="AF120" s="1"/>
      <c r="AG120" s="1"/>
      <c r="AH120" s="1"/>
      <c r="AI120" s="1"/>
      <c r="AJ120" s="1"/>
      <c r="AK120" s="1"/>
      <c r="AL120" s="1"/>
      <c r="AM120" s="1"/>
    </row>
    <row r="121">
      <c r="A121" s="31" t="s">
        <v>95</v>
      </c>
      <c r="B121" s="62" t="s">
        <v>263</v>
      </c>
      <c r="C121" s="94" t="str">
        <f>VLOOKUP($B121,'Rate card'!$A$4:$G279,2,FALSE)</f>
        <v>Carpentry</v>
      </c>
      <c r="D121" s="94" t="str">
        <f>VLOOKUP($B121,'Rate card'!$A$4:$G279,3,FALSE)</f>
        <v>Wardrobe</v>
      </c>
      <c r="E121" s="62" t="s">
        <v>264</v>
      </c>
      <c r="F121" s="94" t="str">
        <f>VLOOKUP($B121,'Rate card'!$A$4:$G279,5,FALSE)</f>
        <v>MR ply + Inside laminate + Profile section for glass+ 5mm toughned backpainted extra clear glass(Includes 4 pencil drawers, Handles of base rate Rs.1000/pc)</v>
      </c>
      <c r="G121" s="94" t="str">
        <f>VLOOKUP($B121,'Rate card'!$A$4:$G279,6,FALSE)</f>
        <v>Sqft</v>
      </c>
      <c r="H121" s="62">
        <v>2800.0</v>
      </c>
      <c r="I121" s="78">
        <f>6.5*10</f>
        <v>65</v>
      </c>
      <c r="J121" s="79">
        <f t="shared" si="20"/>
        <v>182000</v>
      </c>
      <c r="K121" s="560">
        <f>6.5*9</f>
        <v>58.5</v>
      </c>
      <c r="L121" s="192"/>
      <c r="M121" s="77">
        <f t="shared" si="21"/>
        <v>163800</v>
      </c>
      <c r="N121" s="75" t="s">
        <v>244</v>
      </c>
      <c r="O121" s="192"/>
      <c r="P121" s="67"/>
      <c r="Q121" s="67"/>
      <c r="R121" s="67"/>
      <c r="S121" s="67"/>
      <c r="T121" s="67"/>
      <c r="U121" s="67"/>
      <c r="V121" s="67"/>
      <c r="W121" s="67"/>
      <c r="X121" s="67"/>
      <c r="Y121" s="1"/>
      <c r="Z121" s="1"/>
      <c r="AA121" s="1"/>
      <c r="AB121" s="1"/>
      <c r="AC121" s="1"/>
      <c r="AD121" s="1"/>
      <c r="AE121" s="1"/>
      <c r="AF121" s="1"/>
      <c r="AG121" s="1"/>
      <c r="AH121" s="1"/>
      <c r="AI121" s="1"/>
      <c r="AJ121" s="1"/>
      <c r="AK121" s="1"/>
      <c r="AL121" s="1"/>
      <c r="AM121" s="1"/>
    </row>
    <row r="122">
      <c r="A122" s="31" t="s">
        <v>97</v>
      </c>
      <c r="B122" s="62" t="s">
        <v>179</v>
      </c>
      <c r="C122" s="94" t="str">
        <f>VLOOKUP($B122,'Rate card'!$A$4:$G279,2,FALSE)</f>
        <v>Carpentry</v>
      </c>
      <c r="D122" s="94" t="str">
        <f>VLOOKUP($B122,'Rate card'!$A$4:$G279,3,FALSE)</f>
        <v>Panelling with framing</v>
      </c>
      <c r="E122" s="94" t="str">
        <f>VLOOKUP($B122,'Rate card'!$A$4:$G279,4,FALSE)</f>
        <v>MDF</v>
      </c>
      <c r="F122" s="94" t="str">
        <f>VLOOKUP($B122,'Rate card'!$A$4:$G279,5,FALSE)</f>
        <v>MR ply + ply framing + 12mm MDF</v>
      </c>
      <c r="G122" s="94" t="str">
        <f>VLOOKUP($B122,'Rate card'!$A$4:$G279,6,FALSE)</f>
        <v>Sqft</v>
      </c>
      <c r="H122" s="62">
        <v>600.0</v>
      </c>
      <c r="I122" s="78">
        <f>11*2.5</f>
        <v>27.5</v>
      </c>
      <c r="J122" s="79">
        <f t="shared" si="20"/>
        <v>16500</v>
      </c>
      <c r="K122" s="560">
        <f>10*2</f>
        <v>20</v>
      </c>
      <c r="L122" s="192"/>
      <c r="M122" s="77">
        <f t="shared" si="21"/>
        <v>12000</v>
      </c>
      <c r="N122" s="75" t="s">
        <v>245</v>
      </c>
      <c r="O122" s="192"/>
      <c r="P122" s="67"/>
      <c r="Q122" s="67"/>
      <c r="R122" s="67"/>
      <c r="S122" s="67"/>
      <c r="T122" s="67"/>
      <c r="U122" s="67"/>
      <c r="V122" s="67"/>
      <c r="W122" s="67"/>
      <c r="X122" s="67"/>
      <c r="Y122" s="1"/>
      <c r="Z122" s="1"/>
      <c r="AA122" s="1"/>
      <c r="AB122" s="1"/>
      <c r="AC122" s="1"/>
      <c r="AD122" s="1"/>
      <c r="AE122" s="1"/>
      <c r="AF122" s="1"/>
      <c r="AG122" s="1"/>
      <c r="AH122" s="1"/>
      <c r="AI122" s="1"/>
      <c r="AJ122" s="1"/>
      <c r="AK122" s="1"/>
      <c r="AL122" s="1"/>
      <c r="AM122" s="1"/>
    </row>
    <row r="123">
      <c r="A123" s="30" t="s">
        <v>265</v>
      </c>
      <c r="B123" s="28"/>
      <c r="C123" s="28"/>
      <c r="D123" s="28"/>
      <c r="E123" s="28"/>
      <c r="F123" s="28"/>
      <c r="G123" s="28"/>
      <c r="H123" s="64"/>
      <c r="I123" s="40"/>
      <c r="J123" s="64"/>
      <c r="K123" s="540"/>
      <c r="L123" s="40"/>
      <c r="M123" s="28"/>
      <c r="N123" s="28"/>
      <c r="O123" s="28"/>
      <c r="P123" s="67"/>
      <c r="Q123" s="67"/>
      <c r="R123" s="67"/>
      <c r="S123" s="67"/>
      <c r="T123" s="67"/>
      <c r="U123" s="67"/>
      <c r="V123" s="67"/>
      <c r="W123" s="67"/>
      <c r="X123" s="67"/>
      <c r="Y123" s="1"/>
      <c r="Z123" s="1"/>
      <c r="AA123" s="1"/>
      <c r="AB123" s="1"/>
      <c r="AC123" s="1"/>
      <c r="AD123" s="1"/>
      <c r="AE123" s="1"/>
      <c r="AF123" s="1"/>
      <c r="AG123" s="1"/>
      <c r="AH123" s="1"/>
      <c r="AI123" s="1"/>
      <c r="AJ123" s="1"/>
      <c r="AK123" s="1"/>
      <c r="AL123" s="1"/>
      <c r="AM123" s="1"/>
    </row>
    <row r="124">
      <c r="A124" s="31" t="s">
        <v>16</v>
      </c>
      <c r="B124" s="62" t="s">
        <v>227</v>
      </c>
      <c r="C124" s="94" t="str">
        <f>VLOOKUP($B124,'Rate card'!$A$4:$G279,2,FALSE)</f>
        <v>Carpentry</v>
      </c>
      <c r="D124" s="94" t="str">
        <f>VLOOKUP($B124,'Rate card'!$A$4:$G279,3,FALSE)</f>
        <v>Bed</v>
      </c>
      <c r="E124" s="62" t="s">
        <v>266</v>
      </c>
      <c r="F124" s="94" t="s">
        <v>228</v>
      </c>
      <c r="G124" s="94" t="str">
        <f>VLOOKUP($B124,'Rate card'!$A$4:$G279,6,FALSE)</f>
        <v>Sqft</v>
      </c>
      <c r="H124" s="62">
        <v>2200.0</v>
      </c>
      <c r="I124" s="78">
        <f t="shared" ref="I124:I125" si="22">I111</f>
        <v>39</v>
      </c>
      <c r="J124" s="79">
        <f t="shared" ref="J124:J133" si="23">H124*I124</f>
        <v>85800</v>
      </c>
      <c r="K124" s="560">
        <f>6*6.5</f>
        <v>39</v>
      </c>
      <c r="L124" s="192"/>
      <c r="M124" s="77">
        <f t="shared" ref="M124:M137" si="24">K124*H124</f>
        <v>85800</v>
      </c>
      <c r="N124" s="75" t="s">
        <v>247</v>
      </c>
      <c r="O124" s="192"/>
      <c r="P124" s="67"/>
      <c r="Q124" s="67"/>
      <c r="R124" s="67"/>
      <c r="S124" s="67"/>
      <c r="T124" s="67"/>
      <c r="U124" s="67"/>
      <c r="V124" s="67"/>
      <c r="W124" s="67"/>
      <c r="X124" s="67"/>
      <c r="Y124" s="1"/>
      <c r="Z124" s="1"/>
      <c r="AA124" s="1"/>
      <c r="AB124" s="1"/>
      <c r="AC124" s="1"/>
      <c r="AD124" s="1"/>
      <c r="AE124" s="1"/>
      <c r="AF124" s="1"/>
      <c r="AG124" s="1"/>
      <c r="AH124" s="1"/>
      <c r="AI124" s="1"/>
      <c r="AJ124" s="1"/>
      <c r="AK124" s="1"/>
      <c r="AL124" s="1"/>
      <c r="AM124" s="1"/>
    </row>
    <row r="125">
      <c r="A125" s="31" t="s">
        <v>18</v>
      </c>
      <c r="B125" s="62" t="s">
        <v>230</v>
      </c>
      <c r="C125" s="94" t="str">
        <f>VLOOKUP($B125,'Rate card'!$A$4:$G279,2,FALSE)</f>
        <v>Carpentry</v>
      </c>
      <c r="D125" s="94" t="str">
        <f>VLOOKUP($B125,'Rate card'!$A$4:$G279,3,FALSE)</f>
        <v>Headboard</v>
      </c>
      <c r="E125" s="94" t="str">
        <f>VLOOKUP($B125,'Rate card'!$A$4:$G279,4,FALSE)</f>
        <v>Fabric Finish</v>
      </c>
      <c r="F125" s="94" t="str">
        <f>VLOOKUP($B125,'Rate card'!$A$4:$G279,5,FALSE)</f>
        <v>MR ply panelling + Foam material and labour. Excludes Fabric cost</v>
      </c>
      <c r="G125" s="94" t="str">
        <f>VLOOKUP($B125,'Rate card'!$A$4:$G279,6,FALSE)</f>
        <v>Sqft</v>
      </c>
      <c r="H125" s="62">
        <v>2000.0</v>
      </c>
      <c r="I125" s="78">
        <f t="shared" si="22"/>
        <v>21</v>
      </c>
      <c r="J125" s="79">
        <f t="shared" si="23"/>
        <v>42000</v>
      </c>
      <c r="K125" s="560">
        <f>9*4.5</f>
        <v>40.5</v>
      </c>
      <c r="L125" s="192"/>
      <c r="M125" s="77">
        <f t="shared" si="24"/>
        <v>81000</v>
      </c>
      <c r="N125" s="75" t="s">
        <v>231</v>
      </c>
      <c r="O125" s="192"/>
      <c r="P125" s="67"/>
      <c r="Q125" s="67"/>
      <c r="R125" s="67"/>
      <c r="S125" s="67"/>
      <c r="T125" s="67"/>
      <c r="U125" s="67"/>
      <c r="V125" s="67"/>
      <c r="W125" s="67"/>
      <c r="X125" s="67"/>
      <c r="Y125" s="1"/>
      <c r="Z125" s="1"/>
      <c r="AA125" s="1"/>
      <c r="AB125" s="1"/>
      <c r="AC125" s="1"/>
      <c r="AD125" s="1"/>
      <c r="AE125" s="1"/>
      <c r="AF125" s="1"/>
      <c r="AG125" s="1"/>
      <c r="AH125" s="1"/>
      <c r="AI125" s="1"/>
      <c r="AJ125" s="1"/>
      <c r="AK125" s="1"/>
      <c r="AL125" s="1"/>
      <c r="AM125" s="1"/>
    </row>
    <row r="126">
      <c r="A126" s="31" t="s">
        <v>24</v>
      </c>
      <c r="B126" s="62" t="s">
        <v>232</v>
      </c>
      <c r="C126" s="94" t="str">
        <f>VLOOKUP($B126,'Rate card'!$A$4:$G279,2,FALSE)</f>
        <v>Carpentry</v>
      </c>
      <c r="D126" s="62" t="s">
        <v>233</v>
      </c>
      <c r="E126" s="94" t="str">
        <f>VLOOKUP($B126,'Rate card'!$A$4:$G279,4,FALSE)</f>
        <v>Laminate Finish</v>
      </c>
      <c r="F126" s="94" t="str">
        <f>VLOOKUP($B126,'Rate card'!$A$4:$G279,5,FALSE)</f>
        <v>MR ply + Inside laminate + finish laminate (1 Drawer)</v>
      </c>
      <c r="G126" s="94" t="str">
        <f>VLOOKUP($B126,'Rate card'!$A$4:$G279,6,FALSE)</f>
        <v>Nos</v>
      </c>
      <c r="H126" s="62">
        <v>20000.0</v>
      </c>
      <c r="I126" s="78" t="s">
        <v>18</v>
      </c>
      <c r="J126" s="79">
        <f t="shared" si="23"/>
        <v>40000</v>
      </c>
      <c r="K126" s="561">
        <v>2.0</v>
      </c>
      <c r="L126" s="192"/>
      <c r="M126" s="77">
        <f t="shared" si="24"/>
        <v>40000</v>
      </c>
      <c r="N126" s="75" t="s">
        <v>233</v>
      </c>
      <c r="O126" s="192"/>
      <c r="P126" s="67"/>
      <c r="Q126" s="67"/>
      <c r="R126" s="67"/>
      <c r="S126" s="67"/>
      <c r="T126" s="67"/>
      <c r="U126" s="67"/>
      <c r="V126" s="67"/>
      <c r="W126" s="67"/>
      <c r="X126" s="67"/>
      <c r="Y126" s="1"/>
      <c r="Z126" s="1"/>
      <c r="AA126" s="1"/>
      <c r="AB126" s="1"/>
      <c r="AC126" s="1"/>
      <c r="AD126" s="1"/>
      <c r="AE126" s="1"/>
      <c r="AF126" s="1"/>
      <c r="AG126" s="1"/>
      <c r="AH126" s="1"/>
      <c r="AI126" s="1"/>
      <c r="AJ126" s="1"/>
      <c r="AK126" s="1"/>
      <c r="AL126" s="1"/>
      <c r="AM126" s="1"/>
    </row>
    <row r="127">
      <c r="A127" s="31" t="s">
        <v>27</v>
      </c>
      <c r="B127" s="62" t="s">
        <v>236</v>
      </c>
      <c r="C127" s="94" t="str">
        <f>VLOOKUP($B127,'Rate card'!$A$4:$G279,2,FALSE)</f>
        <v>Carpentry</v>
      </c>
      <c r="D127" s="94" t="str">
        <f>VLOOKUP($B127,'Rate card'!$A$4:$G279,3,FALSE)</f>
        <v>Panelling with framing</v>
      </c>
      <c r="E127" s="62" t="s">
        <v>267</v>
      </c>
      <c r="F127" s="94" t="str">
        <f>VLOOKUP($B127,'Rate card'!$A$4:$G279,5,FALSE)</f>
        <v>MR ply + ply framing + 5mm clear mirror</v>
      </c>
      <c r="G127" s="94" t="str">
        <f>VLOOKUP($B127,'Rate card'!$A$4:$G279,6,FALSE)</f>
        <v>Sqft</v>
      </c>
      <c r="H127" s="62">
        <v>1500.0</v>
      </c>
      <c r="I127" s="78">
        <f>3*10</f>
        <v>30</v>
      </c>
      <c r="J127" s="79">
        <f t="shared" si="23"/>
        <v>45000</v>
      </c>
      <c r="K127" s="560">
        <f>12*9</f>
        <v>108</v>
      </c>
      <c r="L127" s="192"/>
      <c r="M127" s="77">
        <f t="shared" si="24"/>
        <v>162000</v>
      </c>
      <c r="N127" s="75" t="s">
        <v>268</v>
      </c>
      <c r="O127" s="192"/>
      <c r="P127" s="67"/>
      <c r="Q127" s="67"/>
      <c r="R127" s="67"/>
      <c r="S127" s="67"/>
      <c r="T127" s="67"/>
      <c r="U127" s="67"/>
      <c r="V127" s="67"/>
      <c r="W127" s="67"/>
      <c r="X127" s="67"/>
      <c r="Y127" s="1"/>
      <c r="Z127" s="1"/>
      <c r="AA127" s="1"/>
      <c r="AB127" s="1"/>
      <c r="AC127" s="1"/>
      <c r="AD127" s="1"/>
      <c r="AE127" s="1"/>
      <c r="AF127" s="1"/>
      <c r="AG127" s="1"/>
      <c r="AH127" s="1"/>
      <c r="AI127" s="1"/>
      <c r="AJ127" s="1"/>
      <c r="AK127" s="1"/>
      <c r="AL127" s="1"/>
      <c r="AM127" s="1"/>
    </row>
    <row r="128">
      <c r="A128" s="31" t="s">
        <v>30</v>
      </c>
      <c r="B128" s="62" t="s">
        <v>252</v>
      </c>
      <c r="C128" s="94" t="str">
        <f>VLOOKUP($B128,'Rate card'!$A$4:$G279,2,FALSE)</f>
        <v>Carpentry</v>
      </c>
      <c r="D128" s="94" t="str">
        <f>VLOOKUP($B128,'Rate card'!$A$4:$G279,3,FALSE)</f>
        <v>Dresser</v>
      </c>
      <c r="E128" s="62" t="s">
        <v>174</v>
      </c>
      <c r="F128" s="62" t="s">
        <v>269</v>
      </c>
      <c r="G128" s="94" t="str">
        <f>VLOOKUP($B128,'Rate card'!$A$4:$G279,6,FALSE)</f>
        <v>Sqft</v>
      </c>
      <c r="H128" s="62">
        <v>750.0</v>
      </c>
      <c r="I128" s="78">
        <f>2.5*7</f>
        <v>17.5</v>
      </c>
      <c r="J128" s="79">
        <f t="shared" si="23"/>
        <v>13125</v>
      </c>
      <c r="K128" s="561">
        <f>3*7</f>
        <v>21</v>
      </c>
      <c r="L128" s="192"/>
      <c r="M128" s="77">
        <f t="shared" si="24"/>
        <v>15750</v>
      </c>
      <c r="N128" s="75" t="s">
        <v>234</v>
      </c>
      <c r="O128" s="192"/>
      <c r="P128" s="67"/>
      <c r="Q128" s="67"/>
      <c r="R128" s="67"/>
      <c r="S128" s="67"/>
      <c r="T128" s="67"/>
      <c r="U128" s="67"/>
      <c r="V128" s="67"/>
      <c r="W128" s="67"/>
      <c r="X128" s="67"/>
      <c r="Y128" s="1"/>
      <c r="Z128" s="1"/>
      <c r="AA128" s="1"/>
      <c r="AB128" s="1"/>
      <c r="AC128" s="1"/>
      <c r="AD128" s="1"/>
      <c r="AE128" s="1"/>
      <c r="AF128" s="1"/>
      <c r="AG128" s="1"/>
      <c r="AH128" s="1"/>
      <c r="AI128" s="1"/>
      <c r="AJ128" s="1"/>
      <c r="AK128" s="1"/>
      <c r="AL128" s="1"/>
      <c r="AM128" s="1"/>
    </row>
    <row r="129">
      <c r="A129" s="31" t="s">
        <v>32</v>
      </c>
      <c r="B129" s="62" t="s">
        <v>238</v>
      </c>
      <c r="C129" s="94" t="s">
        <v>31</v>
      </c>
      <c r="D129" s="77" t="s">
        <v>180</v>
      </c>
      <c r="E129" s="94" t="str">
        <f>VLOOKUP($B129,'Rate card'!$A$4:$G279,4,FALSE)</f>
        <v>Laminate Finish</v>
      </c>
      <c r="F129" s="100" t="s">
        <v>239</v>
      </c>
      <c r="G129" s="94" t="str">
        <f>VLOOKUP($B129,'Rate card'!$A$4:$G279,6,FALSE)</f>
        <v>Sqft</v>
      </c>
      <c r="H129" s="62">
        <v>800.0</v>
      </c>
      <c r="I129" s="78" t="s">
        <v>270</v>
      </c>
      <c r="J129" s="79">
        <f t="shared" si="23"/>
        <v>40000</v>
      </c>
      <c r="K129" s="560">
        <f>12*9</f>
        <v>108</v>
      </c>
      <c r="L129" s="192"/>
      <c r="M129" s="77">
        <f t="shared" si="24"/>
        <v>86400</v>
      </c>
      <c r="N129" s="80" t="s">
        <v>271</v>
      </c>
      <c r="O129" s="190" t="s">
        <v>272</v>
      </c>
      <c r="P129" s="67"/>
      <c r="Q129" s="67"/>
      <c r="R129" s="67"/>
      <c r="S129" s="67"/>
      <c r="T129" s="67"/>
      <c r="U129" s="67"/>
      <c r="V129" s="67"/>
      <c r="W129" s="67"/>
      <c r="X129" s="67"/>
      <c r="Y129" s="1"/>
      <c r="Z129" s="1"/>
      <c r="AA129" s="1"/>
      <c r="AB129" s="1"/>
      <c r="AC129" s="1"/>
      <c r="AD129" s="1"/>
      <c r="AE129" s="1"/>
      <c r="AF129" s="1"/>
      <c r="AG129" s="1"/>
      <c r="AH129" s="1"/>
      <c r="AI129" s="1"/>
      <c r="AJ129" s="1"/>
      <c r="AK129" s="1"/>
      <c r="AL129" s="1"/>
      <c r="AM129" s="1"/>
    </row>
    <row r="130" hidden="1">
      <c r="A130" s="31" t="s">
        <v>30</v>
      </c>
      <c r="B130" s="62" t="s">
        <v>170</v>
      </c>
      <c r="C130" s="94" t="str">
        <f>VLOOKUP($B130,'Rate card'!$A$4:$G279,2,FALSE)</f>
        <v>Carpentry</v>
      </c>
      <c r="D130" s="94" t="str">
        <f>VLOOKUP($B130,'Rate card'!$A$4:$G279,3,FALSE)</f>
        <v>Carcass Storage</v>
      </c>
      <c r="E130" s="94" t="str">
        <f>VLOOKUP($B130,'Rate card'!$A$4:$G279,4,FALSE)</f>
        <v>Laminate Finish</v>
      </c>
      <c r="F130" s="94" t="str">
        <f>VLOOKUP($B130,'Rate card'!$A$4:$G279,5,FALSE)</f>
        <v>MR ply + Inside laminate + finish laminate</v>
      </c>
      <c r="G130" s="94" t="str">
        <f>VLOOKUP($B130,'Rate card'!$A$4:$G279,6,FALSE)</f>
        <v>Sqft</v>
      </c>
      <c r="H130" s="94">
        <f>VLOOKUP($B130,'Rate card'!$A$4:$J279,8,FALSE)</f>
        <v>1800</v>
      </c>
      <c r="I130" s="78">
        <f>4*3.5</f>
        <v>14</v>
      </c>
      <c r="J130" s="79">
        <f t="shared" si="23"/>
        <v>25200</v>
      </c>
      <c r="K130" s="560"/>
      <c r="L130" s="192"/>
      <c r="M130" s="77">
        <f t="shared" si="24"/>
        <v>0</v>
      </c>
      <c r="N130" s="31" t="s">
        <v>183</v>
      </c>
      <c r="O130" s="192"/>
      <c r="P130" s="67"/>
      <c r="Q130" s="67"/>
      <c r="R130" s="67"/>
      <c r="S130" s="67"/>
      <c r="T130" s="67"/>
      <c r="U130" s="67"/>
      <c r="V130" s="67"/>
      <c r="W130" s="67"/>
      <c r="X130" s="67"/>
      <c r="Y130" s="1"/>
      <c r="Z130" s="1"/>
      <c r="AA130" s="1"/>
      <c r="AB130" s="1"/>
      <c r="AC130" s="1"/>
      <c r="AD130" s="1"/>
      <c r="AE130" s="1"/>
      <c r="AF130" s="1"/>
      <c r="AG130" s="1"/>
      <c r="AH130" s="1"/>
      <c r="AI130" s="1"/>
      <c r="AJ130" s="1"/>
      <c r="AK130" s="1"/>
      <c r="AL130" s="1"/>
      <c r="AM130" s="1"/>
    </row>
    <row r="131">
      <c r="A131" s="31" t="s">
        <v>27</v>
      </c>
      <c r="B131" s="62" t="s">
        <v>170</v>
      </c>
      <c r="C131" s="94" t="str">
        <f>VLOOKUP($B131,'Rate card'!$A$4:$G279,2,FALSE)</f>
        <v>Carpentry</v>
      </c>
      <c r="D131" s="94" t="str">
        <f>VLOOKUP($B131,'Rate card'!$A$4:$G279,3,FALSE)</f>
        <v>Carcass Storage</v>
      </c>
      <c r="E131" s="62" t="s">
        <v>178</v>
      </c>
      <c r="F131" s="94" t="str">
        <f>VLOOKUP($B131,'Rate card'!$A$4:$G279,5,FALSE)</f>
        <v>MR ply + Inside laminate + finish laminate</v>
      </c>
      <c r="G131" s="62" t="s">
        <v>188</v>
      </c>
      <c r="H131" s="62">
        <v>4500.0</v>
      </c>
      <c r="I131" s="78" t="s">
        <v>274</v>
      </c>
      <c r="J131" s="79">
        <f t="shared" si="23"/>
        <v>32625</v>
      </c>
      <c r="K131" s="561">
        <v>9.0</v>
      </c>
      <c r="L131" s="192"/>
      <c r="M131" s="77">
        <f t="shared" si="24"/>
        <v>40500</v>
      </c>
      <c r="N131" s="31" t="s">
        <v>190</v>
      </c>
      <c r="O131" s="192"/>
      <c r="P131" s="67"/>
      <c r="Q131" s="67"/>
      <c r="R131" s="67"/>
      <c r="S131" s="67"/>
      <c r="T131" s="67"/>
      <c r="U131" s="67"/>
      <c r="V131" s="67"/>
      <c r="W131" s="67"/>
      <c r="X131" s="67"/>
      <c r="Y131" s="1"/>
      <c r="Z131" s="1"/>
      <c r="AA131" s="1"/>
      <c r="AB131" s="1"/>
      <c r="AC131" s="1"/>
      <c r="AD131" s="1"/>
      <c r="AE131" s="1"/>
      <c r="AF131" s="1"/>
      <c r="AG131" s="1"/>
      <c r="AH131" s="1"/>
      <c r="AI131" s="1"/>
      <c r="AJ131" s="1"/>
      <c r="AK131" s="1"/>
      <c r="AL131" s="1"/>
      <c r="AM131" s="1"/>
    </row>
    <row r="132">
      <c r="A132" s="31" t="s">
        <v>92</v>
      </c>
      <c r="B132" s="62" t="s">
        <v>263</v>
      </c>
      <c r="C132" s="94" t="str">
        <f>VLOOKUP($B132,'Rate card'!$A$4:$G279,2,FALSE)</f>
        <v>Carpentry</v>
      </c>
      <c r="D132" s="94" t="str">
        <f>VLOOKUP($B132,'Rate card'!$A$4:$G279,3,FALSE)</f>
        <v>Wardrobe</v>
      </c>
      <c r="E132" s="62" t="s">
        <v>277</v>
      </c>
      <c r="F132" s="94" t="str">
        <f>VLOOKUP($B132,'Rate card'!$A$4:$G279,5,FALSE)</f>
        <v>MR ply + Inside laminate + Profile section for glass+ 5mm toughned backpainted extra clear glass(Includes 4 pencil drawers, Handles of base rate Rs.1000/pc)</v>
      </c>
      <c r="G132" s="94" t="str">
        <f>VLOOKUP($B132,'Rate card'!$A$4:$G279,6,FALSE)</f>
        <v>Sqft</v>
      </c>
      <c r="H132" s="62">
        <v>2400.0</v>
      </c>
      <c r="I132" s="78">
        <f>8.75*10</f>
        <v>87.5</v>
      </c>
      <c r="J132" s="79">
        <f t="shared" si="23"/>
        <v>210000</v>
      </c>
      <c r="K132" s="560">
        <f>9*9</f>
        <v>81</v>
      </c>
      <c r="L132" s="192"/>
      <c r="M132" s="77">
        <f t="shared" si="24"/>
        <v>194400</v>
      </c>
      <c r="N132" s="75" t="s">
        <v>244</v>
      </c>
      <c r="O132" s="192"/>
      <c r="P132" s="67"/>
      <c r="Q132" s="67"/>
      <c r="R132" s="67"/>
      <c r="S132" s="67"/>
      <c r="T132" s="67"/>
      <c r="U132" s="67"/>
      <c r="V132" s="67"/>
      <c r="W132" s="67"/>
      <c r="X132" s="67"/>
      <c r="Y132" s="1"/>
      <c r="Z132" s="1"/>
      <c r="AA132" s="1"/>
      <c r="AB132" s="1"/>
      <c r="AC132" s="1"/>
      <c r="AD132" s="1"/>
      <c r="AE132" s="1"/>
      <c r="AF132" s="1"/>
      <c r="AG132" s="1"/>
      <c r="AH132" s="1"/>
      <c r="AI132" s="1"/>
      <c r="AJ132" s="1"/>
      <c r="AK132" s="1"/>
      <c r="AL132" s="1"/>
      <c r="AM132" s="1"/>
    </row>
    <row r="133">
      <c r="A133" s="31" t="s">
        <v>95</v>
      </c>
      <c r="B133" s="62" t="s">
        <v>179</v>
      </c>
      <c r="C133" s="94" t="str">
        <f>VLOOKUP($B133,'Rate card'!$A$4:$G279,2,FALSE)</f>
        <v>Carpentry</v>
      </c>
      <c r="D133" s="94" t="str">
        <f>VLOOKUP($B133,'Rate card'!$A$4:$G279,3,FALSE)</f>
        <v>Panelling with framing</v>
      </c>
      <c r="E133" s="94" t="str">
        <f>VLOOKUP($B133,'Rate card'!$A$4:$G279,4,FALSE)</f>
        <v>MDF</v>
      </c>
      <c r="F133" s="94" t="str">
        <f>VLOOKUP($B133,'Rate card'!$A$4:$G279,5,FALSE)</f>
        <v>MR ply + ply framing + 12mm MDF</v>
      </c>
      <c r="G133" s="94" t="str">
        <f>VLOOKUP($B133,'Rate card'!$A$4:$G279,6,FALSE)</f>
        <v>Sqft</v>
      </c>
      <c r="H133" s="62">
        <v>600.0</v>
      </c>
      <c r="I133" s="78">
        <f>14.25*2.5</f>
        <v>35.625</v>
      </c>
      <c r="J133" s="79">
        <f t="shared" si="23"/>
        <v>21375</v>
      </c>
      <c r="K133" s="560">
        <f>10*2</f>
        <v>20</v>
      </c>
      <c r="L133" s="192"/>
      <c r="M133" s="77">
        <f t="shared" si="24"/>
        <v>12000</v>
      </c>
      <c r="N133" s="75" t="s">
        <v>245</v>
      </c>
      <c r="O133" s="192"/>
      <c r="P133" s="67"/>
      <c r="Q133" s="67"/>
      <c r="R133" s="67"/>
      <c r="S133" s="67"/>
      <c r="T133" s="67"/>
      <c r="U133" s="67"/>
      <c r="V133" s="67"/>
      <c r="W133" s="67"/>
      <c r="X133" s="67"/>
      <c r="Y133" s="1"/>
      <c r="Z133" s="1"/>
      <c r="AA133" s="1"/>
      <c r="AB133" s="1"/>
      <c r="AC133" s="1"/>
      <c r="AD133" s="1"/>
      <c r="AE133" s="1"/>
      <c r="AF133" s="1"/>
      <c r="AG133" s="1"/>
      <c r="AH133" s="1"/>
      <c r="AI133" s="1"/>
      <c r="AJ133" s="1"/>
      <c r="AK133" s="1"/>
      <c r="AL133" s="1"/>
      <c r="AM133" s="1"/>
    </row>
    <row r="134">
      <c r="A134" s="30" t="s">
        <v>278</v>
      </c>
      <c r="B134" s="28"/>
      <c r="C134" s="28"/>
      <c r="D134" s="28"/>
      <c r="E134" s="28"/>
      <c r="F134" s="28"/>
      <c r="G134" s="28"/>
      <c r="H134" s="64"/>
      <c r="I134" s="40"/>
      <c r="J134" s="64"/>
      <c r="K134" s="540"/>
      <c r="L134" s="40"/>
      <c r="M134" s="40">
        <f t="shared" si="24"/>
        <v>0</v>
      </c>
      <c r="N134" s="28"/>
      <c r="O134" s="28"/>
      <c r="P134" s="67"/>
      <c r="Q134" s="67"/>
      <c r="R134" s="67"/>
      <c r="S134" s="67"/>
      <c r="T134" s="67"/>
      <c r="U134" s="67"/>
      <c r="V134" s="67"/>
      <c r="W134" s="67"/>
      <c r="X134" s="67"/>
      <c r="Y134" s="1"/>
      <c r="Z134" s="1"/>
      <c r="AA134" s="1"/>
      <c r="AB134" s="1"/>
      <c r="AC134" s="1"/>
      <c r="AD134" s="1"/>
      <c r="AE134" s="1"/>
      <c r="AF134" s="1"/>
      <c r="AG134" s="1"/>
      <c r="AH134" s="1"/>
      <c r="AI134" s="1"/>
      <c r="AJ134" s="1"/>
      <c r="AK134" s="1"/>
      <c r="AL134" s="1"/>
      <c r="AM134" s="1"/>
    </row>
    <row r="135">
      <c r="A135" s="31" t="s">
        <v>16</v>
      </c>
      <c r="B135" s="62" t="s">
        <v>170</v>
      </c>
      <c r="C135" s="94" t="str">
        <f>VLOOKUP($B135,'Rate card'!$A$4:$G279,2,FALSE)</f>
        <v>Carpentry</v>
      </c>
      <c r="D135" s="94" t="str">
        <f>VLOOKUP($B135,'Rate card'!$A$4:$G279,3,FALSE)</f>
        <v>Carcass Storage</v>
      </c>
      <c r="E135" s="94" t="str">
        <f>VLOOKUP($B135,'Rate card'!$A$4:$G279,4,FALSE)</f>
        <v>Laminate Finish</v>
      </c>
      <c r="F135" s="94" t="str">
        <f>VLOOKUP($B135,'Rate card'!$A$4:$G279,5,FALSE)</f>
        <v>MR ply + Inside laminate + finish laminate</v>
      </c>
      <c r="G135" s="94" t="str">
        <f>VLOOKUP($B135,'Rate card'!$A$4:$G279,6,FALSE)</f>
        <v>Sqft</v>
      </c>
      <c r="H135" s="94">
        <f>VLOOKUP($B135,'Rate card'!$A$4:$J279,8,FALSE)</f>
        <v>1800</v>
      </c>
      <c r="I135" s="78" t="s">
        <v>95</v>
      </c>
      <c r="J135" s="79">
        <f t="shared" ref="J135:J137" si="25">H135*I135</f>
        <v>18000</v>
      </c>
      <c r="K135" s="533">
        <v>10.0</v>
      </c>
      <c r="L135" s="192"/>
      <c r="M135" s="192">
        <f t="shared" si="24"/>
        <v>18000</v>
      </c>
      <c r="N135" s="62" t="s">
        <v>279</v>
      </c>
      <c r="O135" s="192"/>
      <c r="P135" s="67"/>
      <c r="Q135" s="67"/>
      <c r="R135" s="67"/>
      <c r="S135" s="67"/>
      <c r="T135" s="67"/>
      <c r="U135" s="67"/>
      <c r="V135" s="67"/>
      <c r="W135" s="67"/>
      <c r="X135" s="67"/>
      <c r="Y135" s="1"/>
      <c r="Z135" s="1"/>
      <c r="AA135" s="1"/>
      <c r="AB135" s="1"/>
      <c r="AC135" s="1"/>
      <c r="AD135" s="1"/>
      <c r="AE135" s="1"/>
      <c r="AF135" s="1"/>
      <c r="AG135" s="1"/>
      <c r="AH135" s="1"/>
      <c r="AI135" s="1"/>
      <c r="AJ135" s="1"/>
      <c r="AK135" s="1"/>
      <c r="AL135" s="1"/>
      <c r="AM135" s="1"/>
    </row>
    <row r="136">
      <c r="A136" s="31">
        <f t="shared" ref="A136:A137" si="26">A135+1</f>
        <v>2</v>
      </c>
      <c r="B136" s="62" t="s">
        <v>280</v>
      </c>
      <c r="C136" s="95" t="str">
        <f>VLOOKUP($B136,'Rate card'!$A$4:$G279,2,FALSE)</f>
        <v>Carpentry</v>
      </c>
      <c r="D136" s="33" t="str">
        <f>VLOOKUP($B136,'Rate card'!$A$4:$G279,3,FALSE)</f>
        <v>Mirror panelling</v>
      </c>
      <c r="E136" s="33" t="str">
        <f>VLOOKUP($B136,'Rate card'!$A$4:$G279,4,FALSE)</f>
        <v>Mirror finish</v>
      </c>
      <c r="F136" s="33" t="str">
        <f>VLOOKUP($B136,'Rate card'!$A$4:$G279,5,FALSE)</f>
        <v>MRply + ply framing + finish mirror</v>
      </c>
      <c r="G136" s="95" t="str">
        <f>VLOOKUP($B136,'Rate card'!$A$4:$G279,6,FALSE)</f>
        <v>Ls</v>
      </c>
      <c r="H136" s="94">
        <f>VLOOKUP($B136,'Rate card'!$A$4:$J279,8,FALSE)</f>
        <v>7000</v>
      </c>
      <c r="I136" s="78" t="s">
        <v>16</v>
      </c>
      <c r="J136" s="69">
        <f t="shared" si="25"/>
        <v>7000</v>
      </c>
      <c r="K136" s="533">
        <v>1.0</v>
      </c>
      <c r="L136" s="192"/>
      <c r="M136" s="192">
        <f t="shared" si="24"/>
        <v>7000</v>
      </c>
      <c r="N136" s="62" t="s">
        <v>281</v>
      </c>
      <c r="O136" s="192"/>
      <c r="P136" s="67"/>
      <c r="Q136" s="67"/>
      <c r="R136" s="67"/>
      <c r="S136" s="67"/>
      <c r="T136" s="67"/>
      <c r="U136" s="67"/>
      <c r="V136" s="67"/>
      <c r="W136" s="67"/>
      <c r="X136" s="67"/>
      <c r="Y136" s="1"/>
      <c r="Z136" s="1"/>
      <c r="AA136" s="1"/>
      <c r="AB136" s="1"/>
      <c r="AC136" s="1"/>
      <c r="AD136" s="1"/>
      <c r="AE136" s="1"/>
      <c r="AF136" s="1"/>
      <c r="AG136" s="1"/>
      <c r="AH136" s="1"/>
      <c r="AI136" s="1"/>
      <c r="AJ136" s="1"/>
      <c r="AK136" s="1"/>
      <c r="AL136" s="1"/>
      <c r="AM136" s="1"/>
    </row>
    <row r="137">
      <c r="A137" s="31">
        <f t="shared" si="26"/>
        <v>3</v>
      </c>
      <c r="B137" s="62" t="s">
        <v>282</v>
      </c>
      <c r="C137" s="95" t="str">
        <f>VLOOKUP($B137,'Rate card'!$A$4:$G279,2,FALSE)</f>
        <v>Carpentry</v>
      </c>
      <c r="D137" s="95" t="str">
        <f>VLOOKUP($B137,'Rate card'!$A$4:$G279,3,FALSE)</f>
        <v>Glass Partiton</v>
      </c>
      <c r="E137" s="95" t="str">
        <f>VLOOKUP($B137,'Rate card'!$A$4:$G279,4,FALSE)</f>
        <v>12mm toughned glass</v>
      </c>
      <c r="F137" s="95" t="str">
        <f>VLOOKUP($B137,'Rate card'!$A$4:$G279,5,FALSE)</f>
        <v>12mm toughned glass + Fitting labour + loading, unloading + All fitting hardware + Silicon etc</v>
      </c>
      <c r="G137" s="95" t="str">
        <f>VLOOKUP($B137,'Rate card'!$A$4:$G279,6,FALSE)</f>
        <v>Sqft</v>
      </c>
      <c r="H137" s="62">
        <v>950.0</v>
      </c>
      <c r="I137" s="78">
        <f>5*9</f>
        <v>45</v>
      </c>
      <c r="J137" s="69">
        <f t="shared" si="25"/>
        <v>42750</v>
      </c>
      <c r="K137" s="533">
        <f>5*9</f>
        <v>45</v>
      </c>
      <c r="L137" s="192"/>
      <c r="M137" s="192">
        <f t="shared" si="24"/>
        <v>42750</v>
      </c>
      <c r="N137" s="62" t="s">
        <v>283</v>
      </c>
      <c r="O137" s="192"/>
      <c r="P137" s="67"/>
      <c r="Q137" s="67"/>
      <c r="R137" s="67"/>
      <c r="S137" s="67"/>
      <c r="T137" s="67"/>
      <c r="U137" s="67"/>
      <c r="V137" s="67"/>
      <c r="W137" s="67"/>
      <c r="X137" s="67"/>
      <c r="Y137" s="1"/>
      <c r="Z137" s="1"/>
      <c r="AA137" s="1"/>
      <c r="AB137" s="1"/>
      <c r="AC137" s="1"/>
      <c r="AD137" s="1"/>
      <c r="AE137" s="1"/>
      <c r="AF137" s="1"/>
      <c r="AG137" s="1"/>
      <c r="AH137" s="1"/>
      <c r="AI137" s="1"/>
      <c r="AJ137" s="1"/>
      <c r="AK137" s="1"/>
      <c r="AL137" s="1"/>
      <c r="AM137" s="1"/>
    </row>
    <row r="138">
      <c r="A138" s="30" t="s">
        <v>284</v>
      </c>
      <c r="B138" s="28"/>
      <c r="C138" s="28"/>
      <c r="D138" s="28"/>
      <c r="E138" s="28"/>
      <c r="F138" s="28"/>
      <c r="G138" s="28"/>
      <c r="H138" s="64"/>
      <c r="I138" s="40"/>
      <c r="J138" s="64"/>
      <c r="K138" s="540"/>
      <c r="L138" s="562"/>
      <c r="M138" s="562"/>
      <c r="N138" s="28"/>
      <c r="O138" s="192"/>
      <c r="P138" s="67"/>
      <c r="Q138" s="67"/>
      <c r="R138" s="67"/>
      <c r="S138" s="67"/>
      <c r="T138" s="67"/>
      <c r="U138" s="67"/>
      <c r="V138" s="67"/>
      <c r="W138" s="67"/>
      <c r="X138" s="67"/>
      <c r="Y138" s="1"/>
      <c r="Z138" s="1"/>
      <c r="AA138" s="1"/>
      <c r="AB138" s="1"/>
      <c r="AC138" s="1"/>
      <c r="AD138" s="1"/>
      <c r="AE138" s="1"/>
      <c r="AF138" s="1"/>
      <c r="AG138" s="1"/>
      <c r="AH138" s="1"/>
      <c r="AI138" s="1"/>
      <c r="AJ138" s="1"/>
      <c r="AK138" s="1"/>
      <c r="AL138" s="1"/>
      <c r="AM138" s="1"/>
    </row>
    <row r="139">
      <c r="A139" s="31" t="s">
        <v>16</v>
      </c>
      <c r="B139" s="62" t="s">
        <v>170</v>
      </c>
      <c r="C139" s="94" t="str">
        <f>VLOOKUP($B139,'Rate card'!$A$4:$G279,2,FALSE)</f>
        <v>Carpentry</v>
      </c>
      <c r="D139" s="94" t="str">
        <f>VLOOKUP($B139,'Rate card'!$A$4:$G279,3,FALSE)</f>
        <v>Carcass Storage</v>
      </c>
      <c r="E139" s="94" t="str">
        <f>VLOOKUP($B139,'Rate card'!$A$4:$G279,4,FALSE)</f>
        <v>Laminate Finish</v>
      </c>
      <c r="F139" s="94" t="str">
        <f>VLOOKUP($B139,'Rate card'!$A$4:$G279,5,FALSE)</f>
        <v>MR ply + Inside laminate + finish laminate</v>
      </c>
      <c r="G139" s="94" t="str">
        <f>VLOOKUP($B139,'Rate card'!$A$4:$G279,6,FALSE)</f>
        <v>Sqft</v>
      </c>
      <c r="H139" s="94">
        <f>VLOOKUP($B139,'Rate card'!$A$4:$J279,8,FALSE)</f>
        <v>1800</v>
      </c>
      <c r="I139" s="78" t="s">
        <v>32</v>
      </c>
      <c r="J139" s="79">
        <f t="shared" ref="J139:J141" si="27">H139*I139</f>
        <v>10800</v>
      </c>
      <c r="K139" s="533">
        <v>6.0</v>
      </c>
      <c r="L139" s="192"/>
      <c r="M139" s="192">
        <f t="shared" ref="M139:M145" si="28">K139*H139</f>
        <v>10800</v>
      </c>
      <c r="N139" s="62" t="s">
        <v>279</v>
      </c>
      <c r="O139" s="192"/>
      <c r="P139" s="67"/>
      <c r="Q139" s="67"/>
      <c r="R139" s="67"/>
      <c r="S139" s="67"/>
      <c r="T139" s="67"/>
      <c r="U139" s="67"/>
      <c r="V139" s="67"/>
      <c r="W139" s="67"/>
      <c r="X139" s="67"/>
      <c r="Y139" s="1"/>
      <c r="Z139" s="1"/>
      <c r="AA139" s="1"/>
      <c r="AB139" s="1"/>
      <c r="AC139" s="1"/>
      <c r="AD139" s="1"/>
      <c r="AE139" s="1"/>
      <c r="AF139" s="1"/>
      <c r="AG139" s="1"/>
      <c r="AH139" s="1"/>
      <c r="AI139" s="1"/>
      <c r="AJ139" s="1"/>
      <c r="AK139" s="1"/>
      <c r="AL139" s="1"/>
      <c r="AM139" s="1"/>
    </row>
    <row r="140">
      <c r="A140" s="31">
        <f t="shared" ref="A140:A141" si="29">A139+1</f>
        <v>2</v>
      </c>
      <c r="B140" s="62" t="s">
        <v>280</v>
      </c>
      <c r="C140" s="95" t="str">
        <f>VLOOKUP($B140,'Rate card'!$A$4:$G279,2,FALSE)</f>
        <v>Carpentry</v>
      </c>
      <c r="D140" s="33" t="str">
        <f>VLOOKUP($B140,'Rate card'!$A$4:$G279,3,FALSE)</f>
        <v>Mirror panelling</v>
      </c>
      <c r="E140" s="33" t="str">
        <f>VLOOKUP($B140,'Rate card'!$A$4:$G279,4,FALSE)</f>
        <v>Mirror finish</v>
      </c>
      <c r="F140" s="33" t="str">
        <f>VLOOKUP($B140,'Rate card'!$A$4:$G279,5,FALSE)</f>
        <v>MRply + ply framing + finish mirror</v>
      </c>
      <c r="G140" s="95" t="str">
        <f>VLOOKUP($B140,'Rate card'!$A$4:$G279,6,FALSE)</f>
        <v>Ls</v>
      </c>
      <c r="H140" s="94">
        <f>VLOOKUP($B140,'Rate card'!$A$4:$J279,8,FALSE)</f>
        <v>7000</v>
      </c>
      <c r="I140" s="78" t="s">
        <v>16</v>
      </c>
      <c r="J140" s="69">
        <f t="shared" si="27"/>
        <v>7000</v>
      </c>
      <c r="K140" s="533">
        <v>1.0</v>
      </c>
      <c r="L140" s="192"/>
      <c r="M140" s="192">
        <f t="shared" si="28"/>
        <v>7000</v>
      </c>
      <c r="N140" s="62" t="s">
        <v>281</v>
      </c>
      <c r="O140" s="192"/>
      <c r="P140" s="67"/>
      <c r="Q140" s="67"/>
      <c r="R140" s="67"/>
      <c r="S140" s="67"/>
      <c r="T140" s="67"/>
      <c r="U140" s="67"/>
      <c r="V140" s="67"/>
      <c r="W140" s="67"/>
      <c r="X140" s="67"/>
      <c r="Y140" s="1"/>
      <c r="Z140" s="1"/>
      <c r="AA140" s="1"/>
      <c r="AB140" s="1"/>
      <c r="AC140" s="1"/>
      <c r="AD140" s="1"/>
      <c r="AE140" s="1"/>
      <c r="AF140" s="1"/>
      <c r="AG140" s="1"/>
      <c r="AH140" s="1"/>
      <c r="AI140" s="1"/>
      <c r="AJ140" s="1"/>
      <c r="AK140" s="1"/>
      <c r="AL140" s="1"/>
      <c r="AM140" s="1"/>
    </row>
    <row r="141">
      <c r="A141" s="31">
        <f t="shared" si="29"/>
        <v>3</v>
      </c>
      <c r="B141" s="62" t="s">
        <v>282</v>
      </c>
      <c r="C141" s="95" t="str">
        <f>VLOOKUP($B141,'Rate card'!$A$4:$G279,2,FALSE)</f>
        <v>Carpentry</v>
      </c>
      <c r="D141" s="95" t="str">
        <f>VLOOKUP($B141,'Rate card'!$A$4:$G279,3,FALSE)</f>
        <v>Glass Partiton</v>
      </c>
      <c r="E141" s="95" t="str">
        <f>VLOOKUP($B141,'Rate card'!$A$4:$G279,4,FALSE)</f>
        <v>12mm toughned glass</v>
      </c>
      <c r="F141" s="95" t="str">
        <f>VLOOKUP($B141,'Rate card'!$A$4:$G279,5,FALSE)</f>
        <v>12mm toughned glass + Fitting labour + loading, unloading + All fitting hardware + Silicon etc</v>
      </c>
      <c r="G141" s="95" t="str">
        <f>VLOOKUP($B141,'Rate card'!$A$4:$G279,6,FALSE)</f>
        <v>Sqft</v>
      </c>
      <c r="H141" s="62">
        <v>950.0</v>
      </c>
      <c r="I141" s="78">
        <f>5*9</f>
        <v>45</v>
      </c>
      <c r="J141" s="69">
        <f t="shared" si="27"/>
        <v>42750</v>
      </c>
      <c r="K141" s="533">
        <f>5*9</f>
        <v>45</v>
      </c>
      <c r="L141" s="192"/>
      <c r="M141" s="192">
        <f t="shared" si="28"/>
        <v>42750</v>
      </c>
      <c r="N141" s="62" t="s">
        <v>283</v>
      </c>
      <c r="O141" s="192"/>
      <c r="P141" s="67"/>
      <c r="Q141" s="67"/>
      <c r="R141" s="67"/>
      <c r="S141" s="67"/>
      <c r="T141" s="67"/>
      <c r="U141" s="67"/>
      <c r="V141" s="67"/>
      <c r="W141" s="67"/>
      <c r="X141" s="67"/>
      <c r="Y141" s="1"/>
      <c r="Z141" s="1"/>
      <c r="AA141" s="1"/>
      <c r="AB141" s="1"/>
      <c r="AC141" s="1"/>
      <c r="AD141" s="1"/>
      <c r="AE141" s="1"/>
      <c r="AF141" s="1"/>
      <c r="AG141" s="1"/>
      <c r="AH141" s="1"/>
      <c r="AI141" s="1"/>
      <c r="AJ141" s="1"/>
      <c r="AK141" s="1"/>
      <c r="AL141" s="1"/>
      <c r="AM141" s="1"/>
    </row>
    <row r="142">
      <c r="A142" s="30" t="s">
        <v>285</v>
      </c>
      <c r="B142" s="28"/>
      <c r="C142" s="28"/>
      <c r="D142" s="28"/>
      <c r="E142" s="28"/>
      <c r="F142" s="28"/>
      <c r="G142" s="28"/>
      <c r="H142" s="64"/>
      <c r="I142" s="40"/>
      <c r="J142" s="64"/>
      <c r="K142" s="540"/>
      <c r="L142" s="562"/>
      <c r="M142" s="563">
        <f t="shared" si="28"/>
        <v>0</v>
      </c>
      <c r="N142" s="28"/>
      <c r="O142" s="192"/>
      <c r="P142" s="67"/>
      <c r="Q142" s="67"/>
      <c r="R142" s="67"/>
      <c r="S142" s="67"/>
      <c r="T142" s="67"/>
      <c r="U142" s="67"/>
      <c r="V142" s="67"/>
      <c r="W142" s="67"/>
      <c r="X142" s="67"/>
      <c r="Y142" s="1"/>
      <c r="Z142" s="1"/>
      <c r="AA142" s="1"/>
      <c r="AB142" s="1"/>
      <c r="AC142" s="1"/>
      <c r="AD142" s="1"/>
      <c r="AE142" s="1"/>
      <c r="AF142" s="1"/>
      <c r="AG142" s="1"/>
      <c r="AH142" s="1"/>
      <c r="AI142" s="1"/>
      <c r="AJ142" s="1"/>
      <c r="AK142" s="1"/>
      <c r="AL142" s="1"/>
      <c r="AM142" s="1"/>
    </row>
    <row r="143">
      <c r="A143" s="31" t="s">
        <v>16</v>
      </c>
      <c r="B143" s="62" t="s">
        <v>170</v>
      </c>
      <c r="C143" s="94" t="str">
        <f>VLOOKUP($B143,'Rate card'!$A$4:$G279,2,FALSE)</f>
        <v>Carpentry</v>
      </c>
      <c r="D143" s="94" t="str">
        <f>VLOOKUP($B143,'Rate card'!$A$4:$G279,3,FALSE)</f>
        <v>Carcass Storage</v>
      </c>
      <c r="E143" s="94" t="str">
        <f>VLOOKUP($B143,'Rate card'!$A$4:$G279,4,FALSE)</f>
        <v>Laminate Finish</v>
      </c>
      <c r="F143" s="94" t="str">
        <f>VLOOKUP($B143,'Rate card'!$A$4:$G279,5,FALSE)</f>
        <v>MR ply + Inside laminate + finish laminate</v>
      </c>
      <c r="G143" s="94" t="str">
        <f>VLOOKUP($B143,'Rate card'!$A$4:$G279,6,FALSE)</f>
        <v>Sqft</v>
      </c>
      <c r="H143" s="94">
        <f>VLOOKUP($B143,'Rate card'!$A$4:$J279,8,FALSE)</f>
        <v>1800</v>
      </c>
      <c r="I143" s="78" t="s">
        <v>32</v>
      </c>
      <c r="J143" s="79">
        <f t="shared" ref="J143:J145" si="30">H143*I143</f>
        <v>10800</v>
      </c>
      <c r="K143" s="533">
        <v>6.0</v>
      </c>
      <c r="L143" s="192"/>
      <c r="M143" s="192">
        <f t="shared" si="28"/>
        <v>10800</v>
      </c>
      <c r="N143" s="62" t="s">
        <v>279</v>
      </c>
      <c r="O143" s="192"/>
      <c r="P143" s="67"/>
      <c r="Q143" s="67"/>
      <c r="R143" s="67"/>
      <c r="S143" s="67"/>
      <c r="T143" s="67"/>
      <c r="U143" s="67"/>
      <c r="V143" s="67"/>
      <c r="W143" s="67"/>
      <c r="X143" s="67"/>
      <c r="Y143" s="1"/>
      <c r="Z143" s="1"/>
      <c r="AA143" s="1"/>
      <c r="AB143" s="1"/>
      <c r="AC143" s="1"/>
      <c r="AD143" s="1"/>
      <c r="AE143" s="1"/>
      <c r="AF143" s="1"/>
      <c r="AG143" s="1"/>
      <c r="AH143" s="1"/>
      <c r="AI143" s="1"/>
      <c r="AJ143" s="1"/>
      <c r="AK143" s="1"/>
      <c r="AL143" s="1"/>
      <c r="AM143" s="1"/>
    </row>
    <row r="144">
      <c r="A144" s="31">
        <f t="shared" ref="A144:A145" si="31">A143+1</f>
        <v>2</v>
      </c>
      <c r="B144" s="62" t="s">
        <v>280</v>
      </c>
      <c r="C144" s="95" t="str">
        <f>VLOOKUP($B144,'Rate card'!$A$4:$G279,2,FALSE)</f>
        <v>Carpentry</v>
      </c>
      <c r="D144" s="33" t="str">
        <f>VLOOKUP($B144,'Rate card'!$A$4:$G279,3,FALSE)</f>
        <v>Mirror panelling</v>
      </c>
      <c r="E144" s="33" t="str">
        <f>VLOOKUP($B144,'Rate card'!$A$4:$G279,4,FALSE)</f>
        <v>Mirror finish</v>
      </c>
      <c r="F144" s="33" t="str">
        <f>VLOOKUP($B144,'Rate card'!$A$4:$G279,5,FALSE)</f>
        <v>MRply + ply framing + finish mirror</v>
      </c>
      <c r="G144" s="95" t="str">
        <f>VLOOKUP($B144,'Rate card'!$A$4:$G279,6,FALSE)</f>
        <v>Ls</v>
      </c>
      <c r="H144" s="94">
        <f>VLOOKUP($B144,'Rate card'!$A$4:$J279,8,FALSE)</f>
        <v>7000</v>
      </c>
      <c r="I144" s="78" t="s">
        <v>16</v>
      </c>
      <c r="J144" s="69">
        <f t="shared" si="30"/>
        <v>7000</v>
      </c>
      <c r="K144" s="533">
        <v>1.0</v>
      </c>
      <c r="L144" s="192"/>
      <c r="M144" s="192">
        <f t="shared" si="28"/>
        <v>7000</v>
      </c>
      <c r="N144" s="62" t="s">
        <v>281</v>
      </c>
      <c r="O144" s="192"/>
      <c r="P144" s="67"/>
      <c r="Q144" s="67"/>
      <c r="R144" s="67"/>
      <c r="S144" s="67"/>
      <c r="T144" s="67"/>
      <c r="U144" s="67"/>
      <c r="V144" s="67"/>
      <c r="W144" s="67"/>
      <c r="X144" s="67"/>
      <c r="Y144" s="1"/>
      <c r="Z144" s="1"/>
      <c r="AA144" s="1"/>
      <c r="AB144" s="1"/>
      <c r="AC144" s="1"/>
      <c r="AD144" s="1"/>
      <c r="AE144" s="1"/>
      <c r="AF144" s="1"/>
      <c r="AG144" s="1"/>
      <c r="AH144" s="1"/>
      <c r="AI144" s="1"/>
      <c r="AJ144" s="1"/>
      <c r="AK144" s="1"/>
      <c r="AL144" s="1"/>
      <c r="AM144" s="1"/>
    </row>
    <row r="145">
      <c r="A145" s="31">
        <f t="shared" si="31"/>
        <v>3</v>
      </c>
      <c r="B145" s="62" t="s">
        <v>282</v>
      </c>
      <c r="C145" s="95" t="str">
        <f>VLOOKUP($B145,'Rate card'!$A$4:$G279,2,FALSE)</f>
        <v>Carpentry</v>
      </c>
      <c r="D145" s="95" t="str">
        <f>VLOOKUP($B145,'Rate card'!$A$4:$G279,3,FALSE)</f>
        <v>Glass Partiton</v>
      </c>
      <c r="E145" s="95" t="str">
        <f>VLOOKUP($B145,'Rate card'!$A$4:$G279,4,FALSE)</f>
        <v>12mm toughned glass</v>
      </c>
      <c r="F145" s="95" t="str">
        <f>VLOOKUP($B145,'Rate card'!$A$4:$G279,5,FALSE)</f>
        <v>12mm toughned glass + Fitting labour + loading, unloading + All fitting hardware + Silicon etc</v>
      </c>
      <c r="G145" s="95" t="str">
        <f>VLOOKUP($B145,'Rate card'!$A$4:$G279,6,FALSE)</f>
        <v>Sqft</v>
      </c>
      <c r="H145" s="62">
        <v>950.0</v>
      </c>
      <c r="I145" s="78">
        <f>5*9</f>
        <v>45</v>
      </c>
      <c r="J145" s="69">
        <f t="shared" si="30"/>
        <v>42750</v>
      </c>
      <c r="K145" s="533">
        <f>5*9</f>
        <v>45</v>
      </c>
      <c r="L145" s="192"/>
      <c r="M145" s="192">
        <f t="shared" si="28"/>
        <v>42750</v>
      </c>
      <c r="N145" s="62" t="s">
        <v>283</v>
      </c>
      <c r="O145" s="192"/>
      <c r="P145" s="67"/>
      <c r="Q145" s="67"/>
      <c r="R145" s="67"/>
      <c r="S145" s="67"/>
      <c r="T145" s="67"/>
      <c r="U145" s="67"/>
      <c r="V145" s="67"/>
      <c r="W145" s="67"/>
      <c r="X145" s="67"/>
      <c r="Y145" s="1"/>
      <c r="Z145" s="1"/>
      <c r="AA145" s="1"/>
      <c r="AB145" s="1"/>
      <c r="AC145" s="1"/>
      <c r="AD145" s="1"/>
      <c r="AE145" s="1"/>
      <c r="AF145" s="1"/>
      <c r="AG145" s="1"/>
      <c r="AH145" s="1"/>
      <c r="AI145" s="1"/>
      <c r="AJ145" s="1"/>
      <c r="AK145" s="1"/>
      <c r="AL145" s="1"/>
      <c r="AM145" s="1"/>
    </row>
    <row r="146">
      <c r="A146" s="30" t="s">
        <v>286</v>
      </c>
      <c r="B146" s="28"/>
      <c r="C146" s="28"/>
      <c r="D146" s="28"/>
      <c r="E146" s="28"/>
      <c r="F146" s="28"/>
      <c r="G146" s="28"/>
      <c r="H146" s="64"/>
      <c r="I146" s="40"/>
      <c r="J146" s="64"/>
      <c r="K146" s="540"/>
      <c r="L146" s="562"/>
      <c r="M146" s="562"/>
      <c r="N146" s="28"/>
      <c r="O146" s="192"/>
      <c r="P146" s="67"/>
      <c r="Q146" s="67"/>
      <c r="R146" s="67"/>
      <c r="S146" s="67"/>
      <c r="T146" s="67"/>
      <c r="U146" s="67"/>
      <c r="V146" s="67"/>
      <c r="W146" s="67"/>
      <c r="X146" s="67"/>
      <c r="Y146" s="1"/>
      <c r="Z146" s="1"/>
      <c r="AA146" s="1"/>
      <c r="AB146" s="1"/>
      <c r="AC146" s="1"/>
      <c r="AD146" s="1"/>
      <c r="AE146" s="1"/>
      <c r="AF146" s="1"/>
      <c r="AG146" s="1"/>
      <c r="AH146" s="1"/>
      <c r="AI146" s="1"/>
      <c r="AJ146" s="1"/>
      <c r="AK146" s="1"/>
      <c r="AL146" s="1"/>
      <c r="AM146" s="1"/>
    </row>
    <row r="147">
      <c r="A147" s="31" t="s">
        <v>16</v>
      </c>
      <c r="B147" s="62" t="s">
        <v>170</v>
      </c>
      <c r="C147" s="94" t="str">
        <f>VLOOKUP($B147,'Rate card'!$A$4:$G279,2,FALSE)</f>
        <v>Carpentry</v>
      </c>
      <c r="D147" s="94" t="str">
        <f>VLOOKUP($B147,'Rate card'!$A$4:$G279,3,FALSE)</f>
        <v>Carcass Storage</v>
      </c>
      <c r="E147" s="94" t="str">
        <f>VLOOKUP($B147,'Rate card'!$A$4:$G279,4,FALSE)</f>
        <v>Laminate Finish</v>
      </c>
      <c r="F147" s="94" t="str">
        <f>VLOOKUP($B147,'Rate card'!$A$4:$G279,5,FALSE)</f>
        <v>MR ply + Inside laminate + finish laminate</v>
      </c>
      <c r="G147" s="94" t="str">
        <f>VLOOKUP($B147,'Rate card'!$A$4:$G279,6,FALSE)</f>
        <v>Sqft</v>
      </c>
      <c r="H147" s="94">
        <f>VLOOKUP($B147,'Rate card'!$A$4:$J279,8,FALSE)</f>
        <v>1800</v>
      </c>
      <c r="I147" s="78" t="s">
        <v>32</v>
      </c>
      <c r="J147" s="79">
        <f t="shared" ref="J147:J149" si="32">H147*I147</f>
        <v>10800</v>
      </c>
      <c r="K147" s="533">
        <v>6.0</v>
      </c>
      <c r="L147" s="192"/>
      <c r="M147" s="192">
        <f t="shared" ref="M147:M149" si="33">K147*H147</f>
        <v>10800</v>
      </c>
      <c r="N147" s="62" t="s">
        <v>279</v>
      </c>
      <c r="O147" s="192"/>
      <c r="P147" s="67"/>
      <c r="Q147" s="67"/>
      <c r="R147" s="67"/>
      <c r="S147" s="67"/>
      <c r="T147" s="67"/>
      <c r="U147" s="67"/>
      <c r="V147" s="67"/>
      <c r="W147" s="67"/>
      <c r="X147" s="67"/>
      <c r="Y147" s="1"/>
      <c r="Z147" s="1"/>
      <c r="AA147" s="1"/>
      <c r="AB147" s="1"/>
      <c r="AC147" s="1"/>
      <c r="AD147" s="1"/>
      <c r="AE147" s="1"/>
      <c r="AF147" s="1"/>
      <c r="AG147" s="1"/>
      <c r="AH147" s="1"/>
      <c r="AI147" s="1"/>
      <c r="AJ147" s="1"/>
      <c r="AK147" s="1"/>
      <c r="AL147" s="1"/>
      <c r="AM147" s="1"/>
    </row>
    <row r="148">
      <c r="A148" s="31">
        <f t="shared" ref="A148:A149" si="34">A147+1</f>
        <v>2</v>
      </c>
      <c r="B148" s="62" t="s">
        <v>280</v>
      </c>
      <c r="C148" s="95" t="str">
        <f>VLOOKUP($B148,'Rate card'!$A$4:$G279,2,FALSE)</f>
        <v>Carpentry</v>
      </c>
      <c r="D148" s="33" t="str">
        <f>VLOOKUP($B148,'Rate card'!$A$4:$G279,3,FALSE)</f>
        <v>Mirror panelling</v>
      </c>
      <c r="E148" s="33" t="str">
        <f>VLOOKUP($B148,'Rate card'!$A$4:$G279,4,FALSE)</f>
        <v>Mirror finish</v>
      </c>
      <c r="F148" s="33" t="str">
        <f>VLOOKUP($B148,'Rate card'!$A$4:$G279,5,FALSE)</f>
        <v>MRply + ply framing + finish mirror</v>
      </c>
      <c r="G148" s="95" t="str">
        <f>VLOOKUP($B148,'Rate card'!$A$4:$G279,6,FALSE)</f>
        <v>Ls</v>
      </c>
      <c r="H148" s="94">
        <f>VLOOKUP($B148,'Rate card'!$A$4:$J279,8,FALSE)</f>
        <v>7000</v>
      </c>
      <c r="I148" s="78" t="s">
        <v>16</v>
      </c>
      <c r="J148" s="69">
        <f t="shared" si="32"/>
        <v>7000</v>
      </c>
      <c r="K148" s="533">
        <v>1.0</v>
      </c>
      <c r="L148" s="192"/>
      <c r="M148" s="192">
        <f t="shared" si="33"/>
        <v>7000</v>
      </c>
      <c r="N148" s="62" t="s">
        <v>281</v>
      </c>
      <c r="O148" s="192"/>
      <c r="P148" s="67"/>
      <c r="Q148" s="67"/>
      <c r="R148" s="67"/>
      <c r="S148" s="67"/>
      <c r="T148" s="67"/>
      <c r="U148" s="67"/>
      <c r="V148" s="67"/>
      <c r="W148" s="67"/>
      <c r="X148" s="67"/>
      <c r="Y148" s="1"/>
      <c r="Z148" s="1"/>
      <c r="AA148" s="1"/>
      <c r="AB148" s="1"/>
      <c r="AC148" s="1"/>
      <c r="AD148" s="1"/>
      <c r="AE148" s="1"/>
      <c r="AF148" s="1"/>
      <c r="AG148" s="1"/>
      <c r="AH148" s="1"/>
      <c r="AI148" s="1"/>
      <c r="AJ148" s="1"/>
      <c r="AK148" s="1"/>
      <c r="AL148" s="1"/>
      <c r="AM148" s="1"/>
    </row>
    <row r="149">
      <c r="A149" s="31">
        <f t="shared" si="34"/>
        <v>3</v>
      </c>
      <c r="B149" s="62" t="s">
        <v>282</v>
      </c>
      <c r="C149" s="95" t="str">
        <f>VLOOKUP($B149,'Rate card'!$A$4:$G279,2,FALSE)</f>
        <v>Carpentry</v>
      </c>
      <c r="D149" s="95" t="str">
        <f>VLOOKUP($B149,'Rate card'!$A$4:$G279,3,FALSE)</f>
        <v>Glass Partiton</v>
      </c>
      <c r="E149" s="95" t="str">
        <f>VLOOKUP($B149,'Rate card'!$A$4:$G279,4,FALSE)</f>
        <v>12mm toughned glass</v>
      </c>
      <c r="F149" s="95" t="str">
        <f>VLOOKUP($B149,'Rate card'!$A$4:$G279,5,FALSE)</f>
        <v>12mm toughned glass + Fitting labour + loading, unloading + All fitting hardware + Silicon etc</v>
      </c>
      <c r="G149" s="95" t="str">
        <f>VLOOKUP($B149,'Rate card'!$A$4:$G279,6,FALSE)</f>
        <v>Sqft</v>
      </c>
      <c r="H149" s="62">
        <v>950.0</v>
      </c>
      <c r="I149" s="78">
        <f>6.5*9</f>
        <v>58.5</v>
      </c>
      <c r="J149" s="69">
        <f t="shared" si="32"/>
        <v>55575</v>
      </c>
      <c r="K149" s="533">
        <f>6.5*9</f>
        <v>58.5</v>
      </c>
      <c r="L149" s="192"/>
      <c r="M149" s="192">
        <f t="shared" si="33"/>
        <v>55575</v>
      </c>
      <c r="N149" s="62" t="s">
        <v>283</v>
      </c>
      <c r="O149" s="192"/>
      <c r="P149" s="67"/>
      <c r="Q149" s="67"/>
      <c r="R149" s="67"/>
      <c r="S149" s="67"/>
      <c r="T149" s="67"/>
      <c r="U149" s="67"/>
      <c r="V149" s="67"/>
      <c r="W149" s="67"/>
      <c r="X149" s="67"/>
      <c r="Y149" s="1"/>
      <c r="Z149" s="1"/>
      <c r="AA149" s="1"/>
      <c r="AB149" s="1"/>
      <c r="AC149" s="1"/>
      <c r="AD149" s="1"/>
      <c r="AE149" s="1"/>
      <c r="AF149" s="1"/>
      <c r="AG149" s="1"/>
      <c r="AH149" s="1"/>
      <c r="AI149" s="1"/>
      <c r="AJ149" s="1"/>
      <c r="AK149" s="1"/>
      <c r="AL149" s="1"/>
      <c r="AM149" s="1"/>
    </row>
    <row r="150" hidden="1">
      <c r="A150" s="30" t="s">
        <v>287</v>
      </c>
      <c r="B150" s="28"/>
      <c r="C150" s="28"/>
      <c r="D150" s="28"/>
      <c r="E150" s="28"/>
      <c r="F150" s="28"/>
      <c r="G150" s="28"/>
      <c r="H150" s="64"/>
      <c r="I150" s="40"/>
      <c r="J150" s="64"/>
      <c r="K150" s="540"/>
      <c r="L150" s="40"/>
      <c r="M150" s="28"/>
      <c r="N150" s="67"/>
      <c r="O150" s="67"/>
      <c r="P150" s="67"/>
      <c r="Q150" s="67"/>
      <c r="R150" s="67"/>
      <c r="S150" s="67"/>
      <c r="T150" s="67"/>
      <c r="U150" s="67"/>
      <c r="V150" s="67"/>
      <c r="W150" s="67"/>
      <c r="X150" s="67"/>
      <c r="Y150" s="1"/>
      <c r="Z150" s="1"/>
      <c r="AA150" s="1"/>
      <c r="AB150" s="1"/>
      <c r="AC150" s="1"/>
      <c r="AD150" s="1"/>
      <c r="AE150" s="1"/>
      <c r="AF150" s="1"/>
      <c r="AG150" s="1"/>
      <c r="AH150" s="1"/>
      <c r="AI150" s="1"/>
      <c r="AJ150" s="1"/>
      <c r="AK150" s="1"/>
      <c r="AL150" s="1"/>
      <c r="AM150" s="1"/>
    </row>
    <row r="151" hidden="1">
      <c r="A151" s="31" t="s">
        <v>16</v>
      </c>
      <c r="B151" s="62" t="s">
        <v>170</v>
      </c>
      <c r="C151" s="94" t="str">
        <f>VLOOKUP($B151,'Rate card'!$A$4:$G279,2,FALSE)</f>
        <v>Carpentry</v>
      </c>
      <c r="D151" s="62" t="s">
        <v>290</v>
      </c>
      <c r="E151" s="62" t="s">
        <v>164</v>
      </c>
      <c r="F151" s="62" t="s">
        <v>291</v>
      </c>
      <c r="G151" s="62" t="s">
        <v>289</v>
      </c>
      <c r="H151" s="62">
        <v>40000.0</v>
      </c>
      <c r="I151" s="78" t="s">
        <v>100</v>
      </c>
      <c r="J151" s="79">
        <f>H151*I151</f>
        <v>480000</v>
      </c>
      <c r="K151" s="533"/>
      <c r="L151" s="77"/>
      <c r="M151" s="62"/>
      <c r="N151" s="67"/>
      <c r="O151" s="67"/>
      <c r="P151" s="67"/>
      <c r="Q151" s="67"/>
      <c r="R151" s="67"/>
      <c r="S151" s="67"/>
      <c r="T151" s="67"/>
      <c r="U151" s="67"/>
      <c r="V151" s="67"/>
      <c r="W151" s="67"/>
      <c r="X151" s="67"/>
      <c r="Y151" s="1"/>
      <c r="Z151" s="1"/>
      <c r="AA151" s="1"/>
      <c r="AB151" s="1"/>
      <c r="AC151" s="1"/>
      <c r="AD151" s="1"/>
      <c r="AE151" s="1"/>
      <c r="AF151" s="1"/>
      <c r="AG151" s="1"/>
      <c r="AH151" s="1"/>
      <c r="AI151" s="1"/>
      <c r="AJ151" s="1"/>
      <c r="AK151" s="1"/>
      <c r="AL151" s="1"/>
      <c r="AM151" s="1"/>
    </row>
    <row r="152" hidden="1">
      <c r="A152" s="564"/>
      <c r="B152" s="100"/>
      <c r="C152" s="100"/>
      <c r="D152" s="100"/>
      <c r="E152" s="100"/>
      <c r="F152" s="100"/>
      <c r="G152" s="100"/>
      <c r="H152" s="106"/>
      <c r="I152" s="83" t="s">
        <v>125</v>
      </c>
      <c r="J152" s="92">
        <f>SUM(J61:J151)</f>
        <v>4791787.5</v>
      </c>
      <c r="K152" s="565"/>
      <c r="L152" s="83"/>
      <c r="M152" s="100"/>
      <c r="N152" s="100"/>
      <c r="O152" s="100"/>
      <c r="P152" s="100"/>
      <c r="Q152" s="100"/>
      <c r="R152" s="100"/>
      <c r="S152" s="100"/>
      <c r="T152" s="100"/>
      <c r="U152" s="100"/>
      <c r="V152" s="100"/>
      <c r="W152" s="100"/>
      <c r="X152" s="100"/>
      <c r="Y152" s="107"/>
      <c r="Z152" s="107"/>
      <c r="AA152" s="107"/>
      <c r="AB152" s="107"/>
      <c r="AC152" s="107"/>
      <c r="AD152" s="107"/>
      <c r="AE152" s="107"/>
      <c r="AF152" s="107"/>
      <c r="AG152" s="107"/>
      <c r="AH152" s="107"/>
      <c r="AI152" s="107"/>
      <c r="AJ152" s="107"/>
      <c r="AK152" s="107"/>
      <c r="AL152" s="107"/>
      <c r="AM152" s="107"/>
    </row>
    <row r="153">
      <c r="A153" s="24" t="s">
        <v>33</v>
      </c>
      <c r="B153" s="28"/>
      <c r="C153" s="28"/>
      <c r="D153" s="28"/>
      <c r="E153" s="28"/>
      <c r="F153" s="28"/>
      <c r="G153" s="28"/>
      <c r="H153" s="64"/>
      <c r="I153" s="40"/>
      <c r="J153" s="64"/>
      <c r="K153" s="566" t="s">
        <v>147</v>
      </c>
      <c r="L153" s="40"/>
      <c r="M153" s="64">
        <f>SUM(M61:M149)</f>
        <v>5150250</v>
      </c>
      <c r="N153" s="28"/>
      <c r="O153" s="67"/>
      <c r="P153" s="67"/>
      <c r="Q153" s="67"/>
      <c r="R153" s="67"/>
      <c r="S153" s="67"/>
      <c r="T153" s="67"/>
      <c r="U153" s="67"/>
      <c r="V153" s="67"/>
      <c r="W153" s="67"/>
      <c r="X153" s="67"/>
      <c r="Y153" s="1"/>
      <c r="Z153" s="1"/>
      <c r="AA153" s="1"/>
      <c r="AB153" s="1"/>
      <c r="AC153" s="1"/>
      <c r="AD153" s="1"/>
      <c r="AE153" s="1"/>
      <c r="AF153" s="1"/>
      <c r="AG153" s="1"/>
      <c r="AH153" s="1"/>
      <c r="AI153" s="1"/>
      <c r="AJ153" s="1"/>
      <c r="AK153" s="1"/>
      <c r="AL153" s="1"/>
      <c r="AM153" s="1"/>
    </row>
    <row r="154">
      <c r="A154" s="31" t="s">
        <v>16</v>
      </c>
      <c r="B154" s="62" t="s">
        <v>297</v>
      </c>
      <c r="C154" s="77" t="str">
        <f>VLOOKUP($B154,'Rate card'!$A$4:$G279,2,FALSE)</f>
        <v>Paint</v>
      </c>
      <c r="D154" s="77" t="str">
        <f>VLOOKUP($B154,'Rate card'!$A$4:$G279,3,FALSE)</f>
        <v>Royal Shyne</v>
      </c>
      <c r="E154" s="77" t="str">
        <f>VLOOKUP($B154,'Rate card'!$A$4:$G279,4,FALSE)</f>
        <v>2 Primer + 1 Putty + 2 RLE</v>
      </c>
      <c r="F154" s="77" t="str">
        <f>VLOOKUP($B154,'Rate card'!$A$4:$G279,5,FALSE)</f>
        <v>Painting with royal Shyne on ceiling, to give an even shade – Two or more coats on new work including preparation of surface. (_putty+_primer+_paint) as per requirement</v>
      </c>
      <c r="G154" s="77" t="str">
        <f>VLOOKUP($B154,'Rate card'!$A$4:$G279,6,FALSE)</f>
        <v>Sqft</v>
      </c>
      <c r="H154" s="94">
        <f>VLOOKUP($B154,'Rate card'!$A$4:$J279,8,FALSE)</f>
        <v>42</v>
      </c>
      <c r="I154" s="78" t="s">
        <v>146</v>
      </c>
      <c r="J154" s="79">
        <f t="shared" ref="J154:J156" si="35">H154*I154</f>
        <v>70266</v>
      </c>
      <c r="K154" s="533">
        <v>1673.0</v>
      </c>
      <c r="L154" s="38"/>
      <c r="M154" s="38">
        <f t="shared" ref="M154:M158" si="36">K154*H154</f>
        <v>70266</v>
      </c>
      <c r="N154" s="75" t="s">
        <v>294</v>
      </c>
      <c r="O154" s="38"/>
      <c r="P154" s="67"/>
      <c r="Q154" s="67"/>
      <c r="R154" s="67"/>
      <c r="S154" s="67"/>
      <c r="T154" s="67"/>
      <c r="U154" s="67"/>
      <c r="V154" s="67"/>
      <c r="W154" s="67"/>
      <c r="X154" s="67"/>
      <c r="Y154" s="1"/>
      <c r="Z154" s="1"/>
      <c r="AA154" s="1"/>
      <c r="AB154" s="1"/>
      <c r="AC154" s="1"/>
      <c r="AD154" s="1"/>
      <c r="AE154" s="1"/>
      <c r="AF154" s="1"/>
      <c r="AG154" s="1"/>
      <c r="AH154" s="1"/>
      <c r="AI154" s="1"/>
      <c r="AJ154" s="1"/>
      <c r="AK154" s="1"/>
      <c r="AL154" s="1"/>
      <c r="AM154" s="1"/>
    </row>
    <row r="155">
      <c r="A155" s="31">
        <f t="shared" ref="A155:A156" si="37">A154+1</f>
        <v>2</v>
      </c>
      <c r="B155" s="62" t="s">
        <v>298</v>
      </c>
      <c r="C155" s="77" t="str">
        <f>VLOOKUP($B155,'Rate card'!$A$4:$G279,2,FALSE)</f>
        <v>Paint</v>
      </c>
      <c r="D155" s="77" t="str">
        <f>VLOOKUP($B155,'Rate card'!$A$4:$G279,3,FALSE)</f>
        <v>Royal Shyne</v>
      </c>
      <c r="E155" s="77" t="str">
        <f>VLOOKUP($B155,'Rate card'!$A$4:$G279,4,FALSE)</f>
        <v>2 Primer + 1 Putty + 2 RLE</v>
      </c>
      <c r="F155" s="77" t="str">
        <f>VLOOKUP($B155,'Rate card'!$A$4:$G279,5,FALSE)</f>
        <v>Painting with royal Shyne on walls, to give an even shade – Two or more coats on new work including preparation of surface. (_putty+_primer+_paint) as per requirement</v>
      </c>
      <c r="G155" s="77" t="str">
        <f>VLOOKUP($B155,'Rate card'!$A$4:$G279,6,FALSE)</f>
        <v>Sqft</v>
      </c>
      <c r="H155" s="94">
        <f>VLOOKUP($B155,'Rate card'!$A$4:$J279,8,FALSE)</f>
        <v>45</v>
      </c>
      <c r="I155" s="109">
        <f>1673*2.5</f>
        <v>4182.5</v>
      </c>
      <c r="J155" s="79">
        <f t="shared" si="35"/>
        <v>188212.5</v>
      </c>
      <c r="K155" s="533">
        <f>1673*2.5</f>
        <v>4182.5</v>
      </c>
      <c r="L155" s="38"/>
      <c r="M155" s="38">
        <f t="shared" si="36"/>
        <v>188212.5</v>
      </c>
      <c r="N155" s="75" t="s">
        <v>299</v>
      </c>
      <c r="O155" s="38"/>
      <c r="P155" s="67"/>
      <c r="Q155" s="67"/>
      <c r="R155" s="67"/>
      <c r="S155" s="67"/>
      <c r="T155" s="67"/>
      <c r="U155" s="67"/>
      <c r="V155" s="67"/>
      <c r="W155" s="67"/>
      <c r="X155" s="67"/>
      <c r="Y155" s="1"/>
      <c r="Z155" s="1"/>
      <c r="AA155" s="1"/>
      <c r="AB155" s="1"/>
      <c r="AC155" s="1"/>
      <c r="AD155" s="1"/>
      <c r="AE155" s="1"/>
      <c r="AF155" s="1"/>
      <c r="AG155" s="1"/>
      <c r="AH155" s="1"/>
      <c r="AI155" s="1"/>
      <c r="AJ155" s="1"/>
      <c r="AK155" s="1"/>
      <c r="AL155" s="1"/>
      <c r="AM155" s="1"/>
    </row>
    <row r="156">
      <c r="A156" s="33">
        <f t="shared" si="37"/>
        <v>3</v>
      </c>
      <c r="B156" s="94" t="s">
        <v>298</v>
      </c>
      <c r="C156" s="77" t="str">
        <f>VLOOKUP($B156,'Rate card'!$A$4:$G279,2,FALSE)</f>
        <v>Paint</v>
      </c>
      <c r="D156" s="94" t="s">
        <v>300</v>
      </c>
      <c r="E156" s="77" t="str">
        <f>VLOOKUP($B156,'Rate card'!$A$4:$G279,4,FALSE)</f>
        <v>2 Primer + 1 Putty + 2 RLE</v>
      </c>
      <c r="F156" s="77" t="str">
        <f>VLOOKUP($B156,'Rate card'!$A$4:$G279,5,FALSE)</f>
        <v>Painting with royal Shyne on walls, to give an even shade – Two or more coats on new work including preparation of surface. (_putty+_primer+_paint) as per requirement</v>
      </c>
      <c r="G156" s="94" t="s">
        <v>185</v>
      </c>
      <c r="H156" s="62">
        <v>25000.0</v>
      </c>
      <c r="I156" s="110">
        <v>1.0</v>
      </c>
      <c r="J156" s="79">
        <f t="shared" si="35"/>
        <v>25000</v>
      </c>
      <c r="K156" s="533">
        <v>1.0</v>
      </c>
      <c r="L156" s="38"/>
      <c r="M156" s="38">
        <f t="shared" si="36"/>
        <v>25000</v>
      </c>
      <c r="N156" s="95" t="s">
        <v>299</v>
      </c>
      <c r="O156" s="38"/>
      <c r="P156" s="67"/>
      <c r="Q156" s="67"/>
      <c r="R156" s="67"/>
      <c r="S156" s="67"/>
      <c r="T156" s="67"/>
      <c r="U156" s="67"/>
      <c r="V156" s="67"/>
      <c r="W156" s="67"/>
      <c r="X156" s="67"/>
      <c r="Y156" s="1"/>
      <c r="Z156" s="1"/>
      <c r="AA156" s="1"/>
      <c r="AB156" s="1"/>
      <c r="AC156" s="1"/>
      <c r="AD156" s="1"/>
      <c r="AE156" s="1"/>
      <c r="AF156" s="1"/>
      <c r="AG156" s="1"/>
      <c r="AH156" s="1"/>
      <c r="AI156" s="1"/>
      <c r="AJ156" s="1"/>
      <c r="AK156" s="1"/>
      <c r="AL156" s="1"/>
      <c r="AM156" s="1"/>
    </row>
    <row r="157">
      <c r="A157" s="33"/>
      <c r="B157" s="95"/>
      <c r="C157" s="78" t="s">
        <v>301</v>
      </c>
      <c r="D157" s="78" t="s">
        <v>301</v>
      </c>
      <c r="E157" s="77"/>
      <c r="F157" s="33"/>
      <c r="G157" s="78" t="s">
        <v>175</v>
      </c>
      <c r="H157" s="62">
        <v>350.0</v>
      </c>
      <c r="I157" s="111"/>
      <c r="J157" s="79"/>
      <c r="K157" s="547">
        <v>1500.0</v>
      </c>
      <c r="L157" s="38"/>
      <c r="M157" s="38">
        <f t="shared" si="36"/>
        <v>525000</v>
      </c>
      <c r="N157" s="94"/>
      <c r="O157" s="38"/>
      <c r="P157" s="76"/>
      <c r="Q157" s="76"/>
      <c r="R157" s="76"/>
      <c r="S157" s="76"/>
      <c r="T157" s="76"/>
      <c r="U157" s="76"/>
      <c r="V157" s="76"/>
      <c r="W157" s="76"/>
      <c r="X157" s="76"/>
      <c r="Y157" s="52"/>
      <c r="Z157" s="52"/>
      <c r="AA157" s="52"/>
      <c r="AB157" s="52"/>
      <c r="AC157" s="52"/>
      <c r="AD157" s="52"/>
      <c r="AE157" s="52"/>
      <c r="AF157" s="52"/>
      <c r="AG157" s="52"/>
      <c r="AH157" s="52"/>
      <c r="AI157" s="52"/>
      <c r="AJ157" s="52"/>
      <c r="AK157" s="52"/>
      <c r="AL157" s="52"/>
      <c r="AM157" s="52"/>
    </row>
    <row r="158">
      <c r="A158" s="33" t="s">
        <v>27</v>
      </c>
      <c r="B158" s="95" t="s">
        <v>302</v>
      </c>
      <c r="C158" s="77" t="str">
        <f>VLOOKUP($B158,'Rate card'!$A$4:$G279,2,FALSE)</f>
        <v>Polish</v>
      </c>
      <c r="D158" s="77" t="str">
        <f>VLOOKUP($B158,'Rate card'!$A$4:$G279,3,FALSE)</f>
        <v>Melamine</v>
      </c>
      <c r="E158" s="77" t="str">
        <f>VLOOKUP($B158,'Rate card'!$A$4:$G279,4,FALSE)</f>
        <v/>
      </c>
      <c r="F158" s="33" t="s">
        <v>303</v>
      </c>
      <c r="G158" s="77" t="str">
        <f>VLOOKUP($B158,'Rate card'!$A$4:$G279,6,FALSE)</f>
        <v>Sqft</v>
      </c>
      <c r="H158" s="62">
        <v>2000.0</v>
      </c>
      <c r="I158" s="111">
        <v>500.0</v>
      </c>
      <c r="J158" s="79">
        <f>H158*I158</f>
        <v>1000000</v>
      </c>
      <c r="K158" s="547">
        <v>120.0</v>
      </c>
      <c r="L158" s="38"/>
      <c r="M158" s="38">
        <f t="shared" si="36"/>
        <v>240000</v>
      </c>
      <c r="N158" s="94" t="s">
        <v>304</v>
      </c>
      <c r="O158" s="38"/>
      <c r="P158" s="76"/>
      <c r="Q158" s="76"/>
      <c r="R158" s="76"/>
      <c r="S158" s="76"/>
      <c r="T158" s="76"/>
      <c r="U158" s="76"/>
      <c r="V158" s="76"/>
      <c r="W158" s="76"/>
      <c r="X158" s="76"/>
      <c r="Y158" s="52"/>
      <c r="Z158" s="52"/>
      <c r="AA158" s="52"/>
      <c r="AB158" s="52"/>
      <c r="AC158" s="52"/>
      <c r="AD158" s="52"/>
      <c r="AE158" s="52"/>
      <c r="AF158" s="52"/>
      <c r="AG158" s="52"/>
      <c r="AH158" s="52"/>
      <c r="AI158" s="52"/>
      <c r="AJ158" s="52"/>
      <c r="AK158" s="52"/>
      <c r="AL158" s="52"/>
      <c r="AM158" s="52"/>
    </row>
    <row r="159">
      <c r="A159" s="31"/>
      <c r="B159" s="67"/>
      <c r="C159" s="67"/>
      <c r="D159" s="67"/>
      <c r="E159" s="67"/>
      <c r="F159" s="67"/>
      <c r="G159" s="67"/>
      <c r="H159" s="79"/>
      <c r="I159" s="83" t="s">
        <v>125</v>
      </c>
      <c r="J159" s="92">
        <f>sum(J154:J158)</f>
        <v>1283478.5</v>
      </c>
      <c r="K159" s="567" t="s">
        <v>147</v>
      </c>
      <c r="L159" s="38"/>
      <c r="M159" s="83">
        <f>SUM(M154:M158)</f>
        <v>1048478.5</v>
      </c>
      <c r="N159" s="67"/>
      <c r="O159" s="38"/>
      <c r="P159" s="67"/>
      <c r="Q159" s="67"/>
      <c r="R159" s="67"/>
      <c r="S159" s="67"/>
      <c r="T159" s="67"/>
      <c r="U159" s="67"/>
      <c r="V159" s="67"/>
      <c r="W159" s="67"/>
      <c r="X159" s="67"/>
      <c r="Y159" s="1"/>
      <c r="Z159" s="1"/>
      <c r="AA159" s="1"/>
      <c r="AB159" s="1"/>
      <c r="AC159" s="1"/>
      <c r="AD159" s="1"/>
      <c r="AE159" s="1"/>
      <c r="AF159" s="1"/>
      <c r="AG159" s="1"/>
      <c r="AH159" s="1"/>
      <c r="AI159" s="1"/>
      <c r="AJ159" s="1"/>
      <c r="AK159" s="1"/>
      <c r="AL159" s="1"/>
      <c r="AM159" s="1"/>
    </row>
    <row r="160">
      <c r="A160" s="24" t="s">
        <v>35</v>
      </c>
      <c r="B160" s="28"/>
      <c r="C160" s="28"/>
      <c r="D160" s="28"/>
      <c r="E160" s="28"/>
      <c r="F160" s="28"/>
      <c r="G160" s="28"/>
      <c r="H160" s="64"/>
      <c r="I160" s="40"/>
      <c r="J160" s="64"/>
      <c r="K160" s="540"/>
      <c r="L160" s="40"/>
      <c r="M160" s="28"/>
      <c r="N160" s="67"/>
      <c r="O160" s="67"/>
      <c r="P160" s="67"/>
      <c r="Q160" s="67"/>
      <c r="R160" s="67"/>
      <c r="S160" s="67"/>
      <c r="T160" s="67"/>
      <c r="U160" s="67"/>
      <c r="V160" s="67"/>
      <c r="W160" s="67"/>
      <c r="X160" s="67"/>
      <c r="Y160" s="1"/>
      <c r="Z160" s="1"/>
      <c r="AA160" s="1"/>
      <c r="AB160" s="1"/>
      <c r="AC160" s="1"/>
      <c r="AD160" s="1"/>
      <c r="AE160" s="1"/>
      <c r="AF160" s="1"/>
      <c r="AG160" s="1"/>
      <c r="AH160" s="1"/>
      <c r="AI160" s="1"/>
      <c r="AJ160" s="1"/>
      <c r="AK160" s="1"/>
      <c r="AL160" s="1"/>
      <c r="AM160" s="1"/>
    </row>
    <row r="161">
      <c r="A161" s="31" t="s">
        <v>16</v>
      </c>
      <c r="B161" s="62" t="s">
        <v>305</v>
      </c>
      <c r="C161" s="94" t="str">
        <f>VLOOKUP($B161,'Rate card'!$A$4:$G279,2,FALSE)</f>
        <v>CLEANING</v>
      </c>
      <c r="D161" s="94" t="str">
        <f>VLOOKUP($B161,'Rate card'!$A$4:$G279,3,FALSE)</f>
        <v>NA</v>
      </c>
      <c r="E161" s="94" t="str">
        <f>VLOOKUP($B161,'Rate card'!$A$4:$G279,4,FALSE)</f>
        <v>NA</v>
      </c>
      <c r="F161" s="94" t="str">
        <f>VLOOKUP($B161,'Rate card'!$A$4:$G279,5,FALSE)</f>
        <v>NA</v>
      </c>
      <c r="G161" s="94" t="str">
        <f>VLOOKUP($B161,'Rate card'!$A$4:$G279,6,FALSE)</f>
        <v>Ls</v>
      </c>
      <c r="I161" s="78" t="s">
        <v>16</v>
      </c>
      <c r="J161" s="79">
        <f>M161*I161</f>
        <v>40000</v>
      </c>
      <c r="K161" s="568"/>
      <c r="L161" s="77" t="s">
        <v>16</v>
      </c>
      <c r="M161" s="80">
        <v>40000.0</v>
      </c>
      <c r="N161" s="67"/>
      <c r="O161" s="67"/>
      <c r="P161" s="67"/>
      <c r="Q161" s="67"/>
      <c r="R161" s="67"/>
      <c r="S161" s="67"/>
      <c r="T161" s="67"/>
      <c r="U161" s="67"/>
      <c r="V161" s="67"/>
      <c r="W161" s="67"/>
      <c r="X161" s="67"/>
      <c r="Y161" s="1"/>
      <c r="Z161" s="1"/>
      <c r="AA161" s="1"/>
      <c r="AB161" s="1"/>
      <c r="AC161" s="1"/>
      <c r="AD161" s="1"/>
      <c r="AE161" s="1"/>
      <c r="AF161" s="1"/>
      <c r="AG161" s="1"/>
      <c r="AH161" s="1"/>
      <c r="AI161" s="1"/>
      <c r="AJ161" s="1"/>
      <c r="AK161" s="1"/>
      <c r="AL161" s="1"/>
      <c r="AM161" s="1"/>
    </row>
    <row r="162">
      <c r="A162" s="31">
        <f t="shared" ref="A162:A163" si="38">A161+1</f>
        <v>2</v>
      </c>
      <c r="B162" s="62" t="s">
        <v>306</v>
      </c>
      <c r="C162" s="94" t="str">
        <f>VLOOKUP($B162,'Rate card'!$A$4:$G279,2,FALSE)</f>
        <v>DEBRIS REMOVAL</v>
      </c>
      <c r="D162" s="94" t="str">
        <f>VLOOKUP($B162,'Rate card'!$A$4:$G279,3,FALSE)</f>
        <v>NA</v>
      </c>
      <c r="E162" s="94" t="str">
        <f>VLOOKUP($B162,'Rate card'!$A$4:$G279,4,FALSE)</f>
        <v>NA</v>
      </c>
      <c r="F162" s="94" t="str">
        <f>VLOOKUP($B162,'Rate card'!$A$4:$G279,5,FALSE)</f>
        <v>NA</v>
      </c>
      <c r="G162" s="94" t="str">
        <f>VLOOKUP($B162,'Rate card'!$A$4:$G279,6,FALSE)</f>
        <v>Ls</v>
      </c>
      <c r="I162" s="78" t="s">
        <v>16</v>
      </c>
      <c r="J162" s="80">
        <v>120000.0</v>
      </c>
      <c r="K162" s="568"/>
      <c r="L162" s="77" t="s">
        <v>16</v>
      </c>
      <c r="M162" s="80">
        <v>120000.0</v>
      </c>
      <c r="N162" s="67"/>
      <c r="O162" s="67"/>
      <c r="P162" s="67"/>
      <c r="Q162" s="67"/>
      <c r="R162" s="67"/>
      <c r="S162" s="67"/>
      <c r="T162" s="67"/>
      <c r="U162" s="67"/>
      <c r="V162" s="67"/>
      <c r="W162" s="67"/>
      <c r="X162" s="67"/>
      <c r="Y162" s="1"/>
      <c r="Z162" s="1"/>
      <c r="AA162" s="1"/>
      <c r="AB162" s="1"/>
      <c r="AC162" s="1"/>
      <c r="AD162" s="1"/>
      <c r="AE162" s="1"/>
      <c r="AF162" s="1"/>
      <c r="AG162" s="1"/>
      <c r="AH162" s="1"/>
      <c r="AI162" s="1"/>
      <c r="AJ162" s="1"/>
      <c r="AK162" s="1"/>
      <c r="AL162" s="1"/>
      <c r="AM162" s="1"/>
    </row>
    <row r="163">
      <c r="A163" s="31">
        <f t="shared" si="38"/>
        <v>3</v>
      </c>
      <c r="B163" s="62" t="s">
        <v>307</v>
      </c>
      <c r="C163" s="94" t="str">
        <f>VLOOKUP($B163,'Rate card'!$A$4:$G279,2,FALSE)</f>
        <v>MISCELLENIOUS</v>
      </c>
      <c r="D163" s="94" t="str">
        <f>VLOOKUP($B163,'Rate card'!$A$4:$G279,3,FALSE)</f>
        <v>NA</v>
      </c>
      <c r="E163" s="94" t="str">
        <f>VLOOKUP($B163,'Rate card'!$A$4:$G279,4,FALSE)</f>
        <v>NA</v>
      </c>
      <c r="F163" s="94" t="str">
        <f>VLOOKUP($B163,'Rate card'!$A$4:$G279,5,FALSE)</f>
        <v>Floor Covering, Doors and Windows Covering</v>
      </c>
      <c r="G163" s="94" t="str">
        <f>VLOOKUP($B163,'Rate card'!$A$4:$G279,6,FALSE)</f>
        <v>Ls</v>
      </c>
      <c r="I163" s="78" t="s">
        <v>16</v>
      </c>
      <c r="J163" s="79">
        <f>M163*I163</f>
        <v>30000</v>
      </c>
      <c r="K163" s="568"/>
      <c r="L163" s="77" t="s">
        <v>16</v>
      </c>
      <c r="M163" s="80">
        <v>30000.0</v>
      </c>
      <c r="N163" s="67"/>
      <c r="O163" s="67"/>
      <c r="P163" s="67"/>
      <c r="Q163" s="67"/>
      <c r="R163" s="67"/>
      <c r="S163" s="67"/>
      <c r="T163" s="67"/>
      <c r="U163" s="67"/>
      <c r="V163" s="67"/>
      <c r="W163" s="67"/>
      <c r="X163" s="67"/>
      <c r="Y163" s="1"/>
      <c r="Z163" s="1"/>
      <c r="AA163" s="1"/>
      <c r="AB163" s="1"/>
      <c r="AC163" s="1"/>
      <c r="AD163" s="1"/>
      <c r="AE163" s="1"/>
      <c r="AF163" s="1"/>
      <c r="AG163" s="1"/>
      <c r="AH163" s="1"/>
      <c r="AI163" s="1"/>
      <c r="AJ163" s="1"/>
      <c r="AK163" s="1"/>
      <c r="AL163" s="1"/>
      <c r="AM163" s="1"/>
    </row>
    <row r="164">
      <c r="A164" s="67"/>
      <c r="B164" s="67"/>
      <c r="C164" s="67"/>
      <c r="D164" s="67"/>
      <c r="E164" s="67"/>
      <c r="F164" s="67"/>
      <c r="G164" s="67"/>
      <c r="H164" s="79"/>
      <c r="I164" s="83" t="s">
        <v>125</v>
      </c>
      <c r="J164" s="92">
        <f>SUM(J161:J163)</f>
        <v>190000</v>
      </c>
      <c r="K164" s="568"/>
      <c r="L164" s="83" t="s">
        <v>125</v>
      </c>
      <c r="M164" s="92">
        <f>SUM(M161:M163)</f>
        <v>190000</v>
      </c>
      <c r="N164" s="67"/>
      <c r="O164" s="67"/>
      <c r="P164" s="67"/>
      <c r="Q164" s="67"/>
      <c r="R164" s="67"/>
      <c r="S164" s="67"/>
      <c r="T164" s="67"/>
      <c r="U164" s="67"/>
      <c r="V164" s="67"/>
      <c r="W164" s="67"/>
      <c r="X164" s="67"/>
      <c r="Y164" s="1"/>
      <c r="Z164" s="1"/>
      <c r="AA164" s="1"/>
      <c r="AB164" s="1"/>
      <c r="AC164" s="1"/>
      <c r="AD164" s="1"/>
      <c r="AE164" s="1"/>
      <c r="AF164" s="1"/>
      <c r="AG164" s="1"/>
      <c r="AH164" s="1"/>
      <c r="AI164" s="1"/>
      <c r="AJ164" s="1"/>
      <c r="AK164" s="1"/>
      <c r="AL164" s="1"/>
      <c r="AM164" s="1"/>
    </row>
    <row r="165">
      <c r="A165" s="24"/>
      <c r="B165" s="28"/>
      <c r="C165" s="28"/>
      <c r="D165" s="28"/>
      <c r="E165" s="28"/>
      <c r="F165" s="28"/>
      <c r="G165" s="28"/>
      <c r="H165" s="64"/>
      <c r="I165" s="25"/>
      <c r="J165" s="98"/>
      <c r="K165" s="569"/>
      <c r="L165" s="40"/>
      <c r="M165" s="28"/>
      <c r="N165" s="67"/>
      <c r="O165" s="67"/>
      <c r="P165" s="67"/>
      <c r="Q165" s="67"/>
      <c r="R165" s="67"/>
      <c r="S165" s="67"/>
      <c r="T165" s="67"/>
      <c r="U165" s="67"/>
      <c r="V165" s="67"/>
      <c r="W165" s="67"/>
      <c r="X165" s="67"/>
      <c r="Y165" s="1"/>
      <c r="Z165" s="1"/>
      <c r="AA165" s="1"/>
      <c r="AB165" s="1"/>
      <c r="AC165" s="1"/>
      <c r="AD165" s="1"/>
      <c r="AE165" s="1"/>
      <c r="AF165" s="1"/>
      <c r="AG165" s="1"/>
      <c r="AH165" s="1"/>
      <c r="AI165" s="1"/>
      <c r="AJ165" s="1"/>
      <c r="AK165" s="1"/>
      <c r="AL165" s="1"/>
      <c r="AM165" s="1"/>
    </row>
    <row r="166">
      <c r="A166" s="67"/>
      <c r="B166" s="67"/>
      <c r="C166" s="67"/>
      <c r="D166" s="67"/>
      <c r="E166" s="67"/>
      <c r="F166" s="67"/>
      <c r="G166" s="67"/>
      <c r="H166" s="79"/>
      <c r="I166" s="77"/>
      <c r="J166" s="79"/>
      <c r="K166" s="533"/>
      <c r="L166" s="77"/>
      <c r="M166" s="67"/>
      <c r="N166" s="67"/>
      <c r="O166" s="67"/>
      <c r="P166" s="67"/>
      <c r="Q166" s="67"/>
      <c r="R166" s="67"/>
      <c r="S166" s="67"/>
      <c r="T166" s="67"/>
      <c r="U166" s="67"/>
      <c r="V166" s="67"/>
      <c r="W166" s="67"/>
      <c r="X166" s="67"/>
      <c r="Y166" s="1"/>
      <c r="Z166" s="1"/>
      <c r="AA166" s="1"/>
      <c r="AB166" s="1"/>
      <c r="AC166" s="1"/>
      <c r="AD166" s="1"/>
      <c r="AE166" s="1"/>
      <c r="AF166" s="1"/>
      <c r="AG166" s="1"/>
      <c r="AH166" s="1"/>
      <c r="AI166" s="1"/>
      <c r="AJ166" s="1"/>
      <c r="AK166" s="1"/>
      <c r="AL166" s="1"/>
      <c r="AM166" s="1"/>
    </row>
    <row r="167">
      <c r="A167" s="67"/>
      <c r="B167" s="67"/>
      <c r="C167" s="67"/>
      <c r="D167" s="67"/>
      <c r="E167" s="67"/>
      <c r="F167" s="67"/>
      <c r="G167" s="67"/>
      <c r="H167" s="79"/>
      <c r="I167" s="77"/>
      <c r="J167" s="79"/>
      <c r="K167" s="533"/>
      <c r="L167" s="77"/>
      <c r="M167" s="67"/>
      <c r="N167" s="67"/>
      <c r="O167" s="67"/>
      <c r="P167" s="67"/>
      <c r="Q167" s="67"/>
      <c r="R167" s="67"/>
      <c r="S167" s="67"/>
      <c r="T167" s="67"/>
      <c r="U167" s="67"/>
      <c r="V167" s="67"/>
      <c r="W167" s="67"/>
      <c r="X167" s="67"/>
      <c r="Y167" s="1"/>
      <c r="Z167" s="1"/>
      <c r="AA167" s="1"/>
      <c r="AB167" s="1"/>
      <c r="AC167" s="1"/>
      <c r="AD167" s="1"/>
      <c r="AE167" s="1"/>
      <c r="AF167" s="1"/>
      <c r="AG167" s="1"/>
      <c r="AH167" s="1"/>
      <c r="AI167" s="1"/>
      <c r="AJ167" s="1"/>
      <c r="AK167" s="1"/>
      <c r="AL167" s="1"/>
      <c r="AM167" s="1"/>
    </row>
    <row r="168">
      <c r="A168" s="570" t="s">
        <v>685</v>
      </c>
      <c r="B168" s="571"/>
      <c r="C168" s="571"/>
      <c r="D168" s="571"/>
      <c r="E168" s="571"/>
      <c r="F168" s="571"/>
      <c r="G168" s="571"/>
      <c r="H168" s="572"/>
      <c r="I168" s="572"/>
      <c r="J168" s="572"/>
      <c r="K168" s="535"/>
      <c r="L168" s="68"/>
      <c r="M168" s="69"/>
      <c r="N168" s="76"/>
      <c r="O168" s="76"/>
      <c r="P168" s="67"/>
      <c r="Q168" s="67"/>
      <c r="R168" s="67"/>
      <c r="S168" s="67"/>
      <c r="T168" s="67"/>
      <c r="U168" s="67"/>
      <c r="V168" s="67"/>
      <c r="W168" s="67"/>
      <c r="X168" s="67"/>
      <c r="Y168" s="1"/>
      <c r="Z168" s="1"/>
      <c r="AA168" s="1"/>
      <c r="AB168" s="1"/>
      <c r="AC168" s="1"/>
      <c r="AD168" s="1"/>
      <c r="AE168" s="1"/>
      <c r="AF168" s="1"/>
      <c r="AG168" s="1"/>
      <c r="AH168" s="1"/>
      <c r="AI168" s="1"/>
      <c r="AJ168" s="1"/>
      <c r="AK168" s="1"/>
      <c r="AL168" s="1"/>
      <c r="AM168" s="1"/>
    </row>
    <row r="169">
      <c r="A169" s="55" t="s">
        <v>40</v>
      </c>
      <c r="B169" s="56" t="s">
        <v>41</v>
      </c>
      <c r="C169" s="57" t="s">
        <v>42</v>
      </c>
      <c r="D169" s="57" t="s">
        <v>43</v>
      </c>
      <c r="E169" s="57" t="s">
        <v>44</v>
      </c>
      <c r="F169" s="57" t="s">
        <v>45</v>
      </c>
      <c r="G169" s="57" t="s">
        <v>46</v>
      </c>
      <c r="H169" s="58" t="s">
        <v>47</v>
      </c>
      <c r="I169" s="59" t="s">
        <v>686</v>
      </c>
      <c r="J169" s="58" t="s">
        <v>14</v>
      </c>
      <c r="K169" s="573"/>
      <c r="L169" s="86"/>
      <c r="M169" s="574"/>
      <c r="N169" s="67"/>
      <c r="O169" s="67"/>
      <c r="P169" s="67"/>
      <c r="Q169" s="67"/>
      <c r="R169" s="67"/>
      <c r="S169" s="67"/>
      <c r="T169" s="67"/>
      <c r="U169" s="67"/>
      <c r="V169" s="67"/>
      <c r="W169" s="67"/>
      <c r="X169" s="67"/>
      <c r="Y169" s="1"/>
      <c r="Z169" s="1"/>
      <c r="AA169" s="1"/>
      <c r="AB169" s="1"/>
      <c r="AC169" s="1"/>
      <c r="AD169" s="1"/>
      <c r="AE169" s="1"/>
      <c r="AF169" s="1"/>
      <c r="AG169" s="1"/>
      <c r="AH169" s="1"/>
      <c r="AI169" s="1"/>
      <c r="AJ169" s="1"/>
      <c r="AK169" s="1"/>
      <c r="AL169" s="1"/>
      <c r="AM169" s="1"/>
    </row>
    <row r="170">
      <c r="A170" s="24" t="s">
        <v>20</v>
      </c>
      <c r="B170" s="28"/>
      <c r="C170" s="28"/>
      <c r="D170" s="28"/>
      <c r="E170" s="28"/>
      <c r="F170" s="28"/>
      <c r="G170" s="28"/>
      <c r="H170" s="64"/>
      <c r="I170" s="64"/>
      <c r="J170" s="64"/>
      <c r="K170" s="535"/>
      <c r="L170" s="68"/>
      <c r="M170" s="68"/>
      <c r="N170" s="76"/>
      <c r="O170" s="76"/>
      <c r="P170" s="67"/>
      <c r="Q170" s="67"/>
      <c r="R170" s="67"/>
      <c r="S170" s="67"/>
      <c r="T170" s="67"/>
      <c r="U170" s="67"/>
      <c r="V170" s="67"/>
      <c r="W170" s="67"/>
      <c r="X170" s="67"/>
      <c r="Y170" s="1"/>
      <c r="Z170" s="1"/>
      <c r="AA170" s="1"/>
      <c r="AB170" s="1"/>
      <c r="AC170" s="1"/>
      <c r="AD170" s="1"/>
      <c r="AE170" s="1"/>
      <c r="AF170" s="1"/>
      <c r="AG170" s="1"/>
      <c r="AH170" s="1"/>
      <c r="AI170" s="1"/>
      <c r="AJ170" s="1"/>
      <c r="AK170" s="1"/>
      <c r="AL170" s="1"/>
      <c r="AM170" s="1"/>
    </row>
    <row r="171">
      <c r="A171" s="63" t="s">
        <v>161</v>
      </c>
      <c r="B171" s="28"/>
      <c r="C171" s="28"/>
      <c r="D171" s="28"/>
      <c r="E171" s="28"/>
      <c r="F171" s="28"/>
      <c r="G171" s="28"/>
      <c r="H171" s="64"/>
      <c r="I171" s="64"/>
      <c r="J171" s="64"/>
      <c r="K171" s="535"/>
      <c r="L171" s="68"/>
      <c r="M171" s="68"/>
      <c r="N171" s="67"/>
      <c r="O171" s="67"/>
      <c r="P171" s="67"/>
      <c r="Q171" s="67"/>
      <c r="R171" s="67"/>
      <c r="S171" s="67"/>
      <c r="T171" s="67"/>
      <c r="U171" s="67"/>
      <c r="V171" s="67"/>
      <c r="W171" s="67"/>
      <c r="X171" s="67"/>
      <c r="Y171" s="1"/>
      <c r="Z171" s="1"/>
      <c r="AA171" s="1"/>
      <c r="AB171" s="1"/>
      <c r="AC171" s="1"/>
      <c r="AD171" s="1"/>
      <c r="AE171" s="1"/>
      <c r="AF171" s="1"/>
      <c r="AG171" s="1"/>
      <c r="AH171" s="1"/>
      <c r="AI171" s="1"/>
      <c r="AJ171" s="1"/>
      <c r="AK171" s="1"/>
      <c r="AL171" s="1"/>
      <c r="AM171" s="1"/>
    </row>
    <row r="172">
      <c r="A172" s="31" t="s">
        <v>16</v>
      </c>
      <c r="B172" s="62"/>
      <c r="C172" s="76" t="s">
        <v>59</v>
      </c>
      <c r="D172" s="75" t="s">
        <v>687</v>
      </c>
      <c r="E172" s="76" t="s">
        <v>61</v>
      </c>
      <c r="F172" s="76" t="s">
        <v>59</v>
      </c>
      <c r="G172" s="76" t="s">
        <v>175</v>
      </c>
      <c r="H172" s="80">
        <v>40.0</v>
      </c>
      <c r="I172" s="78">
        <f>96+40+200</f>
        <v>336</v>
      </c>
      <c r="J172" s="79">
        <f t="shared" ref="J172:J173" si="39">H172*I172</f>
        <v>13440</v>
      </c>
      <c r="K172" s="537"/>
      <c r="L172" s="33"/>
      <c r="M172" s="75"/>
      <c r="N172" s="67"/>
      <c r="O172" s="67"/>
      <c r="P172" s="67"/>
      <c r="Q172" s="67"/>
      <c r="R172" s="67"/>
      <c r="S172" s="67"/>
      <c r="T172" s="67"/>
      <c r="U172" s="67"/>
      <c r="V172" s="67"/>
      <c r="W172" s="67"/>
      <c r="X172" s="67"/>
      <c r="Y172" s="1"/>
      <c r="Z172" s="1"/>
      <c r="AA172" s="1"/>
      <c r="AB172" s="1"/>
      <c r="AC172" s="1"/>
      <c r="AD172" s="1"/>
      <c r="AE172" s="1"/>
      <c r="AF172" s="1"/>
      <c r="AG172" s="1"/>
      <c r="AH172" s="1"/>
      <c r="AI172" s="1"/>
      <c r="AJ172" s="1"/>
      <c r="AK172" s="1"/>
      <c r="AL172" s="1"/>
      <c r="AM172" s="1"/>
    </row>
    <row r="173">
      <c r="A173" s="31" t="s">
        <v>18</v>
      </c>
      <c r="B173" s="62"/>
      <c r="C173" s="76" t="s">
        <v>59</v>
      </c>
      <c r="D173" s="75" t="s">
        <v>349</v>
      </c>
      <c r="E173" s="76" t="s">
        <v>61</v>
      </c>
      <c r="F173" s="76" t="s">
        <v>59</v>
      </c>
      <c r="G173" s="76" t="s">
        <v>175</v>
      </c>
      <c r="H173" s="80">
        <v>5000.0</v>
      </c>
      <c r="I173" s="78" t="s">
        <v>16</v>
      </c>
      <c r="J173" s="79">
        <f t="shared" si="39"/>
        <v>5000</v>
      </c>
      <c r="K173" s="537"/>
      <c r="L173" s="33"/>
      <c r="M173" s="75"/>
      <c r="N173" s="67"/>
      <c r="O173" s="67"/>
      <c r="P173" s="67"/>
      <c r="Q173" s="67"/>
      <c r="R173" s="67"/>
      <c r="S173" s="67"/>
      <c r="T173" s="67"/>
      <c r="U173" s="67"/>
      <c r="V173" s="67"/>
      <c r="W173" s="67"/>
      <c r="X173" s="67"/>
      <c r="Y173" s="1"/>
      <c r="Z173" s="1"/>
      <c r="AA173" s="1"/>
      <c r="AB173" s="1"/>
      <c r="AC173" s="1"/>
      <c r="AD173" s="1"/>
      <c r="AE173" s="1"/>
      <c r="AF173" s="1"/>
      <c r="AG173" s="1"/>
      <c r="AH173" s="1"/>
      <c r="AI173" s="1"/>
      <c r="AJ173" s="1"/>
      <c r="AK173" s="1"/>
      <c r="AL173" s="1"/>
      <c r="AM173" s="1"/>
    </row>
    <row r="174">
      <c r="A174" s="30" t="s">
        <v>688</v>
      </c>
      <c r="B174" s="28"/>
      <c r="C174" s="28"/>
      <c r="D174" s="28"/>
      <c r="E174" s="28"/>
      <c r="F174" s="28"/>
      <c r="G174" s="28"/>
      <c r="H174" s="64"/>
      <c r="I174" s="40"/>
      <c r="J174" s="64"/>
      <c r="K174" s="535"/>
      <c r="L174" s="31" t="s">
        <v>308</v>
      </c>
      <c r="M174" s="76"/>
      <c r="N174" s="67"/>
      <c r="O174" s="67"/>
      <c r="P174" s="67"/>
      <c r="Q174" s="67"/>
      <c r="R174" s="67"/>
      <c r="S174" s="67"/>
      <c r="T174" s="67"/>
      <c r="U174" s="67"/>
      <c r="V174" s="67"/>
      <c r="W174" s="67"/>
      <c r="X174" s="67"/>
      <c r="Y174" s="1"/>
      <c r="Z174" s="1"/>
      <c r="AA174" s="1"/>
      <c r="AB174" s="1"/>
      <c r="AC174" s="1"/>
      <c r="AD174" s="1"/>
      <c r="AE174" s="1"/>
      <c r="AF174" s="1"/>
      <c r="AG174" s="1"/>
      <c r="AH174" s="1"/>
      <c r="AI174" s="1"/>
      <c r="AJ174" s="1"/>
      <c r="AK174" s="1"/>
      <c r="AL174" s="1"/>
      <c r="AM174" s="1"/>
    </row>
    <row r="175">
      <c r="A175" s="31" t="s">
        <v>16</v>
      </c>
      <c r="B175" s="31" t="s">
        <v>576</v>
      </c>
      <c r="C175" s="33" t="str">
        <f>VLOOKUP($B175,'Rate card'!$A$4:$G279,2,FALSE)</f>
        <v>Civil</v>
      </c>
      <c r="D175" s="31" t="s">
        <v>119</v>
      </c>
      <c r="E175" s="31" t="s">
        <v>119</v>
      </c>
      <c r="F175" s="33"/>
      <c r="G175" s="33" t="str">
        <f>VLOOKUP($B175,'Rate card'!$A$4:$G279,6,FALSE)</f>
        <v>Sqft</v>
      </c>
      <c r="H175" s="32">
        <v>2000.0</v>
      </c>
      <c r="I175" s="31">
        <f>3*1.5</f>
        <v>4.5</v>
      </c>
      <c r="J175" s="69">
        <f t="shared" ref="J175:J177" si="40">H175*I175</f>
        <v>9000</v>
      </c>
      <c r="K175" s="537"/>
      <c r="L175" s="33"/>
      <c r="M175" s="32"/>
      <c r="N175" s="76"/>
      <c r="O175" s="76"/>
      <c r="P175" s="76"/>
      <c r="Q175" s="76"/>
      <c r="R175" s="76"/>
      <c r="S175" s="76"/>
      <c r="T175" s="76"/>
      <c r="U175" s="76"/>
      <c r="V175" s="76"/>
      <c r="W175" s="76"/>
      <c r="X175" s="76"/>
      <c r="Y175" s="52"/>
      <c r="Z175" s="52"/>
      <c r="AA175" s="52"/>
      <c r="AB175" s="52"/>
      <c r="AC175" s="52"/>
      <c r="AD175" s="52"/>
      <c r="AE175" s="52"/>
      <c r="AF175" s="52"/>
      <c r="AG175" s="52"/>
      <c r="AH175" s="52"/>
      <c r="AI175" s="52"/>
      <c r="AJ175" s="52"/>
      <c r="AK175" s="52"/>
      <c r="AL175" s="52"/>
      <c r="AM175" s="52"/>
    </row>
    <row r="176">
      <c r="A176" s="31" t="s">
        <v>18</v>
      </c>
      <c r="B176" s="31" t="s">
        <v>689</v>
      </c>
      <c r="C176" s="33" t="str">
        <f>VLOOKUP($B176,'Rate card'!$A$4:$G279,2,FALSE)</f>
        <v>Civil</v>
      </c>
      <c r="D176" s="31" t="s">
        <v>117</v>
      </c>
      <c r="E176" s="33" t="str">
        <f>VLOOKUP($B176,'Rate card'!$A$4:$G279,4,FALSE)</f>
        <v/>
      </c>
      <c r="F176" s="33"/>
      <c r="G176" s="31" t="s">
        <v>185</v>
      </c>
      <c r="H176" s="32">
        <v>5000.0</v>
      </c>
      <c r="I176" s="31" t="s">
        <v>24</v>
      </c>
      <c r="J176" s="69">
        <f t="shared" si="40"/>
        <v>15000</v>
      </c>
      <c r="K176" s="537"/>
      <c r="L176" s="33"/>
      <c r="M176" s="32"/>
      <c r="N176" s="76"/>
      <c r="O176" s="76"/>
      <c r="P176" s="76"/>
      <c r="Q176" s="76"/>
      <c r="R176" s="76"/>
      <c r="S176" s="76"/>
      <c r="T176" s="76"/>
      <c r="U176" s="76"/>
      <c r="V176" s="76"/>
      <c r="W176" s="76"/>
      <c r="X176" s="76"/>
      <c r="Y176" s="52"/>
      <c r="Z176" s="52"/>
      <c r="AA176" s="52"/>
      <c r="AB176" s="52"/>
      <c r="AC176" s="52"/>
      <c r="AD176" s="52"/>
      <c r="AE176" s="52"/>
      <c r="AF176" s="52"/>
      <c r="AG176" s="52"/>
      <c r="AH176" s="52"/>
      <c r="AI176" s="52"/>
      <c r="AJ176" s="52"/>
      <c r="AK176" s="52"/>
      <c r="AL176" s="52"/>
      <c r="AM176" s="52"/>
    </row>
    <row r="177" ht="75.0" customHeight="1">
      <c r="A177" s="31" t="s">
        <v>24</v>
      </c>
      <c r="B177" s="31"/>
      <c r="C177" s="76" t="s">
        <v>20</v>
      </c>
      <c r="D177" s="76" t="s">
        <v>566</v>
      </c>
      <c r="E177" s="31" t="s">
        <v>690</v>
      </c>
      <c r="F177" s="33" t="s">
        <v>567</v>
      </c>
      <c r="G177" s="33" t="str">
        <f>G176</f>
        <v>LS</v>
      </c>
      <c r="H177" s="32">
        <v>150.0</v>
      </c>
      <c r="I177" s="31">
        <f>5*10</f>
        <v>50</v>
      </c>
      <c r="J177" s="69">
        <f t="shared" si="40"/>
        <v>7500</v>
      </c>
      <c r="K177" s="537"/>
      <c r="L177" s="33"/>
      <c r="M177" s="32"/>
      <c r="N177" s="76"/>
      <c r="O177" s="76"/>
      <c r="P177" s="76"/>
      <c r="Q177" s="76"/>
      <c r="R177" s="76"/>
      <c r="S177" s="76"/>
      <c r="T177" s="76"/>
      <c r="U177" s="76"/>
      <c r="V177" s="76"/>
      <c r="W177" s="76"/>
      <c r="X177" s="76"/>
      <c r="Y177" s="52"/>
      <c r="Z177" s="52"/>
      <c r="AA177" s="52"/>
      <c r="AB177" s="52"/>
      <c r="AC177" s="52"/>
      <c r="AD177" s="52"/>
      <c r="AE177" s="52"/>
      <c r="AF177" s="52"/>
      <c r="AG177" s="52"/>
      <c r="AH177" s="52"/>
      <c r="AI177" s="52"/>
      <c r="AJ177" s="52"/>
      <c r="AK177" s="52"/>
      <c r="AL177" s="52"/>
      <c r="AM177" s="52"/>
    </row>
    <row r="178">
      <c r="A178" s="30" t="s">
        <v>691</v>
      </c>
      <c r="B178" s="28"/>
      <c r="C178" s="28"/>
      <c r="D178" s="28"/>
      <c r="E178" s="28"/>
      <c r="F178" s="28"/>
      <c r="G178" s="28"/>
      <c r="H178" s="64"/>
      <c r="I178" s="40"/>
      <c r="J178" s="64"/>
      <c r="K178" s="535"/>
      <c r="L178" s="33"/>
      <c r="M178" s="76"/>
      <c r="N178" s="67"/>
      <c r="O178" s="67"/>
      <c r="P178" s="67"/>
      <c r="Q178" s="67"/>
      <c r="R178" s="67"/>
      <c r="S178" s="67"/>
      <c r="T178" s="67"/>
      <c r="U178" s="67"/>
      <c r="V178" s="67"/>
      <c r="W178" s="67"/>
      <c r="X178" s="67"/>
      <c r="Y178" s="1"/>
      <c r="Z178" s="1"/>
      <c r="AA178" s="1"/>
      <c r="AB178" s="1"/>
      <c r="AC178" s="1"/>
      <c r="AD178" s="1"/>
      <c r="AE178" s="1"/>
      <c r="AF178" s="1"/>
      <c r="AG178" s="1"/>
      <c r="AH178" s="1"/>
      <c r="AI178" s="1"/>
      <c r="AJ178" s="1"/>
      <c r="AK178" s="1"/>
      <c r="AL178" s="1"/>
      <c r="AM178" s="1"/>
    </row>
    <row r="179">
      <c r="A179" s="31" t="s">
        <v>16</v>
      </c>
      <c r="B179" s="31" t="s">
        <v>576</v>
      </c>
      <c r="C179" s="33" t="str">
        <f>VLOOKUP($B179,'Rate card'!$A$4:$G279,2,FALSE)</f>
        <v>Civil</v>
      </c>
      <c r="D179" s="31" t="s">
        <v>119</v>
      </c>
      <c r="E179" s="31" t="s">
        <v>119</v>
      </c>
      <c r="F179" s="33"/>
      <c r="G179" s="33" t="str">
        <f>VLOOKUP($B179,'Rate card'!$A$4:$G279,6,FALSE)</f>
        <v>Sqft</v>
      </c>
      <c r="H179" s="32">
        <v>2000.0</v>
      </c>
      <c r="I179" s="31">
        <f>3*1.5</f>
        <v>4.5</v>
      </c>
      <c r="J179" s="69">
        <f t="shared" ref="J179:J180" si="41">H179*I179</f>
        <v>9000</v>
      </c>
      <c r="K179" s="537"/>
      <c r="L179" s="33"/>
      <c r="M179" s="32"/>
      <c r="N179" s="76"/>
      <c r="O179" s="76"/>
      <c r="P179" s="76"/>
      <c r="Q179" s="76"/>
      <c r="R179" s="76"/>
      <c r="S179" s="76"/>
      <c r="T179" s="76"/>
      <c r="U179" s="76"/>
      <c r="V179" s="76"/>
      <c r="W179" s="76"/>
      <c r="X179" s="76"/>
      <c r="Y179" s="52"/>
      <c r="Z179" s="52"/>
      <c r="AA179" s="52"/>
      <c r="AB179" s="52"/>
      <c r="AC179" s="52"/>
      <c r="AD179" s="52"/>
      <c r="AE179" s="52"/>
      <c r="AF179" s="52"/>
      <c r="AG179" s="52"/>
      <c r="AH179" s="52"/>
      <c r="AI179" s="52"/>
      <c r="AJ179" s="52"/>
      <c r="AK179" s="52"/>
      <c r="AL179" s="52"/>
      <c r="AM179" s="52"/>
    </row>
    <row r="180">
      <c r="A180" s="31" t="s">
        <v>18</v>
      </c>
      <c r="B180" s="31" t="s">
        <v>689</v>
      </c>
      <c r="C180" s="33" t="str">
        <f>VLOOKUP($B180,'Rate card'!$A$4:$G279,2,FALSE)</f>
        <v>Civil</v>
      </c>
      <c r="D180" s="31" t="s">
        <v>117</v>
      </c>
      <c r="E180" s="33" t="str">
        <f>VLOOKUP($B180,'Rate card'!$A$4:$G279,4,FALSE)</f>
        <v/>
      </c>
      <c r="F180" s="33"/>
      <c r="G180" s="33" t="str">
        <f>VLOOKUP($B180,'Rate card'!$A$4:$G279,6,FALSE)</f>
        <v>Sqft</v>
      </c>
      <c r="H180" s="32">
        <v>5000.0</v>
      </c>
      <c r="I180" s="31" t="s">
        <v>18</v>
      </c>
      <c r="J180" s="69">
        <f t="shared" si="41"/>
        <v>10000</v>
      </c>
      <c r="K180" s="537"/>
      <c r="L180" s="33"/>
      <c r="M180" s="32"/>
      <c r="N180" s="76"/>
      <c r="O180" s="76"/>
      <c r="P180" s="76"/>
      <c r="Q180" s="76"/>
      <c r="R180" s="76"/>
      <c r="S180" s="76"/>
      <c r="T180" s="76"/>
      <c r="U180" s="76"/>
      <c r="V180" s="76"/>
      <c r="W180" s="76"/>
      <c r="X180" s="76"/>
      <c r="Y180" s="52"/>
      <c r="Z180" s="52"/>
      <c r="AA180" s="52"/>
      <c r="AB180" s="52"/>
      <c r="AC180" s="52"/>
      <c r="AD180" s="52"/>
      <c r="AE180" s="52"/>
      <c r="AF180" s="52"/>
      <c r="AG180" s="52"/>
      <c r="AH180" s="52"/>
      <c r="AI180" s="52"/>
      <c r="AJ180" s="52"/>
      <c r="AK180" s="52"/>
      <c r="AL180" s="52"/>
      <c r="AM180" s="52"/>
    </row>
    <row r="181">
      <c r="A181" s="30" t="s">
        <v>692</v>
      </c>
      <c r="B181" s="28"/>
      <c r="C181" s="28"/>
      <c r="D181" s="28"/>
      <c r="E181" s="28"/>
      <c r="F181" s="28"/>
      <c r="G181" s="28"/>
      <c r="H181" s="64"/>
      <c r="I181" s="40"/>
      <c r="J181" s="64"/>
      <c r="K181" s="535"/>
      <c r="L181" s="33"/>
      <c r="M181" s="76"/>
      <c r="N181" s="67"/>
      <c r="O181" s="67"/>
      <c r="P181" s="67"/>
      <c r="Q181" s="67"/>
      <c r="R181" s="67"/>
      <c r="S181" s="67"/>
      <c r="T181" s="67"/>
      <c r="U181" s="67"/>
      <c r="V181" s="67"/>
      <c r="W181" s="67"/>
      <c r="X181" s="67"/>
      <c r="Y181" s="1"/>
      <c r="Z181" s="1"/>
      <c r="AA181" s="1"/>
      <c r="AB181" s="1"/>
      <c r="AC181" s="1"/>
      <c r="AD181" s="1"/>
      <c r="AE181" s="1"/>
      <c r="AF181" s="1"/>
      <c r="AG181" s="1"/>
      <c r="AH181" s="1"/>
      <c r="AI181" s="1"/>
      <c r="AJ181" s="1"/>
      <c r="AK181" s="1"/>
      <c r="AL181" s="1"/>
      <c r="AM181" s="1"/>
    </row>
    <row r="182">
      <c r="A182" s="31" t="s">
        <v>16</v>
      </c>
      <c r="B182" s="31" t="s">
        <v>576</v>
      </c>
      <c r="C182" s="33" t="str">
        <f>VLOOKUP($B182,'Rate card'!$A$4:$G279,2,FALSE)</f>
        <v>Civil</v>
      </c>
      <c r="D182" s="31" t="s">
        <v>119</v>
      </c>
      <c r="E182" s="31" t="s">
        <v>119</v>
      </c>
      <c r="F182" s="33"/>
      <c r="G182" s="33" t="str">
        <f>VLOOKUP($B182,'Rate card'!$A$4:$G279,6,FALSE)</f>
        <v>Sqft</v>
      </c>
      <c r="H182" s="32">
        <v>2000.0</v>
      </c>
      <c r="I182" s="31">
        <f>3.3*1.6</f>
        <v>5.28</v>
      </c>
      <c r="J182" s="69">
        <f>I182*H182</f>
        <v>10560</v>
      </c>
      <c r="K182" s="537"/>
      <c r="L182" s="33"/>
      <c r="M182" s="32"/>
      <c r="N182" s="76"/>
      <c r="O182" s="76"/>
      <c r="P182" s="76"/>
      <c r="Q182" s="76"/>
      <c r="R182" s="76"/>
      <c r="S182" s="76"/>
      <c r="T182" s="76"/>
      <c r="U182" s="76"/>
      <c r="V182" s="76"/>
      <c r="W182" s="76"/>
      <c r="X182" s="76"/>
      <c r="Y182" s="52"/>
      <c r="Z182" s="52"/>
      <c r="AA182" s="52"/>
      <c r="AB182" s="52"/>
      <c r="AC182" s="52"/>
      <c r="AD182" s="52"/>
      <c r="AE182" s="52"/>
      <c r="AF182" s="52"/>
      <c r="AG182" s="52"/>
      <c r="AH182" s="52"/>
      <c r="AI182" s="52"/>
      <c r="AJ182" s="52"/>
      <c r="AK182" s="52"/>
      <c r="AL182" s="52"/>
      <c r="AM182" s="52"/>
    </row>
    <row r="183">
      <c r="A183" s="31" t="s">
        <v>18</v>
      </c>
      <c r="B183" s="31" t="s">
        <v>689</v>
      </c>
      <c r="C183" s="33" t="str">
        <f>VLOOKUP($B183,'Rate card'!$A$4:$G279,2,FALSE)</f>
        <v>Civil</v>
      </c>
      <c r="D183" s="31" t="s">
        <v>117</v>
      </c>
      <c r="E183" s="33" t="str">
        <f>VLOOKUP($B183,'Rate card'!$A$4:$G279,4,FALSE)</f>
        <v/>
      </c>
      <c r="F183" s="33"/>
      <c r="G183" s="33" t="str">
        <f>VLOOKUP($B183,'Rate card'!$A$4:$G279,6,FALSE)</f>
        <v>Sqft</v>
      </c>
      <c r="H183" s="32">
        <v>5000.0</v>
      </c>
      <c r="I183" s="31" t="s">
        <v>18</v>
      </c>
      <c r="J183" s="69">
        <f>I183*F183</f>
        <v>0</v>
      </c>
      <c r="K183" s="537"/>
      <c r="L183" s="33"/>
      <c r="M183" s="32"/>
      <c r="N183" s="76"/>
      <c r="O183" s="76"/>
      <c r="P183" s="76"/>
      <c r="Q183" s="76"/>
      <c r="R183" s="76"/>
      <c r="S183" s="76"/>
      <c r="T183" s="76"/>
      <c r="U183" s="76"/>
      <c r="V183" s="76"/>
      <c r="W183" s="76"/>
      <c r="X183" s="76"/>
      <c r="Y183" s="52"/>
      <c r="Z183" s="52"/>
      <c r="AA183" s="52"/>
      <c r="AB183" s="52"/>
      <c r="AC183" s="52"/>
      <c r="AD183" s="52"/>
      <c r="AE183" s="52"/>
      <c r="AF183" s="52"/>
      <c r="AG183" s="52"/>
      <c r="AH183" s="52"/>
      <c r="AI183" s="52"/>
      <c r="AJ183" s="52"/>
      <c r="AK183" s="52"/>
      <c r="AL183" s="52"/>
      <c r="AM183" s="52"/>
    </row>
    <row r="184" ht="75.0" customHeight="1">
      <c r="A184" s="31" t="s">
        <v>24</v>
      </c>
      <c r="B184" s="31"/>
      <c r="C184" s="76" t="s">
        <v>20</v>
      </c>
      <c r="D184" s="76" t="s">
        <v>566</v>
      </c>
      <c r="E184" s="31" t="s">
        <v>690</v>
      </c>
      <c r="F184" s="33" t="s">
        <v>567</v>
      </c>
      <c r="G184" s="33" t="str">
        <f>G183</f>
        <v>Sqft</v>
      </c>
      <c r="H184" s="32">
        <v>150.0</v>
      </c>
      <c r="I184" s="31" t="s">
        <v>693</v>
      </c>
      <c r="J184" s="69">
        <f>H184*I184</f>
        <v>4800</v>
      </c>
      <c r="K184" s="537"/>
      <c r="L184" s="33"/>
      <c r="M184" s="32"/>
      <c r="N184" s="76"/>
      <c r="O184" s="76"/>
      <c r="P184" s="76"/>
      <c r="Q184" s="76"/>
      <c r="R184" s="76"/>
      <c r="S184" s="76"/>
      <c r="T184" s="76"/>
      <c r="U184" s="76"/>
      <c r="V184" s="76"/>
      <c r="W184" s="76"/>
      <c r="X184" s="76"/>
      <c r="Y184" s="52"/>
      <c r="Z184" s="52"/>
      <c r="AA184" s="52"/>
      <c r="AB184" s="52"/>
      <c r="AC184" s="52"/>
      <c r="AD184" s="52"/>
      <c r="AE184" s="52"/>
      <c r="AF184" s="52"/>
      <c r="AG184" s="52"/>
      <c r="AH184" s="52"/>
      <c r="AI184" s="52"/>
      <c r="AJ184" s="52"/>
      <c r="AK184" s="52"/>
      <c r="AL184" s="52"/>
      <c r="AM184" s="52"/>
    </row>
    <row r="185">
      <c r="A185" s="30" t="s">
        <v>694</v>
      </c>
      <c r="B185" s="28"/>
      <c r="C185" s="28"/>
      <c r="D185" s="28"/>
      <c r="E185" s="28"/>
      <c r="F185" s="28"/>
      <c r="G185" s="28"/>
      <c r="H185" s="64"/>
      <c r="I185" s="40"/>
      <c r="J185" s="64"/>
      <c r="K185" s="535"/>
      <c r="L185" s="33"/>
      <c r="M185" s="76"/>
      <c r="N185" s="67"/>
      <c r="O185" s="67"/>
      <c r="P185" s="67"/>
      <c r="Q185" s="67"/>
      <c r="R185" s="67"/>
      <c r="S185" s="67"/>
      <c r="T185" s="67"/>
      <c r="U185" s="67"/>
      <c r="V185" s="67"/>
      <c r="W185" s="67"/>
      <c r="X185" s="67"/>
      <c r="Y185" s="1"/>
      <c r="Z185" s="1"/>
      <c r="AA185" s="1"/>
      <c r="AB185" s="1"/>
      <c r="AC185" s="1"/>
      <c r="AD185" s="1"/>
      <c r="AE185" s="1"/>
      <c r="AF185" s="1"/>
      <c r="AG185" s="1"/>
      <c r="AH185" s="1"/>
      <c r="AI185" s="1"/>
      <c r="AJ185" s="1"/>
      <c r="AK185" s="1"/>
      <c r="AL185" s="1"/>
      <c r="AM185" s="1"/>
    </row>
    <row r="186">
      <c r="A186" s="31" t="s">
        <v>16</v>
      </c>
      <c r="B186" s="31" t="s">
        <v>576</v>
      </c>
      <c r="C186" s="33" t="str">
        <f>VLOOKUP($B186,'Rate card'!$A$4:$G279,2,FALSE)</f>
        <v>Civil</v>
      </c>
      <c r="D186" s="31" t="s">
        <v>119</v>
      </c>
      <c r="E186" s="31" t="s">
        <v>119</v>
      </c>
      <c r="F186" s="33"/>
      <c r="G186" s="33" t="str">
        <f>VLOOKUP($B186,'Rate card'!$A$4:$G279,6,FALSE)</f>
        <v>Sqft</v>
      </c>
      <c r="H186" s="32">
        <v>2000.0</v>
      </c>
      <c r="I186" s="31" t="s">
        <v>24</v>
      </c>
      <c r="J186" s="69">
        <f>H186*I186</f>
        <v>6000</v>
      </c>
      <c r="K186" s="537"/>
      <c r="L186" s="33"/>
      <c r="M186" s="32"/>
      <c r="N186" s="76"/>
      <c r="O186" s="76"/>
      <c r="P186" s="76"/>
      <c r="Q186" s="76"/>
      <c r="R186" s="76"/>
      <c r="S186" s="76"/>
      <c r="T186" s="76"/>
      <c r="U186" s="76"/>
      <c r="V186" s="76"/>
      <c r="W186" s="76"/>
      <c r="X186" s="76"/>
      <c r="Y186" s="52"/>
      <c r="Z186" s="52"/>
      <c r="AA186" s="52"/>
      <c r="AB186" s="52"/>
      <c r="AC186" s="52"/>
      <c r="AD186" s="52"/>
      <c r="AE186" s="52"/>
      <c r="AF186" s="52"/>
      <c r="AG186" s="52"/>
      <c r="AH186" s="52"/>
      <c r="AI186" s="52"/>
      <c r="AJ186" s="52"/>
      <c r="AK186" s="52"/>
      <c r="AL186" s="52"/>
      <c r="AM186" s="52"/>
    </row>
    <row r="187">
      <c r="A187" s="30" t="s">
        <v>695</v>
      </c>
      <c r="B187" s="28"/>
      <c r="C187" s="28"/>
      <c r="D187" s="28"/>
      <c r="E187" s="28"/>
      <c r="F187" s="28"/>
      <c r="G187" s="28"/>
      <c r="H187" s="64"/>
      <c r="I187" s="40"/>
      <c r="J187" s="64"/>
      <c r="K187" s="535"/>
      <c r="L187" s="33"/>
      <c r="M187" s="76"/>
      <c r="N187" s="67"/>
      <c r="O187" s="67"/>
      <c r="P187" s="67"/>
      <c r="Q187" s="67"/>
      <c r="R187" s="67"/>
      <c r="S187" s="67"/>
      <c r="T187" s="67"/>
      <c r="U187" s="67"/>
      <c r="V187" s="67"/>
      <c r="W187" s="67"/>
      <c r="X187" s="67"/>
      <c r="Y187" s="1"/>
      <c r="Z187" s="1"/>
      <c r="AA187" s="1"/>
      <c r="AB187" s="1"/>
      <c r="AC187" s="1"/>
      <c r="AD187" s="1"/>
      <c r="AE187" s="1"/>
      <c r="AF187" s="1"/>
      <c r="AG187" s="1"/>
      <c r="AH187" s="1"/>
      <c r="AI187" s="1"/>
      <c r="AJ187" s="1"/>
      <c r="AK187" s="1"/>
      <c r="AL187" s="1"/>
      <c r="AM187" s="1"/>
    </row>
    <row r="188">
      <c r="A188" s="31" t="s">
        <v>16</v>
      </c>
      <c r="B188" s="62" t="s">
        <v>696</v>
      </c>
      <c r="C188" s="94" t="str">
        <f>VLOOKUP($B188,'Rate card'!$A$4:$G279,2,FALSE)</f>
        <v>Civil</v>
      </c>
      <c r="D188" s="94" t="str">
        <f>VLOOKUP($B188,'Rate card'!$A$4:$G279,3,FALSE)</f>
        <v>Marble fixing on Walls</v>
      </c>
      <c r="E188" s="62" t="s">
        <v>697</v>
      </c>
      <c r="F188" s="94"/>
      <c r="G188" s="94" t="str">
        <f>VLOOKUP($B188,'Rate card'!$A$4:$G279,6,FALSE)</f>
        <v>SFT</v>
      </c>
      <c r="H188" s="80"/>
      <c r="I188" s="31">
        <f>35</f>
        <v>35</v>
      </c>
      <c r="J188" s="79"/>
      <c r="K188" s="535"/>
      <c r="L188" s="33"/>
      <c r="M188" s="33"/>
      <c r="N188" s="77"/>
      <c r="O188" s="77"/>
      <c r="P188" s="67"/>
      <c r="Q188" s="67"/>
      <c r="R188" s="67"/>
      <c r="S188" s="67"/>
      <c r="T188" s="67"/>
      <c r="U188" s="67"/>
      <c r="V188" s="67"/>
      <c r="W188" s="67"/>
      <c r="X188" s="67"/>
      <c r="Y188" s="1"/>
      <c r="Z188" s="1"/>
      <c r="AA188" s="1"/>
      <c r="AB188" s="1"/>
      <c r="AC188" s="1"/>
      <c r="AD188" s="1"/>
      <c r="AE188" s="1"/>
      <c r="AF188" s="1"/>
      <c r="AG188" s="1"/>
      <c r="AH188" s="1"/>
      <c r="AI188" s="1"/>
      <c r="AJ188" s="1"/>
      <c r="AK188" s="1"/>
      <c r="AL188" s="1"/>
      <c r="AM188" s="1"/>
    </row>
    <row r="189">
      <c r="A189" s="30" t="s">
        <v>698</v>
      </c>
      <c r="B189" s="28"/>
      <c r="C189" s="28"/>
      <c r="D189" s="28"/>
      <c r="E189" s="28"/>
      <c r="F189" s="28"/>
      <c r="G189" s="28"/>
      <c r="H189" s="64"/>
      <c r="I189" s="64"/>
      <c r="J189" s="64"/>
      <c r="K189" s="535"/>
      <c r="L189" s="68"/>
      <c r="M189" s="68"/>
      <c r="N189" s="76"/>
      <c r="O189" s="76"/>
      <c r="P189" s="67"/>
      <c r="Q189" s="67"/>
      <c r="R189" s="67"/>
      <c r="S189" s="67"/>
      <c r="T189" s="67"/>
      <c r="U189" s="67"/>
      <c r="V189" s="67"/>
      <c r="W189" s="67"/>
      <c r="X189" s="67"/>
      <c r="Y189" s="1"/>
      <c r="Z189" s="1"/>
      <c r="AA189" s="1"/>
      <c r="AB189" s="1"/>
      <c r="AC189" s="1"/>
      <c r="AD189" s="1"/>
      <c r="AE189" s="1"/>
      <c r="AF189" s="1"/>
      <c r="AG189" s="1"/>
      <c r="AH189" s="1"/>
      <c r="AI189" s="1"/>
      <c r="AJ189" s="1"/>
      <c r="AK189" s="1"/>
      <c r="AL189" s="1"/>
      <c r="AM189" s="1"/>
    </row>
    <row r="190">
      <c r="A190" s="30" t="s">
        <v>699</v>
      </c>
      <c r="B190" s="28"/>
      <c r="C190" s="28"/>
      <c r="D190" s="28"/>
      <c r="E190" s="28"/>
      <c r="F190" s="28"/>
      <c r="G190" s="28"/>
      <c r="H190" s="64"/>
      <c r="I190" s="64"/>
      <c r="J190" s="64"/>
      <c r="K190" s="535"/>
      <c r="L190" s="68"/>
      <c r="M190" s="68"/>
      <c r="N190" s="67"/>
      <c r="O190" s="67"/>
      <c r="P190" s="67"/>
      <c r="Q190" s="67"/>
      <c r="R190" s="67"/>
      <c r="S190" s="67"/>
      <c r="T190" s="67"/>
      <c r="U190" s="67"/>
      <c r="V190" s="67"/>
      <c r="W190" s="67"/>
      <c r="X190" s="67"/>
      <c r="Y190" s="1"/>
      <c r="Z190" s="1"/>
      <c r="AA190" s="1"/>
      <c r="AB190" s="1"/>
      <c r="AC190" s="1"/>
      <c r="AD190" s="1"/>
      <c r="AE190" s="1"/>
      <c r="AF190" s="1"/>
      <c r="AG190" s="1"/>
      <c r="AH190" s="1"/>
      <c r="AI190" s="1"/>
      <c r="AJ190" s="1"/>
      <c r="AK190" s="1"/>
      <c r="AL190" s="1"/>
      <c r="AM190" s="1"/>
    </row>
    <row r="191">
      <c r="A191" s="63" t="s">
        <v>161</v>
      </c>
      <c r="B191" s="28"/>
      <c r="C191" s="28"/>
      <c r="D191" s="28"/>
      <c r="E191" s="28"/>
      <c r="F191" s="28"/>
      <c r="G191" s="28"/>
      <c r="H191" s="64"/>
      <c r="I191" s="64"/>
      <c r="J191" s="64"/>
      <c r="K191" s="535"/>
      <c r="L191" s="68"/>
      <c r="M191" s="68"/>
      <c r="N191" s="67"/>
      <c r="O191" s="67"/>
      <c r="P191" s="67"/>
      <c r="Q191" s="67"/>
      <c r="R191" s="67"/>
      <c r="S191" s="67"/>
      <c r="T191" s="67"/>
      <c r="U191" s="67"/>
      <c r="V191" s="67"/>
      <c r="W191" s="67"/>
      <c r="X191" s="67"/>
      <c r="Y191" s="1"/>
      <c r="Z191" s="1"/>
      <c r="AA191" s="1"/>
      <c r="AB191" s="1"/>
      <c r="AC191" s="1"/>
      <c r="AD191" s="1"/>
      <c r="AE191" s="1"/>
      <c r="AF191" s="1"/>
      <c r="AG191" s="1"/>
      <c r="AH191" s="1"/>
      <c r="AI191" s="1"/>
      <c r="AJ191" s="1"/>
      <c r="AK191" s="1"/>
      <c r="AL191" s="1"/>
      <c r="AM191" s="1"/>
    </row>
    <row r="192">
      <c r="A192" s="67"/>
      <c r="B192" s="67"/>
      <c r="C192" s="76" t="s">
        <v>31</v>
      </c>
      <c r="D192" s="75" t="s">
        <v>700</v>
      </c>
      <c r="E192" s="76" t="s">
        <v>701</v>
      </c>
      <c r="F192" s="76"/>
      <c r="G192" s="76" t="s">
        <v>560</v>
      </c>
      <c r="H192" s="75">
        <v>7000.0</v>
      </c>
      <c r="I192" s="31" t="s">
        <v>32</v>
      </c>
      <c r="J192" s="79">
        <f t="shared" ref="J192:J195" si="42">H192*I192</f>
        <v>42000</v>
      </c>
      <c r="K192" s="535"/>
      <c r="L192" s="33"/>
      <c r="M192" s="76"/>
      <c r="N192" s="67"/>
      <c r="O192" s="67"/>
      <c r="P192" s="67"/>
      <c r="Q192" s="67"/>
      <c r="R192" s="67"/>
      <c r="S192" s="67"/>
      <c r="T192" s="67"/>
      <c r="U192" s="67"/>
      <c r="V192" s="67"/>
      <c r="W192" s="67"/>
      <c r="X192" s="67"/>
      <c r="Y192" s="1"/>
      <c r="Z192" s="1"/>
      <c r="AA192" s="1"/>
      <c r="AB192" s="1"/>
      <c r="AC192" s="1"/>
      <c r="AD192" s="1"/>
      <c r="AE192" s="1"/>
      <c r="AF192" s="1"/>
      <c r="AG192" s="1"/>
      <c r="AH192" s="1"/>
      <c r="AI192" s="1"/>
      <c r="AJ192" s="1"/>
      <c r="AK192" s="1"/>
      <c r="AL192" s="1"/>
      <c r="AM192" s="1"/>
    </row>
    <row r="193">
      <c r="A193" s="67"/>
      <c r="B193" s="67"/>
      <c r="C193" s="76" t="s">
        <v>31</v>
      </c>
      <c r="D193" s="76" t="s">
        <v>702</v>
      </c>
      <c r="E193" s="76" t="s">
        <v>703</v>
      </c>
      <c r="F193" s="67"/>
      <c r="G193" s="76" t="s">
        <v>560</v>
      </c>
      <c r="H193" s="75">
        <v>3500.0</v>
      </c>
      <c r="I193" s="31" t="s">
        <v>32</v>
      </c>
      <c r="J193" s="79">
        <f t="shared" si="42"/>
        <v>21000</v>
      </c>
      <c r="K193" s="535"/>
      <c r="L193" s="33"/>
      <c r="M193" s="76"/>
      <c r="N193" s="67"/>
      <c r="O193" s="67"/>
      <c r="P193" s="67"/>
      <c r="Q193" s="67"/>
      <c r="R193" s="67"/>
      <c r="S193" s="67"/>
      <c r="T193" s="67"/>
      <c r="U193" s="67"/>
      <c r="V193" s="67"/>
      <c r="W193" s="67"/>
      <c r="X193" s="67"/>
      <c r="Y193" s="1"/>
      <c r="Z193" s="1"/>
      <c r="AA193" s="1"/>
      <c r="AB193" s="1"/>
      <c r="AC193" s="1"/>
      <c r="AD193" s="1"/>
      <c r="AE193" s="1"/>
      <c r="AF193" s="1"/>
      <c r="AG193" s="1"/>
      <c r="AH193" s="1"/>
      <c r="AI193" s="1"/>
      <c r="AJ193" s="1"/>
      <c r="AK193" s="1"/>
      <c r="AL193" s="1"/>
      <c r="AM193" s="1"/>
    </row>
    <row r="194">
      <c r="A194" s="62"/>
      <c r="B194" s="67"/>
      <c r="C194" s="94" t="str">
        <f>C93:F93</f>
        <v>Carpentry</v>
      </c>
      <c r="D194" s="94" t="str">
        <f t="shared" ref="D194:F194" si="43">D93</f>
        <v>Panelling with framing</v>
      </c>
      <c r="E194" s="94" t="str">
        <f t="shared" si="43"/>
        <v>Mirror Finish</v>
      </c>
      <c r="F194" s="94" t="str">
        <f t="shared" si="43"/>
        <v>MR ply + ply framing + 5mm clear mirror</v>
      </c>
      <c r="G194" s="62" t="s">
        <v>175</v>
      </c>
      <c r="H194" s="62">
        <v>750.0</v>
      </c>
      <c r="I194" s="77">
        <f>4.25*9+2.5*10</f>
        <v>63.25</v>
      </c>
      <c r="J194" s="79">
        <f t="shared" si="42"/>
        <v>47437.5</v>
      </c>
      <c r="K194" s="535"/>
      <c r="L194" s="33"/>
      <c r="M194" s="76"/>
      <c r="N194" s="67"/>
      <c r="O194" s="67"/>
      <c r="P194" s="67"/>
      <c r="Q194" s="67"/>
      <c r="R194" s="67"/>
      <c r="S194" s="67"/>
      <c r="T194" s="67"/>
      <c r="U194" s="67"/>
      <c r="V194" s="67"/>
      <c r="W194" s="67"/>
      <c r="X194" s="67"/>
      <c r="Y194" s="1"/>
      <c r="Z194" s="1"/>
      <c r="AA194" s="1"/>
      <c r="AB194" s="1"/>
      <c r="AC194" s="1"/>
      <c r="AD194" s="1"/>
      <c r="AE194" s="1"/>
      <c r="AF194" s="1"/>
      <c r="AG194" s="1"/>
      <c r="AH194" s="1"/>
      <c r="AI194" s="1"/>
      <c r="AJ194" s="1"/>
      <c r="AK194" s="1"/>
      <c r="AL194" s="1"/>
      <c r="AM194" s="1"/>
    </row>
    <row r="195">
      <c r="A195" s="62"/>
      <c r="B195" s="67"/>
      <c r="C195" s="76" t="s">
        <v>31</v>
      </c>
      <c r="D195" s="75" t="s">
        <v>704</v>
      </c>
      <c r="E195" s="94" t="str">
        <f>E194</f>
        <v>Mirror Finish</v>
      </c>
      <c r="F195" s="67"/>
      <c r="G195" s="76" t="s">
        <v>560</v>
      </c>
      <c r="H195" s="75">
        <v>250.0</v>
      </c>
      <c r="I195" s="31">
        <f>2.75*10</f>
        <v>27.5</v>
      </c>
      <c r="J195" s="79">
        <f t="shared" si="42"/>
        <v>6875</v>
      </c>
      <c r="K195" s="535"/>
      <c r="L195" s="33"/>
      <c r="M195" s="76"/>
      <c r="N195" s="67"/>
      <c r="O195" s="67"/>
      <c r="P195" s="67"/>
      <c r="Q195" s="67"/>
      <c r="R195" s="67"/>
      <c r="S195" s="67"/>
      <c r="T195" s="67"/>
      <c r="U195" s="67"/>
      <c r="V195" s="67"/>
      <c r="W195" s="67"/>
      <c r="X195" s="67"/>
      <c r="Y195" s="1"/>
      <c r="Z195" s="1"/>
      <c r="AA195" s="1"/>
      <c r="AB195" s="1"/>
      <c r="AC195" s="1"/>
      <c r="AD195" s="1"/>
      <c r="AE195" s="1"/>
      <c r="AF195" s="1"/>
      <c r="AG195" s="1"/>
      <c r="AH195" s="1"/>
      <c r="AI195" s="1"/>
      <c r="AJ195" s="1"/>
      <c r="AK195" s="1"/>
      <c r="AL195" s="1"/>
      <c r="AM195" s="1"/>
    </row>
    <row r="196">
      <c r="A196" s="62"/>
      <c r="B196" s="62"/>
      <c r="C196" s="62" t="s">
        <v>31</v>
      </c>
      <c r="D196" s="62" t="s">
        <v>177</v>
      </c>
      <c r="E196" s="62" t="s">
        <v>178</v>
      </c>
      <c r="F196" s="67"/>
      <c r="G196" s="62" t="s">
        <v>175</v>
      </c>
      <c r="H196" s="62">
        <v>3000.0</v>
      </c>
      <c r="I196" s="62">
        <v>15.0</v>
      </c>
      <c r="J196" s="67">
        <f>I196*H196</f>
        <v>45000</v>
      </c>
      <c r="K196" s="535"/>
      <c r="L196" s="33"/>
      <c r="M196" s="76"/>
      <c r="N196" s="67"/>
      <c r="O196" s="67"/>
      <c r="P196" s="67"/>
      <c r="Q196" s="67"/>
      <c r="R196" s="67"/>
      <c r="S196" s="67"/>
      <c r="T196" s="67"/>
      <c r="U196" s="67"/>
      <c r="V196" s="67"/>
      <c r="W196" s="67"/>
      <c r="X196" s="67"/>
      <c r="Y196" s="1"/>
      <c r="Z196" s="1"/>
      <c r="AA196" s="1"/>
      <c r="AB196" s="1"/>
      <c r="AC196" s="1"/>
      <c r="AD196" s="1"/>
      <c r="AE196" s="1"/>
      <c r="AF196" s="1"/>
      <c r="AG196" s="1"/>
      <c r="AH196" s="1"/>
      <c r="AI196" s="1"/>
      <c r="AJ196" s="1"/>
      <c r="AK196" s="1"/>
      <c r="AL196" s="1"/>
      <c r="AM196" s="1"/>
    </row>
    <row r="197">
      <c r="A197" s="62"/>
      <c r="B197" s="67"/>
      <c r="C197" s="94" t="str">
        <f>C96:F96</f>
        <v>Carpentry</v>
      </c>
      <c r="D197" s="94" t="str">
        <f t="shared" ref="D197:F197" si="44">D96</f>
        <v>Panelling with framing</v>
      </c>
      <c r="E197" s="94" t="str">
        <f t="shared" si="44"/>
        <v>MDF</v>
      </c>
      <c r="F197" s="94" t="str">
        <f t="shared" si="44"/>
        <v>MR ply + ply framing + 12mm MDF</v>
      </c>
      <c r="G197" s="62" t="s">
        <v>175</v>
      </c>
      <c r="H197" s="62">
        <v>750.0</v>
      </c>
      <c r="I197" s="78" t="s">
        <v>216</v>
      </c>
      <c r="J197" s="79">
        <f>H197*I197</f>
        <v>22500</v>
      </c>
      <c r="K197" s="535"/>
      <c r="L197" s="33"/>
      <c r="M197" s="76"/>
      <c r="N197" s="67"/>
      <c r="O197" s="67"/>
      <c r="P197" s="67"/>
      <c r="Q197" s="67"/>
      <c r="R197" s="67"/>
      <c r="S197" s="67"/>
      <c r="T197" s="67"/>
      <c r="U197" s="67"/>
      <c r="V197" s="67"/>
      <c r="W197" s="67"/>
      <c r="X197" s="67"/>
      <c r="Y197" s="1"/>
      <c r="Z197" s="1"/>
      <c r="AA197" s="1"/>
      <c r="AB197" s="1"/>
      <c r="AC197" s="1"/>
      <c r="AD197" s="1"/>
      <c r="AE197" s="1"/>
      <c r="AF197" s="1"/>
      <c r="AG197" s="1"/>
      <c r="AH197" s="1"/>
      <c r="AI197" s="1"/>
      <c r="AJ197" s="1"/>
      <c r="AK197" s="1"/>
      <c r="AL197" s="1"/>
      <c r="AM197" s="1"/>
    </row>
    <row r="198">
      <c r="A198" s="30" t="s">
        <v>705</v>
      </c>
      <c r="B198" s="28"/>
      <c r="C198" s="28"/>
      <c r="D198" s="28"/>
      <c r="E198" s="28"/>
      <c r="F198" s="28"/>
      <c r="G198" s="28"/>
      <c r="H198" s="64"/>
      <c r="I198" s="64"/>
      <c r="J198" s="64"/>
      <c r="K198" s="535"/>
      <c r="L198" s="68"/>
      <c r="M198" s="68"/>
      <c r="N198" s="67"/>
      <c r="O198" s="67"/>
      <c r="P198" s="67"/>
      <c r="Q198" s="67"/>
      <c r="R198" s="67"/>
      <c r="S198" s="67"/>
      <c r="T198" s="67"/>
      <c r="U198" s="67"/>
      <c r="V198" s="67"/>
      <c r="W198" s="67"/>
      <c r="X198" s="67"/>
      <c r="Y198" s="1"/>
      <c r="Z198" s="1"/>
      <c r="AA198" s="1"/>
      <c r="AB198" s="1"/>
      <c r="AC198" s="1"/>
      <c r="AD198" s="1"/>
      <c r="AE198" s="1"/>
      <c r="AF198" s="1"/>
      <c r="AG198" s="1"/>
      <c r="AH198" s="1"/>
      <c r="AI198" s="1"/>
      <c r="AJ198" s="1"/>
      <c r="AK198" s="1"/>
      <c r="AL198" s="1"/>
      <c r="AM198" s="1"/>
    </row>
    <row r="199">
      <c r="A199" s="67"/>
      <c r="B199" s="67"/>
      <c r="C199" s="67"/>
      <c r="D199" s="62" t="s">
        <v>706</v>
      </c>
      <c r="E199" s="67"/>
      <c r="F199" s="67"/>
      <c r="G199" s="67"/>
      <c r="H199" s="79"/>
      <c r="I199" s="78" t="s">
        <v>16</v>
      </c>
      <c r="J199" s="80">
        <v>40000.0</v>
      </c>
      <c r="K199" s="533"/>
      <c r="L199" s="77"/>
      <c r="M199" s="67"/>
      <c r="N199" s="67"/>
      <c r="O199" s="67"/>
      <c r="P199" s="67"/>
      <c r="Q199" s="67"/>
      <c r="R199" s="67"/>
      <c r="S199" s="67"/>
      <c r="T199" s="67"/>
      <c r="U199" s="67"/>
      <c r="V199" s="67"/>
      <c r="W199" s="67"/>
      <c r="X199" s="67"/>
      <c r="Y199" s="1"/>
      <c r="Z199" s="1"/>
      <c r="AA199" s="1"/>
      <c r="AB199" s="1"/>
      <c r="AC199" s="1"/>
      <c r="AD199" s="1"/>
      <c r="AE199" s="1"/>
      <c r="AF199" s="1"/>
      <c r="AG199" s="1"/>
      <c r="AH199" s="1"/>
      <c r="AI199" s="1"/>
      <c r="AJ199" s="1"/>
      <c r="AK199" s="1"/>
      <c r="AL199" s="1"/>
      <c r="AM199" s="1"/>
    </row>
    <row r="200">
      <c r="A200" s="30" t="s">
        <v>707</v>
      </c>
      <c r="B200" s="28"/>
      <c r="C200" s="28"/>
      <c r="D200" s="28"/>
      <c r="E200" s="28"/>
      <c r="F200" s="28"/>
      <c r="G200" s="28"/>
      <c r="H200" s="64"/>
      <c r="I200" s="64"/>
      <c r="J200" s="64"/>
      <c r="K200" s="535"/>
      <c r="L200" s="68"/>
      <c r="M200" s="68"/>
      <c r="N200" s="67"/>
      <c r="O200" s="67"/>
      <c r="P200" s="67"/>
      <c r="Q200" s="67"/>
      <c r="R200" s="67"/>
      <c r="S200" s="67"/>
      <c r="T200" s="67"/>
      <c r="U200" s="67"/>
      <c r="V200" s="67"/>
      <c r="W200" s="67"/>
      <c r="X200" s="67"/>
      <c r="Y200" s="1"/>
      <c r="Z200" s="1"/>
      <c r="AA200" s="1"/>
      <c r="AB200" s="1"/>
      <c r="AC200" s="1"/>
      <c r="AD200" s="1"/>
      <c r="AE200" s="1"/>
      <c r="AF200" s="1"/>
      <c r="AG200" s="1"/>
      <c r="AH200" s="1"/>
      <c r="AI200" s="1"/>
      <c r="AJ200" s="1"/>
      <c r="AK200" s="1"/>
      <c r="AL200" s="1"/>
      <c r="AM200" s="1"/>
    </row>
    <row r="201">
      <c r="A201" s="67"/>
      <c r="B201" s="67"/>
      <c r="C201" s="67"/>
      <c r="D201" s="62" t="s">
        <v>708</v>
      </c>
      <c r="E201" s="67"/>
      <c r="F201" s="67"/>
      <c r="G201" s="62" t="s">
        <v>175</v>
      </c>
      <c r="H201" s="80">
        <v>850.0</v>
      </c>
      <c r="I201" s="78" t="s">
        <v>262</v>
      </c>
      <c r="J201" s="79">
        <f>I201*H201</f>
        <v>76500</v>
      </c>
      <c r="K201" s="533"/>
      <c r="L201" s="77"/>
      <c r="M201" s="67"/>
      <c r="N201" s="67"/>
      <c r="O201" s="67"/>
      <c r="P201" s="67"/>
      <c r="Q201" s="67"/>
      <c r="R201" s="67"/>
      <c r="S201" s="67"/>
      <c r="T201" s="67"/>
      <c r="U201" s="67"/>
      <c r="V201" s="67"/>
      <c r="W201" s="67"/>
      <c r="X201" s="67"/>
      <c r="Y201" s="1"/>
      <c r="Z201" s="1"/>
      <c r="AA201" s="1"/>
      <c r="AB201" s="1"/>
      <c r="AC201" s="1"/>
      <c r="AD201" s="1"/>
      <c r="AE201" s="1"/>
      <c r="AF201" s="1"/>
      <c r="AG201" s="1"/>
      <c r="AH201" s="1"/>
      <c r="AI201" s="1"/>
      <c r="AJ201" s="1"/>
      <c r="AK201" s="1"/>
      <c r="AL201" s="1"/>
      <c r="AM201" s="1"/>
    </row>
    <row r="202">
      <c r="A202" s="30" t="s">
        <v>709</v>
      </c>
      <c r="B202" s="28"/>
      <c r="C202" s="28"/>
      <c r="D202" s="28"/>
      <c r="E202" s="28"/>
      <c r="F202" s="28"/>
      <c r="G202" s="28"/>
      <c r="H202" s="64"/>
      <c r="I202" s="64"/>
      <c r="J202" s="64"/>
      <c r="K202" s="535"/>
      <c r="L202" s="68"/>
      <c r="M202" s="68"/>
      <c r="N202" s="67"/>
      <c r="O202" s="67"/>
      <c r="P202" s="67"/>
      <c r="Q202" s="67"/>
      <c r="R202" s="67"/>
      <c r="S202" s="67"/>
      <c r="T202" s="67"/>
      <c r="U202" s="67"/>
      <c r="V202" s="67"/>
      <c r="W202" s="67"/>
      <c r="X202" s="67"/>
      <c r="Y202" s="1"/>
      <c r="Z202" s="1"/>
      <c r="AA202" s="1"/>
      <c r="AB202" s="1"/>
      <c r="AC202" s="1"/>
      <c r="AD202" s="1"/>
      <c r="AE202" s="1"/>
      <c r="AF202" s="1"/>
      <c r="AG202" s="1"/>
      <c r="AH202" s="1"/>
      <c r="AI202" s="1"/>
      <c r="AJ202" s="1"/>
      <c r="AK202" s="1"/>
      <c r="AL202" s="1"/>
      <c r="AM202" s="1"/>
    </row>
    <row r="203">
      <c r="A203" s="67"/>
      <c r="B203" s="67"/>
      <c r="C203" s="67"/>
      <c r="D203" s="62" t="s">
        <v>215</v>
      </c>
      <c r="E203" s="67"/>
      <c r="F203" s="67"/>
      <c r="G203" s="62" t="s">
        <v>175</v>
      </c>
      <c r="H203" s="80">
        <v>950.0</v>
      </c>
      <c r="I203" s="78" t="s">
        <v>216</v>
      </c>
      <c r="J203" s="79">
        <f>I203*H203</f>
        <v>28500</v>
      </c>
      <c r="K203" s="533"/>
      <c r="L203" s="77"/>
      <c r="M203" s="67"/>
      <c r="N203" s="67"/>
      <c r="O203" s="67"/>
      <c r="P203" s="67"/>
      <c r="Q203" s="67"/>
      <c r="R203" s="67"/>
      <c r="S203" s="67"/>
      <c r="T203" s="67"/>
      <c r="U203" s="67"/>
      <c r="V203" s="67"/>
      <c r="W203" s="67"/>
      <c r="X203" s="67"/>
      <c r="Y203" s="1"/>
      <c r="Z203" s="1"/>
      <c r="AA203" s="1"/>
      <c r="AB203" s="1"/>
      <c r="AC203" s="1"/>
      <c r="AD203" s="1"/>
      <c r="AE203" s="1"/>
      <c r="AF203" s="1"/>
      <c r="AG203" s="1"/>
      <c r="AH203" s="1"/>
      <c r="AI203" s="1"/>
      <c r="AJ203" s="1"/>
      <c r="AK203" s="1"/>
      <c r="AL203" s="1"/>
      <c r="AM203" s="1"/>
    </row>
    <row r="204">
      <c r="A204" s="30" t="s">
        <v>710</v>
      </c>
      <c r="B204" s="28"/>
      <c r="C204" s="28"/>
      <c r="D204" s="28"/>
      <c r="E204" s="28"/>
      <c r="F204" s="28"/>
      <c r="G204" s="28"/>
      <c r="H204" s="64"/>
      <c r="I204" s="64"/>
      <c r="J204" s="64"/>
      <c r="K204" s="535"/>
      <c r="L204" s="68"/>
      <c r="M204" s="68"/>
      <c r="N204" s="67"/>
      <c r="O204" s="67"/>
      <c r="P204" s="67"/>
      <c r="Q204" s="67"/>
      <c r="R204" s="67"/>
      <c r="S204" s="67"/>
      <c r="T204" s="67"/>
      <c r="U204" s="67"/>
      <c r="V204" s="67"/>
      <c r="W204" s="67"/>
      <c r="X204" s="67"/>
      <c r="Y204" s="1"/>
      <c r="Z204" s="1"/>
      <c r="AA204" s="1"/>
      <c r="AB204" s="1"/>
      <c r="AC204" s="1"/>
      <c r="AD204" s="1"/>
      <c r="AE204" s="1"/>
      <c r="AF204" s="1"/>
      <c r="AG204" s="1"/>
      <c r="AH204" s="1"/>
      <c r="AI204" s="1"/>
      <c r="AJ204" s="1"/>
      <c r="AK204" s="1"/>
      <c r="AL204" s="1"/>
      <c r="AM204" s="1"/>
    </row>
    <row r="205">
      <c r="A205" s="67"/>
      <c r="B205" s="67"/>
      <c r="C205" s="67"/>
      <c r="D205" s="62" t="s">
        <v>294</v>
      </c>
      <c r="E205" s="67"/>
      <c r="F205" s="67"/>
      <c r="G205" s="67"/>
      <c r="H205" s="80">
        <v>750.0</v>
      </c>
      <c r="I205" s="78" t="s">
        <v>295</v>
      </c>
      <c r="J205" s="79">
        <f t="shared" ref="J205:J207" si="45">I205*H205</f>
        <v>103500</v>
      </c>
      <c r="K205" s="533"/>
      <c r="L205" s="77"/>
      <c r="M205" s="67"/>
      <c r="N205" s="67"/>
      <c r="O205" s="67"/>
      <c r="P205" s="67"/>
      <c r="Q205" s="67"/>
      <c r="R205" s="67"/>
      <c r="S205" s="67"/>
      <c r="T205" s="67"/>
      <c r="U205" s="67"/>
      <c r="V205" s="67"/>
      <c r="W205" s="67"/>
      <c r="X205" s="67"/>
      <c r="Y205" s="1"/>
      <c r="Z205" s="1"/>
      <c r="AA205" s="1"/>
      <c r="AB205" s="1"/>
      <c r="AC205" s="1"/>
      <c r="AD205" s="1"/>
      <c r="AE205" s="1"/>
      <c r="AF205" s="1"/>
      <c r="AG205" s="1"/>
      <c r="AH205" s="1"/>
      <c r="AI205" s="1"/>
      <c r="AJ205" s="1"/>
      <c r="AK205" s="1"/>
      <c r="AL205" s="1"/>
      <c r="AM205" s="1"/>
    </row>
    <row r="206">
      <c r="A206" s="67"/>
      <c r="B206" s="67"/>
      <c r="C206" s="67"/>
      <c r="D206" s="62" t="s">
        <v>296</v>
      </c>
      <c r="E206" s="67"/>
      <c r="F206" s="67"/>
      <c r="G206" s="67"/>
      <c r="H206" s="80">
        <v>750.0</v>
      </c>
      <c r="I206" s="77">
        <f t="shared" ref="I206:I207" si="46">5.5*9</f>
        <v>49.5</v>
      </c>
      <c r="J206" s="79">
        <f t="shared" si="45"/>
        <v>37125</v>
      </c>
      <c r="K206" s="533"/>
      <c r="L206" s="77"/>
      <c r="M206" s="67"/>
      <c r="N206" s="67"/>
      <c r="O206" s="67"/>
      <c r="P206" s="67"/>
      <c r="Q206" s="67"/>
      <c r="R206" s="67"/>
      <c r="S206" s="67"/>
      <c r="T206" s="67"/>
      <c r="U206" s="67"/>
      <c r="V206" s="67"/>
      <c r="W206" s="67"/>
      <c r="X206" s="67"/>
      <c r="Y206" s="1"/>
      <c r="Z206" s="1"/>
      <c r="AA206" s="1"/>
      <c r="AB206" s="1"/>
      <c r="AC206" s="1"/>
      <c r="AD206" s="1"/>
      <c r="AE206" s="1"/>
      <c r="AF206" s="1"/>
      <c r="AG206" s="1"/>
      <c r="AH206" s="1"/>
      <c r="AI206" s="1"/>
      <c r="AJ206" s="1"/>
      <c r="AK206" s="1"/>
      <c r="AL206" s="1"/>
      <c r="AM206" s="1"/>
    </row>
    <row r="207">
      <c r="A207" s="67"/>
      <c r="B207" s="67"/>
      <c r="C207" s="67"/>
      <c r="D207" s="62" t="s">
        <v>296</v>
      </c>
      <c r="E207" s="67"/>
      <c r="F207" s="67"/>
      <c r="G207" s="67"/>
      <c r="H207" s="80">
        <v>750.0</v>
      </c>
      <c r="I207" s="77">
        <f t="shared" si="46"/>
        <v>49.5</v>
      </c>
      <c r="J207" s="79">
        <f t="shared" si="45"/>
        <v>37125</v>
      </c>
      <c r="K207" s="533"/>
      <c r="L207" s="77"/>
      <c r="M207" s="67"/>
      <c r="N207" s="67"/>
      <c r="O207" s="67"/>
      <c r="P207" s="67"/>
      <c r="Q207" s="67"/>
      <c r="R207" s="67"/>
      <c r="S207" s="67"/>
      <c r="T207" s="67"/>
      <c r="U207" s="67"/>
      <c r="V207" s="67"/>
      <c r="W207" s="67"/>
      <c r="X207" s="67"/>
      <c r="Y207" s="1"/>
      <c r="Z207" s="1"/>
      <c r="AA207" s="1"/>
      <c r="AB207" s="1"/>
      <c r="AC207" s="1"/>
      <c r="AD207" s="1"/>
      <c r="AE207" s="1"/>
      <c r="AF207" s="1"/>
      <c r="AG207" s="1"/>
      <c r="AH207" s="1"/>
      <c r="AI207" s="1"/>
      <c r="AJ207" s="1"/>
      <c r="AK207" s="1"/>
      <c r="AL207" s="1"/>
      <c r="AM207" s="1"/>
    </row>
    <row r="208">
      <c r="A208" s="67"/>
      <c r="B208" s="67"/>
      <c r="C208" s="67"/>
      <c r="D208" s="67"/>
      <c r="E208" s="67"/>
      <c r="F208" s="67"/>
      <c r="G208" s="67"/>
      <c r="H208" s="79"/>
      <c r="I208" s="77"/>
      <c r="J208" s="79"/>
      <c r="K208" s="533"/>
      <c r="L208" s="77"/>
      <c r="M208" s="67"/>
      <c r="N208" s="67"/>
      <c r="O208" s="67"/>
      <c r="P208" s="67"/>
      <c r="Q208" s="67"/>
      <c r="R208" s="67"/>
      <c r="S208" s="67"/>
      <c r="T208" s="67"/>
      <c r="U208" s="67"/>
      <c r="V208" s="67"/>
      <c r="W208" s="67"/>
      <c r="X208" s="67"/>
      <c r="Y208" s="1"/>
      <c r="Z208" s="1"/>
      <c r="AA208" s="1"/>
      <c r="AB208" s="1"/>
      <c r="AC208" s="1"/>
      <c r="AD208" s="1"/>
      <c r="AE208" s="1"/>
      <c r="AF208" s="1"/>
      <c r="AG208" s="1"/>
      <c r="AH208" s="1"/>
      <c r="AI208" s="1"/>
      <c r="AJ208" s="1"/>
      <c r="AK208" s="1"/>
      <c r="AL208" s="1"/>
      <c r="AM208" s="1"/>
    </row>
    <row r="209">
      <c r="A209" s="67"/>
      <c r="B209" s="67"/>
      <c r="C209" s="67"/>
      <c r="D209" s="67"/>
      <c r="E209" s="67"/>
      <c r="F209" s="67"/>
      <c r="G209" s="67"/>
      <c r="H209" s="79"/>
      <c r="I209" s="77"/>
      <c r="J209" s="92">
        <f>SUM(J172:J208)</f>
        <v>597862.5</v>
      </c>
      <c r="K209" s="533"/>
      <c r="L209" s="77"/>
      <c r="M209" s="67"/>
      <c r="N209" s="67"/>
      <c r="O209" s="67"/>
      <c r="P209" s="67"/>
      <c r="Q209" s="67"/>
      <c r="R209" s="67"/>
      <c r="S209" s="67"/>
      <c r="T209" s="67"/>
      <c r="U209" s="67"/>
      <c r="V209" s="67"/>
      <c r="W209" s="67"/>
      <c r="X209" s="67"/>
      <c r="Y209" s="1"/>
      <c r="Z209" s="1"/>
      <c r="AA209" s="1"/>
      <c r="AB209" s="1"/>
      <c r="AC209" s="1"/>
      <c r="AD209" s="1"/>
      <c r="AE209" s="1"/>
      <c r="AF209" s="1"/>
      <c r="AG209" s="1"/>
      <c r="AH209" s="1"/>
      <c r="AI209" s="1"/>
      <c r="AJ209" s="1"/>
      <c r="AK209" s="1"/>
      <c r="AL209" s="1"/>
      <c r="AM209" s="1"/>
    </row>
    <row r="210">
      <c r="A210" s="67"/>
      <c r="B210" s="67"/>
      <c r="C210" s="67"/>
      <c r="D210" s="67"/>
      <c r="E210" s="67"/>
      <c r="F210" s="67"/>
      <c r="G210" s="67"/>
      <c r="H210" s="79"/>
      <c r="I210" s="77"/>
      <c r="J210" s="79"/>
      <c r="K210" s="533"/>
      <c r="L210" s="77"/>
      <c r="M210" s="67"/>
      <c r="N210" s="67"/>
      <c r="O210" s="67"/>
      <c r="P210" s="67"/>
      <c r="Q210" s="67"/>
      <c r="R210" s="67"/>
      <c r="S210" s="67"/>
      <c r="T210" s="67"/>
      <c r="U210" s="67"/>
      <c r="V210" s="67"/>
      <c r="W210" s="67"/>
      <c r="X210" s="67"/>
      <c r="Y210" s="1"/>
      <c r="Z210" s="1"/>
      <c r="AA210" s="1"/>
      <c r="AB210" s="1"/>
      <c r="AC210" s="1"/>
      <c r="AD210" s="1"/>
      <c r="AE210" s="1"/>
      <c r="AF210" s="1"/>
      <c r="AG210" s="1"/>
      <c r="AH210" s="1"/>
      <c r="AI210" s="1"/>
      <c r="AJ210" s="1"/>
      <c r="AK210" s="1"/>
      <c r="AL210" s="1"/>
      <c r="AM210" s="1"/>
    </row>
    <row r="211">
      <c r="A211" s="67"/>
      <c r="B211" s="67"/>
      <c r="C211" s="67"/>
      <c r="D211" s="67"/>
      <c r="E211" s="67"/>
      <c r="F211" s="67"/>
      <c r="G211" s="67"/>
      <c r="H211" s="79"/>
      <c r="I211" s="77"/>
      <c r="J211" s="79"/>
      <c r="K211" s="533"/>
      <c r="L211" s="77"/>
      <c r="M211" s="67"/>
      <c r="N211" s="67"/>
      <c r="O211" s="67"/>
      <c r="P211" s="67"/>
      <c r="Q211" s="67"/>
      <c r="R211" s="67"/>
      <c r="S211" s="67"/>
      <c r="T211" s="67"/>
      <c r="U211" s="67"/>
      <c r="V211" s="67"/>
      <c r="W211" s="67"/>
      <c r="X211" s="67"/>
      <c r="Y211" s="1"/>
      <c r="Z211" s="1"/>
      <c r="AA211" s="1"/>
      <c r="AB211" s="1"/>
      <c r="AC211" s="1"/>
      <c r="AD211" s="1"/>
      <c r="AE211" s="1"/>
      <c r="AF211" s="1"/>
      <c r="AG211" s="1"/>
      <c r="AH211" s="1"/>
      <c r="AI211" s="1"/>
      <c r="AJ211" s="1"/>
      <c r="AK211" s="1"/>
      <c r="AL211" s="1"/>
      <c r="AM211" s="1"/>
    </row>
    <row r="212">
      <c r="A212" s="67"/>
      <c r="B212" s="67"/>
      <c r="C212" s="67"/>
      <c r="D212" s="67"/>
      <c r="E212" s="67"/>
      <c r="F212" s="67"/>
      <c r="G212" s="67"/>
      <c r="H212" s="79"/>
      <c r="I212" s="77"/>
      <c r="J212" s="79"/>
      <c r="K212" s="533"/>
      <c r="L212" s="77"/>
      <c r="M212" s="67"/>
      <c r="N212" s="67"/>
      <c r="O212" s="67"/>
      <c r="P212" s="67"/>
      <c r="Q212" s="67"/>
      <c r="R212" s="67"/>
      <c r="S212" s="67"/>
      <c r="T212" s="67"/>
      <c r="U212" s="67"/>
      <c r="V212" s="67"/>
      <c r="W212" s="67"/>
      <c r="X212" s="67"/>
      <c r="Y212" s="1"/>
      <c r="Z212" s="1"/>
      <c r="AA212" s="1"/>
      <c r="AB212" s="1"/>
      <c r="AC212" s="1"/>
      <c r="AD212" s="1"/>
      <c r="AE212" s="1"/>
      <c r="AF212" s="1"/>
      <c r="AG212" s="1"/>
      <c r="AH212" s="1"/>
      <c r="AI212" s="1"/>
      <c r="AJ212" s="1"/>
      <c r="AK212" s="1"/>
      <c r="AL212" s="1"/>
      <c r="AM212" s="1"/>
    </row>
    <row r="213">
      <c r="A213" s="67"/>
      <c r="B213" s="67"/>
      <c r="C213" s="67"/>
      <c r="D213" s="67"/>
      <c r="E213" s="67"/>
      <c r="F213" s="67"/>
      <c r="G213" s="67"/>
      <c r="H213" s="79"/>
      <c r="I213" s="77"/>
      <c r="J213" s="79"/>
      <c r="K213" s="533"/>
      <c r="L213" s="77"/>
      <c r="M213" s="67"/>
      <c r="N213" s="67"/>
      <c r="O213" s="67"/>
      <c r="P213" s="67"/>
      <c r="Q213" s="67"/>
      <c r="R213" s="67"/>
      <c r="S213" s="67"/>
      <c r="T213" s="67"/>
      <c r="U213" s="67"/>
      <c r="V213" s="67"/>
      <c r="W213" s="67"/>
      <c r="X213" s="67"/>
      <c r="Y213" s="1"/>
      <c r="Z213" s="1"/>
      <c r="AA213" s="1"/>
      <c r="AB213" s="1"/>
      <c r="AC213" s="1"/>
      <c r="AD213" s="1"/>
      <c r="AE213" s="1"/>
      <c r="AF213" s="1"/>
      <c r="AG213" s="1"/>
      <c r="AH213" s="1"/>
      <c r="AI213" s="1"/>
      <c r="AJ213" s="1"/>
      <c r="AK213" s="1"/>
      <c r="AL213" s="1"/>
      <c r="AM213" s="1"/>
    </row>
    <row r="214">
      <c r="A214" s="67"/>
      <c r="B214" s="67"/>
      <c r="C214" s="67"/>
      <c r="D214" s="67"/>
      <c r="E214" s="67"/>
      <c r="F214" s="67"/>
      <c r="G214" s="67"/>
      <c r="H214" s="79"/>
      <c r="I214" s="77"/>
      <c r="J214" s="79"/>
      <c r="K214" s="533"/>
      <c r="L214" s="77"/>
      <c r="M214" s="67"/>
      <c r="N214" s="67"/>
      <c r="O214" s="67"/>
      <c r="P214" s="67"/>
      <c r="Q214" s="67"/>
      <c r="R214" s="67"/>
      <c r="S214" s="67"/>
      <c r="T214" s="67"/>
      <c r="U214" s="67"/>
      <c r="V214" s="67"/>
      <c r="W214" s="67"/>
      <c r="X214" s="67"/>
      <c r="Y214" s="1"/>
      <c r="Z214" s="1"/>
      <c r="AA214" s="1"/>
      <c r="AB214" s="1"/>
      <c r="AC214" s="1"/>
      <c r="AD214" s="1"/>
      <c r="AE214" s="1"/>
      <c r="AF214" s="1"/>
      <c r="AG214" s="1"/>
      <c r="AH214" s="1"/>
      <c r="AI214" s="1"/>
      <c r="AJ214" s="1"/>
      <c r="AK214" s="1"/>
      <c r="AL214" s="1"/>
      <c r="AM214" s="1"/>
    </row>
    <row r="215">
      <c r="A215" s="67"/>
      <c r="B215" s="67"/>
      <c r="C215" s="67"/>
      <c r="D215" s="67"/>
      <c r="E215" s="67"/>
      <c r="F215" s="67"/>
      <c r="G215" s="67"/>
      <c r="H215" s="79"/>
      <c r="I215" s="77"/>
      <c r="J215" s="79"/>
      <c r="K215" s="533"/>
      <c r="L215" s="77"/>
      <c r="M215" s="67"/>
      <c r="N215" s="67"/>
      <c r="O215" s="67"/>
      <c r="P215" s="67"/>
      <c r="Q215" s="67"/>
      <c r="R215" s="67"/>
      <c r="S215" s="67"/>
      <c r="T215" s="67"/>
      <c r="U215" s="67"/>
      <c r="V215" s="67"/>
      <c r="W215" s="67"/>
      <c r="X215" s="67"/>
      <c r="Y215" s="1"/>
      <c r="Z215" s="1"/>
      <c r="AA215" s="1"/>
      <c r="AB215" s="1"/>
      <c r="AC215" s="1"/>
      <c r="AD215" s="1"/>
      <c r="AE215" s="1"/>
      <c r="AF215" s="1"/>
      <c r="AG215" s="1"/>
      <c r="AH215" s="1"/>
      <c r="AI215" s="1"/>
      <c r="AJ215" s="1"/>
      <c r="AK215" s="1"/>
      <c r="AL215" s="1"/>
      <c r="AM215" s="1"/>
    </row>
    <row r="216">
      <c r="A216" s="67"/>
      <c r="B216" s="67"/>
      <c r="C216" s="67"/>
      <c r="D216" s="67"/>
      <c r="E216" s="67"/>
      <c r="F216" s="67"/>
      <c r="G216" s="67"/>
      <c r="H216" s="79"/>
      <c r="I216" s="77"/>
      <c r="J216" s="79"/>
      <c r="K216" s="533"/>
      <c r="L216" s="77"/>
      <c r="M216" s="67"/>
      <c r="N216" s="67"/>
      <c r="O216" s="67"/>
      <c r="P216" s="67"/>
      <c r="Q216" s="67"/>
      <c r="R216" s="67"/>
      <c r="S216" s="67"/>
      <c r="T216" s="67"/>
      <c r="U216" s="67"/>
      <c r="V216" s="67"/>
      <c r="W216" s="67"/>
      <c r="X216" s="67"/>
      <c r="Y216" s="1"/>
      <c r="Z216" s="1"/>
      <c r="AA216" s="1"/>
      <c r="AB216" s="1"/>
      <c r="AC216" s="1"/>
      <c r="AD216" s="1"/>
      <c r="AE216" s="1"/>
      <c r="AF216" s="1"/>
      <c r="AG216" s="1"/>
      <c r="AH216" s="1"/>
      <c r="AI216" s="1"/>
      <c r="AJ216" s="1"/>
      <c r="AK216" s="1"/>
      <c r="AL216" s="1"/>
      <c r="AM216" s="1"/>
    </row>
    <row r="217">
      <c r="A217" s="67"/>
      <c r="B217" s="67"/>
      <c r="C217" s="67"/>
      <c r="D217" s="67"/>
      <c r="E217" s="67"/>
      <c r="F217" s="67"/>
      <c r="G217" s="67"/>
      <c r="H217" s="79"/>
      <c r="I217" s="77"/>
      <c r="J217" s="79"/>
      <c r="K217" s="533"/>
      <c r="L217" s="77"/>
      <c r="M217" s="67"/>
      <c r="N217" s="67"/>
      <c r="O217" s="67"/>
      <c r="P217" s="67"/>
      <c r="Q217" s="67"/>
      <c r="R217" s="67"/>
      <c r="S217" s="67"/>
      <c r="T217" s="67"/>
      <c r="U217" s="67"/>
      <c r="V217" s="67"/>
      <c r="W217" s="67"/>
      <c r="X217" s="67"/>
      <c r="Y217" s="1"/>
      <c r="Z217" s="1"/>
      <c r="AA217" s="1"/>
      <c r="AB217" s="1"/>
      <c r="AC217" s="1"/>
      <c r="AD217" s="1"/>
      <c r="AE217" s="1"/>
      <c r="AF217" s="1"/>
      <c r="AG217" s="1"/>
      <c r="AH217" s="1"/>
      <c r="AI217" s="1"/>
      <c r="AJ217" s="1"/>
      <c r="AK217" s="1"/>
      <c r="AL217" s="1"/>
      <c r="AM217" s="1"/>
    </row>
    <row r="218">
      <c r="A218" s="67"/>
      <c r="B218" s="67"/>
      <c r="C218" s="67"/>
      <c r="D218" s="67"/>
      <c r="E218" s="67"/>
      <c r="F218" s="67"/>
      <c r="G218" s="67"/>
      <c r="H218" s="79"/>
      <c r="I218" s="77"/>
      <c r="J218" s="79"/>
      <c r="K218" s="533"/>
      <c r="L218" s="77"/>
      <c r="M218" s="67"/>
      <c r="N218" s="67"/>
      <c r="O218" s="67"/>
      <c r="P218" s="67"/>
      <c r="Q218" s="67"/>
      <c r="R218" s="67"/>
      <c r="S218" s="67"/>
      <c r="T218" s="67"/>
      <c r="U218" s="67"/>
      <c r="V218" s="67"/>
      <c r="W218" s="67"/>
      <c r="X218" s="67"/>
      <c r="Y218" s="1"/>
      <c r="Z218" s="1"/>
      <c r="AA218" s="1"/>
      <c r="AB218" s="1"/>
      <c r="AC218" s="1"/>
      <c r="AD218" s="1"/>
      <c r="AE218" s="1"/>
      <c r="AF218" s="1"/>
      <c r="AG218" s="1"/>
      <c r="AH218" s="1"/>
      <c r="AI218" s="1"/>
      <c r="AJ218" s="1"/>
      <c r="AK218" s="1"/>
      <c r="AL218" s="1"/>
      <c r="AM218" s="1"/>
    </row>
    <row r="219">
      <c r="A219" s="67"/>
      <c r="B219" s="67"/>
      <c r="C219" s="67"/>
      <c r="D219" s="67"/>
      <c r="E219" s="67"/>
      <c r="F219" s="67"/>
      <c r="G219" s="67"/>
      <c r="H219" s="79"/>
      <c r="I219" s="77"/>
      <c r="J219" s="79"/>
      <c r="K219" s="533"/>
      <c r="L219" s="77"/>
      <c r="M219" s="67"/>
      <c r="N219" s="67"/>
      <c r="O219" s="67"/>
      <c r="P219" s="67"/>
      <c r="Q219" s="67"/>
      <c r="R219" s="67"/>
      <c r="S219" s="67"/>
      <c r="T219" s="67"/>
      <c r="U219" s="67"/>
      <c r="V219" s="67"/>
      <c r="W219" s="67"/>
      <c r="X219" s="67"/>
      <c r="Y219" s="1"/>
      <c r="Z219" s="1"/>
      <c r="AA219" s="1"/>
      <c r="AB219" s="1"/>
      <c r="AC219" s="1"/>
      <c r="AD219" s="1"/>
      <c r="AE219" s="1"/>
      <c r="AF219" s="1"/>
      <c r="AG219" s="1"/>
      <c r="AH219" s="1"/>
      <c r="AI219" s="1"/>
      <c r="AJ219" s="1"/>
      <c r="AK219" s="1"/>
      <c r="AL219" s="1"/>
      <c r="AM219" s="1"/>
    </row>
    <row r="220">
      <c r="A220" s="67"/>
      <c r="B220" s="67"/>
      <c r="C220" s="67"/>
      <c r="D220" s="67"/>
      <c r="E220" s="67"/>
      <c r="F220" s="67"/>
      <c r="G220" s="67"/>
      <c r="H220" s="79"/>
      <c r="I220" s="77"/>
      <c r="J220" s="79"/>
      <c r="K220" s="533"/>
      <c r="L220" s="77"/>
      <c r="M220" s="67"/>
      <c r="N220" s="67"/>
      <c r="O220" s="67"/>
      <c r="P220" s="67"/>
      <c r="Q220" s="67"/>
      <c r="R220" s="67"/>
      <c r="S220" s="67"/>
      <c r="T220" s="67"/>
      <c r="U220" s="67"/>
      <c r="V220" s="67"/>
      <c r="W220" s="67"/>
      <c r="X220" s="67"/>
      <c r="Y220" s="1"/>
      <c r="Z220" s="1"/>
      <c r="AA220" s="1"/>
      <c r="AB220" s="1"/>
      <c r="AC220" s="1"/>
      <c r="AD220" s="1"/>
      <c r="AE220" s="1"/>
      <c r="AF220" s="1"/>
      <c r="AG220" s="1"/>
      <c r="AH220" s="1"/>
      <c r="AI220" s="1"/>
      <c r="AJ220" s="1"/>
      <c r="AK220" s="1"/>
      <c r="AL220" s="1"/>
      <c r="AM220" s="1"/>
    </row>
    <row r="221">
      <c r="A221" s="67"/>
      <c r="B221" s="67"/>
      <c r="C221" s="67"/>
      <c r="D221" s="67"/>
      <c r="E221" s="67"/>
      <c r="F221" s="67"/>
      <c r="G221" s="67"/>
      <c r="H221" s="79"/>
      <c r="I221" s="77"/>
      <c r="J221" s="79"/>
      <c r="K221" s="533"/>
      <c r="L221" s="77"/>
      <c r="M221" s="67"/>
      <c r="N221" s="67"/>
      <c r="O221" s="67"/>
      <c r="P221" s="67"/>
      <c r="Q221" s="67"/>
      <c r="R221" s="67"/>
      <c r="S221" s="67"/>
      <c r="T221" s="67"/>
      <c r="U221" s="67"/>
      <c r="V221" s="67"/>
      <c r="W221" s="67"/>
      <c r="X221" s="67"/>
      <c r="Y221" s="1"/>
      <c r="Z221" s="1"/>
      <c r="AA221" s="1"/>
      <c r="AB221" s="1"/>
      <c r="AC221" s="1"/>
      <c r="AD221" s="1"/>
      <c r="AE221" s="1"/>
      <c r="AF221" s="1"/>
      <c r="AG221" s="1"/>
      <c r="AH221" s="1"/>
      <c r="AI221" s="1"/>
      <c r="AJ221" s="1"/>
      <c r="AK221" s="1"/>
      <c r="AL221" s="1"/>
      <c r="AM221" s="1"/>
    </row>
    <row r="222">
      <c r="A222" s="67"/>
      <c r="B222" s="67"/>
      <c r="C222" s="67"/>
      <c r="D222" s="67"/>
      <c r="E222" s="67"/>
      <c r="F222" s="67"/>
      <c r="G222" s="67"/>
      <c r="H222" s="79"/>
      <c r="I222" s="77"/>
      <c r="J222" s="79"/>
      <c r="K222" s="533"/>
      <c r="L222" s="77"/>
      <c r="M222" s="67"/>
      <c r="N222" s="67"/>
      <c r="O222" s="67"/>
      <c r="P222" s="67"/>
      <c r="Q222" s="67"/>
      <c r="R222" s="67"/>
      <c r="S222" s="67"/>
      <c r="T222" s="67"/>
      <c r="U222" s="67"/>
      <c r="V222" s="67"/>
      <c r="W222" s="67"/>
      <c r="X222" s="67"/>
      <c r="Y222" s="1"/>
      <c r="Z222" s="1"/>
      <c r="AA222" s="1"/>
      <c r="AB222" s="1"/>
      <c r="AC222" s="1"/>
      <c r="AD222" s="1"/>
      <c r="AE222" s="1"/>
      <c r="AF222" s="1"/>
      <c r="AG222" s="1"/>
      <c r="AH222" s="1"/>
      <c r="AI222" s="1"/>
      <c r="AJ222" s="1"/>
      <c r="AK222" s="1"/>
      <c r="AL222" s="1"/>
      <c r="AM222" s="1"/>
    </row>
    <row r="223">
      <c r="A223" s="67"/>
      <c r="B223" s="67"/>
      <c r="C223" s="67"/>
      <c r="D223" s="67"/>
      <c r="E223" s="67"/>
      <c r="F223" s="67"/>
      <c r="G223" s="67"/>
      <c r="H223" s="79"/>
      <c r="I223" s="77"/>
      <c r="J223" s="79"/>
      <c r="K223" s="533"/>
      <c r="L223" s="77"/>
      <c r="M223" s="67"/>
      <c r="N223" s="67"/>
      <c r="O223" s="67"/>
      <c r="P223" s="67"/>
      <c r="Q223" s="67"/>
      <c r="R223" s="67"/>
      <c r="S223" s="67"/>
      <c r="T223" s="67"/>
      <c r="U223" s="67"/>
      <c r="V223" s="67"/>
      <c r="W223" s="67"/>
      <c r="X223" s="67"/>
      <c r="Y223" s="1"/>
      <c r="Z223" s="1"/>
      <c r="AA223" s="1"/>
      <c r="AB223" s="1"/>
      <c r="AC223" s="1"/>
      <c r="AD223" s="1"/>
      <c r="AE223" s="1"/>
      <c r="AF223" s="1"/>
      <c r="AG223" s="1"/>
      <c r="AH223" s="1"/>
      <c r="AI223" s="1"/>
      <c r="AJ223" s="1"/>
      <c r="AK223" s="1"/>
      <c r="AL223" s="1"/>
      <c r="AM223" s="1"/>
    </row>
    <row r="224">
      <c r="A224" s="67"/>
      <c r="B224" s="67"/>
      <c r="C224" s="67"/>
      <c r="D224" s="67"/>
      <c r="E224" s="67"/>
      <c r="F224" s="67"/>
      <c r="G224" s="67"/>
      <c r="H224" s="79"/>
      <c r="I224" s="77"/>
      <c r="J224" s="79"/>
      <c r="K224" s="533"/>
      <c r="L224" s="77"/>
      <c r="M224" s="67"/>
      <c r="N224" s="67"/>
      <c r="O224" s="67"/>
      <c r="P224" s="67"/>
      <c r="Q224" s="67"/>
      <c r="R224" s="67"/>
      <c r="S224" s="67"/>
      <c r="T224" s="67"/>
      <c r="U224" s="67"/>
      <c r="V224" s="67"/>
      <c r="W224" s="67"/>
      <c r="X224" s="67"/>
      <c r="Y224" s="1"/>
      <c r="Z224" s="1"/>
      <c r="AA224" s="1"/>
      <c r="AB224" s="1"/>
      <c r="AC224" s="1"/>
      <c r="AD224" s="1"/>
      <c r="AE224" s="1"/>
      <c r="AF224" s="1"/>
      <c r="AG224" s="1"/>
      <c r="AH224" s="1"/>
      <c r="AI224" s="1"/>
      <c r="AJ224" s="1"/>
      <c r="AK224" s="1"/>
      <c r="AL224" s="1"/>
      <c r="AM224" s="1"/>
    </row>
    <row r="225">
      <c r="A225" s="67"/>
      <c r="B225" s="67"/>
      <c r="C225" s="67"/>
      <c r="D225" s="67"/>
      <c r="E225" s="67"/>
      <c r="F225" s="67"/>
      <c r="G225" s="67"/>
      <c r="H225" s="79"/>
      <c r="I225" s="77"/>
      <c r="J225" s="79"/>
      <c r="K225" s="533"/>
      <c r="L225" s="77"/>
      <c r="M225" s="67"/>
      <c r="N225" s="67"/>
      <c r="O225" s="67"/>
      <c r="P225" s="67"/>
      <c r="Q225" s="67"/>
      <c r="R225" s="67"/>
      <c r="S225" s="67"/>
      <c r="T225" s="67"/>
      <c r="U225" s="67"/>
      <c r="V225" s="67"/>
      <c r="W225" s="67"/>
      <c r="X225" s="67"/>
      <c r="Y225" s="1"/>
      <c r="Z225" s="1"/>
      <c r="AA225" s="1"/>
      <c r="AB225" s="1"/>
      <c r="AC225" s="1"/>
      <c r="AD225" s="1"/>
      <c r="AE225" s="1"/>
      <c r="AF225" s="1"/>
      <c r="AG225" s="1"/>
      <c r="AH225" s="1"/>
      <c r="AI225" s="1"/>
      <c r="AJ225" s="1"/>
      <c r="AK225" s="1"/>
      <c r="AL225" s="1"/>
      <c r="AM225" s="1"/>
    </row>
    <row r="226">
      <c r="A226" s="575" t="s">
        <v>309</v>
      </c>
      <c r="B226" s="67"/>
      <c r="C226" s="67"/>
      <c r="D226" s="67"/>
      <c r="E226" s="67"/>
      <c r="F226" s="67"/>
      <c r="G226" s="67"/>
      <c r="H226" s="79"/>
      <c r="I226" s="77"/>
      <c r="J226" s="79"/>
      <c r="K226" s="533"/>
      <c r="L226" s="77"/>
      <c r="M226" s="67"/>
      <c r="N226" s="67"/>
      <c r="O226" s="67"/>
      <c r="P226" s="67"/>
      <c r="Q226" s="67"/>
      <c r="R226" s="67"/>
      <c r="S226" s="67"/>
      <c r="T226" s="67"/>
      <c r="U226" s="67"/>
      <c r="V226" s="67"/>
      <c r="W226" s="67"/>
      <c r="X226" s="67"/>
      <c r="Y226" s="1"/>
      <c r="Z226" s="1"/>
      <c r="AA226" s="1"/>
      <c r="AB226" s="1"/>
      <c r="AC226" s="1"/>
      <c r="AD226" s="1"/>
      <c r="AE226" s="1"/>
      <c r="AF226" s="1"/>
      <c r="AG226" s="1"/>
      <c r="AH226" s="1"/>
      <c r="AI226" s="1"/>
      <c r="AJ226" s="1"/>
      <c r="AK226" s="1"/>
      <c r="AL226" s="1"/>
      <c r="AM226" s="1"/>
    </row>
    <row r="227">
      <c r="A227" s="67" t="s">
        <v>310</v>
      </c>
      <c r="B227" s="67"/>
      <c r="C227" s="67"/>
      <c r="D227" s="67"/>
      <c r="E227" s="67"/>
      <c r="F227" s="67"/>
      <c r="G227" s="67"/>
      <c r="H227" s="79"/>
      <c r="I227" s="77"/>
      <c r="J227" s="79"/>
      <c r="K227" s="533"/>
      <c r="L227" s="77"/>
      <c r="M227" s="67"/>
      <c r="N227" s="67"/>
      <c r="O227" s="67"/>
      <c r="P227" s="67"/>
      <c r="Q227" s="67"/>
      <c r="R227" s="67"/>
      <c r="S227" s="67"/>
      <c r="T227" s="67"/>
      <c r="U227" s="67"/>
      <c r="V227" s="67"/>
      <c r="W227" s="67"/>
      <c r="X227" s="67"/>
      <c r="Y227" s="1"/>
      <c r="Z227" s="1"/>
      <c r="AA227" s="1"/>
      <c r="AB227" s="1"/>
      <c r="AC227" s="1"/>
      <c r="AD227" s="1"/>
      <c r="AE227" s="1"/>
      <c r="AF227" s="1"/>
      <c r="AG227" s="1"/>
      <c r="AH227" s="1"/>
      <c r="AI227" s="1"/>
      <c r="AJ227" s="1"/>
      <c r="AK227" s="1"/>
      <c r="AL227" s="1"/>
      <c r="AM227" s="1"/>
    </row>
    <row r="228">
      <c r="A228" s="67" t="s">
        <v>311</v>
      </c>
      <c r="B228" s="67"/>
      <c r="C228" s="67"/>
      <c r="D228" s="67"/>
      <c r="E228" s="67"/>
      <c r="F228" s="67"/>
      <c r="G228" s="67"/>
      <c r="H228" s="79"/>
      <c r="I228" s="77"/>
      <c r="J228" s="79"/>
      <c r="K228" s="533"/>
      <c r="L228" s="77"/>
      <c r="M228" s="67"/>
      <c r="N228" s="67"/>
      <c r="O228" s="67"/>
      <c r="P228" s="67"/>
      <c r="Q228" s="67"/>
      <c r="R228" s="67"/>
      <c r="S228" s="67"/>
      <c r="T228" s="67"/>
      <c r="U228" s="67"/>
      <c r="V228" s="67"/>
      <c r="W228" s="67"/>
      <c r="X228" s="67"/>
      <c r="Y228" s="1"/>
      <c r="Z228" s="1"/>
      <c r="AA228" s="1"/>
      <c r="AB228" s="1"/>
      <c r="AC228" s="1"/>
      <c r="AD228" s="1"/>
      <c r="AE228" s="1"/>
      <c r="AF228" s="1"/>
      <c r="AG228" s="1"/>
      <c r="AH228" s="1"/>
      <c r="AI228" s="1"/>
      <c r="AJ228" s="1"/>
      <c r="AK228" s="1"/>
      <c r="AL228" s="1"/>
      <c r="AM228" s="1"/>
    </row>
    <row r="229">
      <c r="A229" s="67" t="s">
        <v>312</v>
      </c>
      <c r="B229" s="67"/>
      <c r="C229" s="67"/>
      <c r="D229" s="67"/>
      <c r="E229" s="67"/>
      <c r="F229" s="67"/>
      <c r="G229" s="67"/>
      <c r="H229" s="79"/>
      <c r="I229" s="77"/>
      <c r="J229" s="79"/>
      <c r="K229" s="533"/>
      <c r="L229" s="77"/>
      <c r="M229" s="67"/>
      <c r="N229" s="67"/>
      <c r="O229" s="67"/>
      <c r="P229" s="67"/>
      <c r="Q229" s="67"/>
      <c r="R229" s="67"/>
      <c r="S229" s="67"/>
      <c r="T229" s="67"/>
      <c r="U229" s="67"/>
      <c r="V229" s="67"/>
      <c r="W229" s="67"/>
      <c r="X229" s="67"/>
      <c r="Y229" s="1"/>
      <c r="Z229" s="1"/>
      <c r="AA229" s="1"/>
      <c r="AB229" s="1"/>
      <c r="AC229" s="1"/>
      <c r="AD229" s="1"/>
      <c r="AE229" s="1"/>
      <c r="AF229" s="1"/>
      <c r="AG229" s="1"/>
      <c r="AH229" s="1"/>
      <c r="AI229" s="1"/>
      <c r="AJ229" s="1"/>
      <c r="AK229" s="1"/>
      <c r="AL229" s="1"/>
      <c r="AM229" s="1"/>
    </row>
    <row r="230">
      <c r="A230" s="67" t="s">
        <v>313</v>
      </c>
      <c r="B230" s="67"/>
      <c r="C230" s="67"/>
      <c r="D230" s="67"/>
      <c r="E230" s="67"/>
      <c r="F230" s="67"/>
      <c r="G230" s="67"/>
      <c r="H230" s="79"/>
      <c r="I230" s="77"/>
      <c r="J230" s="79"/>
      <c r="K230" s="533"/>
      <c r="L230" s="77"/>
      <c r="M230" s="67"/>
      <c r="N230" s="67"/>
      <c r="O230" s="67"/>
      <c r="P230" s="67"/>
      <c r="Q230" s="67"/>
      <c r="R230" s="67"/>
      <c r="S230" s="67"/>
      <c r="T230" s="67"/>
      <c r="U230" s="67"/>
      <c r="V230" s="67"/>
      <c r="W230" s="67"/>
      <c r="X230" s="67"/>
      <c r="Y230" s="1"/>
      <c r="Z230" s="1"/>
      <c r="AA230" s="1"/>
      <c r="AB230" s="1"/>
      <c r="AC230" s="1"/>
      <c r="AD230" s="1"/>
      <c r="AE230" s="1"/>
      <c r="AF230" s="1"/>
      <c r="AG230" s="1"/>
      <c r="AH230" s="1"/>
      <c r="AI230" s="1"/>
      <c r="AJ230" s="1"/>
      <c r="AK230" s="1"/>
      <c r="AL230" s="1"/>
      <c r="AM230" s="1"/>
    </row>
    <row r="231">
      <c r="A231" s="67" t="s">
        <v>314</v>
      </c>
      <c r="B231" s="67"/>
      <c r="C231" s="67"/>
      <c r="D231" s="67"/>
      <c r="E231" s="67"/>
      <c r="F231" s="67"/>
      <c r="G231" s="67"/>
      <c r="H231" s="79"/>
      <c r="I231" s="77"/>
      <c r="J231" s="79"/>
      <c r="K231" s="533"/>
      <c r="L231" s="77"/>
      <c r="M231" s="67"/>
      <c r="N231" s="67"/>
      <c r="O231" s="67"/>
      <c r="P231" s="67"/>
      <c r="Q231" s="67"/>
      <c r="R231" s="67"/>
      <c r="S231" s="67"/>
      <c r="T231" s="67"/>
      <c r="U231" s="67"/>
      <c r="V231" s="67"/>
      <c r="W231" s="67"/>
      <c r="X231" s="67"/>
      <c r="Y231" s="1"/>
      <c r="Z231" s="1"/>
      <c r="AA231" s="1"/>
      <c r="AB231" s="1"/>
      <c r="AC231" s="1"/>
      <c r="AD231" s="1"/>
      <c r="AE231" s="1"/>
      <c r="AF231" s="1"/>
      <c r="AG231" s="1"/>
      <c r="AH231" s="1"/>
      <c r="AI231" s="1"/>
      <c r="AJ231" s="1"/>
      <c r="AK231" s="1"/>
      <c r="AL231" s="1"/>
      <c r="AM231" s="1"/>
    </row>
    <row r="232">
      <c r="A232" s="67" t="s">
        <v>315</v>
      </c>
      <c r="B232" s="67"/>
      <c r="C232" s="67"/>
      <c r="D232" s="67"/>
      <c r="E232" s="67"/>
      <c r="F232" s="67"/>
      <c r="G232" s="67"/>
      <c r="H232" s="79"/>
      <c r="I232" s="77"/>
      <c r="J232" s="79"/>
      <c r="K232" s="533"/>
      <c r="L232" s="77"/>
      <c r="M232" s="67"/>
      <c r="N232" s="67"/>
      <c r="O232" s="67"/>
      <c r="P232" s="67"/>
      <c r="Q232" s="67"/>
      <c r="R232" s="67"/>
      <c r="S232" s="67"/>
      <c r="T232" s="67"/>
      <c r="U232" s="67"/>
      <c r="V232" s="67"/>
      <c r="W232" s="67"/>
      <c r="X232" s="67"/>
      <c r="Y232" s="1"/>
      <c r="Z232" s="1"/>
      <c r="AA232" s="1"/>
      <c r="AB232" s="1"/>
      <c r="AC232" s="1"/>
      <c r="AD232" s="1"/>
      <c r="AE232" s="1"/>
      <c r="AF232" s="1"/>
      <c r="AG232" s="1"/>
      <c r="AH232" s="1"/>
      <c r="AI232" s="1"/>
      <c r="AJ232" s="1"/>
      <c r="AK232" s="1"/>
      <c r="AL232" s="1"/>
      <c r="AM232" s="1"/>
    </row>
    <row r="233">
      <c r="A233" s="67" t="s">
        <v>316</v>
      </c>
      <c r="B233" s="67"/>
      <c r="C233" s="67"/>
      <c r="D233" s="67"/>
      <c r="E233" s="67"/>
      <c r="F233" s="67"/>
      <c r="G233" s="67"/>
      <c r="H233" s="79"/>
      <c r="I233" s="77"/>
      <c r="J233" s="79"/>
      <c r="K233" s="533"/>
      <c r="L233" s="77"/>
      <c r="M233" s="67"/>
      <c r="N233" s="67"/>
      <c r="O233" s="67"/>
      <c r="P233" s="67"/>
      <c r="Q233" s="67"/>
      <c r="R233" s="67"/>
      <c r="S233" s="67"/>
      <c r="T233" s="67"/>
      <c r="U233" s="67"/>
      <c r="V233" s="67"/>
      <c r="W233" s="67"/>
      <c r="X233" s="67"/>
      <c r="Y233" s="1"/>
      <c r="Z233" s="1"/>
      <c r="AA233" s="1"/>
      <c r="AB233" s="1"/>
      <c r="AC233" s="1"/>
      <c r="AD233" s="1"/>
      <c r="AE233" s="1"/>
      <c r="AF233" s="1"/>
      <c r="AG233" s="1"/>
      <c r="AH233" s="1"/>
      <c r="AI233" s="1"/>
      <c r="AJ233" s="1"/>
      <c r="AK233" s="1"/>
      <c r="AL233" s="1"/>
      <c r="AM233" s="1"/>
    </row>
    <row r="234">
      <c r="A234" s="67" t="s">
        <v>317</v>
      </c>
      <c r="B234" s="67"/>
      <c r="C234" s="67"/>
      <c r="D234" s="67"/>
      <c r="E234" s="67"/>
      <c r="F234" s="67"/>
      <c r="G234" s="67"/>
      <c r="H234" s="79"/>
      <c r="I234" s="77"/>
      <c r="J234" s="79"/>
      <c r="K234" s="533"/>
      <c r="L234" s="77"/>
      <c r="M234" s="67"/>
      <c r="N234" s="67"/>
      <c r="O234" s="67"/>
      <c r="P234" s="67"/>
      <c r="Q234" s="67"/>
      <c r="R234" s="67"/>
      <c r="S234" s="67"/>
      <c r="T234" s="67"/>
      <c r="U234" s="67"/>
      <c r="V234" s="67"/>
      <c r="W234" s="67"/>
      <c r="X234" s="67"/>
      <c r="Y234" s="1"/>
      <c r="Z234" s="1"/>
      <c r="AA234" s="1"/>
      <c r="AB234" s="1"/>
      <c r="AC234" s="1"/>
      <c r="AD234" s="1"/>
      <c r="AE234" s="1"/>
      <c r="AF234" s="1"/>
      <c r="AG234" s="1"/>
      <c r="AH234" s="1"/>
      <c r="AI234" s="1"/>
      <c r="AJ234" s="1"/>
      <c r="AK234" s="1"/>
      <c r="AL234" s="1"/>
      <c r="AM234" s="1"/>
    </row>
    <row r="235">
      <c r="A235" s="67" t="s">
        <v>318</v>
      </c>
      <c r="B235" s="67"/>
      <c r="C235" s="67"/>
      <c r="D235" s="67"/>
      <c r="E235" s="67"/>
      <c r="F235" s="67"/>
      <c r="G235" s="67"/>
      <c r="H235" s="79"/>
      <c r="I235" s="77"/>
      <c r="J235" s="79"/>
      <c r="K235" s="533"/>
      <c r="L235" s="77"/>
      <c r="M235" s="67"/>
      <c r="N235" s="67"/>
      <c r="O235" s="67"/>
      <c r="P235" s="67"/>
      <c r="Q235" s="67"/>
      <c r="R235" s="67"/>
      <c r="S235" s="67"/>
      <c r="T235" s="67"/>
      <c r="U235" s="67"/>
      <c r="V235" s="67"/>
      <c r="W235" s="67"/>
      <c r="X235" s="67"/>
      <c r="Y235" s="1"/>
      <c r="Z235" s="1"/>
      <c r="AA235" s="1"/>
      <c r="AB235" s="1"/>
      <c r="AC235" s="1"/>
      <c r="AD235" s="1"/>
      <c r="AE235" s="1"/>
      <c r="AF235" s="1"/>
      <c r="AG235" s="1"/>
      <c r="AH235" s="1"/>
      <c r="AI235" s="1"/>
      <c r="AJ235" s="1"/>
      <c r="AK235" s="1"/>
      <c r="AL235" s="1"/>
      <c r="AM235" s="1"/>
    </row>
    <row r="236">
      <c r="A236" s="67" t="s">
        <v>319</v>
      </c>
      <c r="B236" s="67"/>
      <c r="C236" s="67"/>
      <c r="D236" s="67"/>
      <c r="E236" s="67"/>
      <c r="F236" s="67"/>
      <c r="G236" s="67"/>
      <c r="H236" s="79"/>
      <c r="I236" s="77"/>
      <c r="J236" s="79"/>
      <c r="K236" s="533"/>
      <c r="L236" s="77"/>
      <c r="M236" s="67"/>
      <c r="N236" s="67"/>
      <c r="O236" s="67"/>
      <c r="P236" s="67"/>
      <c r="Q236" s="67"/>
      <c r="R236" s="67"/>
      <c r="S236" s="67"/>
      <c r="T236" s="67"/>
      <c r="U236" s="67"/>
      <c r="V236" s="67"/>
      <c r="W236" s="67"/>
      <c r="X236" s="67"/>
      <c r="Y236" s="1"/>
      <c r="Z236" s="1"/>
      <c r="AA236" s="1"/>
      <c r="AB236" s="1"/>
      <c r="AC236" s="1"/>
      <c r="AD236" s="1"/>
      <c r="AE236" s="1"/>
      <c r="AF236" s="1"/>
      <c r="AG236" s="1"/>
      <c r="AH236" s="1"/>
      <c r="AI236" s="1"/>
      <c r="AJ236" s="1"/>
      <c r="AK236" s="1"/>
      <c r="AL236" s="1"/>
      <c r="AM236" s="1"/>
    </row>
    <row r="237">
      <c r="A237" s="67" t="s">
        <v>320</v>
      </c>
      <c r="B237" s="67"/>
      <c r="C237" s="67"/>
      <c r="D237" s="67"/>
      <c r="E237" s="67"/>
      <c r="F237" s="67"/>
      <c r="G237" s="67"/>
      <c r="H237" s="79"/>
      <c r="I237" s="77"/>
      <c r="J237" s="79"/>
      <c r="K237" s="533"/>
      <c r="L237" s="77"/>
      <c r="M237" s="67"/>
      <c r="N237" s="67"/>
      <c r="O237" s="67"/>
      <c r="P237" s="67"/>
      <c r="Q237" s="67"/>
      <c r="R237" s="67"/>
      <c r="S237" s="67"/>
      <c r="T237" s="67"/>
      <c r="U237" s="67"/>
      <c r="V237" s="67"/>
      <c r="W237" s="67"/>
      <c r="X237" s="67"/>
      <c r="Y237" s="1"/>
      <c r="Z237" s="1"/>
      <c r="AA237" s="1"/>
      <c r="AB237" s="1"/>
      <c r="AC237" s="1"/>
      <c r="AD237" s="1"/>
      <c r="AE237" s="1"/>
      <c r="AF237" s="1"/>
      <c r="AG237" s="1"/>
      <c r="AH237" s="1"/>
      <c r="AI237" s="1"/>
      <c r="AJ237" s="1"/>
      <c r="AK237" s="1"/>
      <c r="AL237" s="1"/>
      <c r="AM237" s="1"/>
    </row>
    <row r="238">
      <c r="A238" s="67" t="s">
        <v>321</v>
      </c>
      <c r="B238" s="67"/>
      <c r="C238" s="67"/>
      <c r="D238" s="67"/>
      <c r="E238" s="67"/>
      <c r="F238" s="67"/>
      <c r="G238" s="67"/>
      <c r="H238" s="79"/>
      <c r="I238" s="77"/>
      <c r="J238" s="79"/>
      <c r="K238" s="533"/>
      <c r="L238" s="77"/>
      <c r="M238" s="67"/>
      <c r="N238" s="67"/>
      <c r="O238" s="67"/>
      <c r="P238" s="67"/>
      <c r="Q238" s="67"/>
      <c r="R238" s="67"/>
      <c r="S238" s="67"/>
      <c r="T238" s="67"/>
      <c r="U238" s="67"/>
      <c r="V238" s="67"/>
      <c r="W238" s="67"/>
      <c r="X238" s="67"/>
      <c r="Y238" s="1"/>
      <c r="Z238" s="1"/>
      <c r="AA238" s="1"/>
      <c r="AB238" s="1"/>
      <c r="AC238" s="1"/>
      <c r="AD238" s="1"/>
      <c r="AE238" s="1"/>
      <c r="AF238" s="1"/>
      <c r="AG238" s="1"/>
      <c r="AH238" s="1"/>
      <c r="AI238" s="1"/>
      <c r="AJ238" s="1"/>
      <c r="AK238" s="1"/>
      <c r="AL238" s="1"/>
      <c r="AM238" s="1"/>
    </row>
    <row r="239">
      <c r="A239" s="75" t="s">
        <v>322</v>
      </c>
      <c r="B239" s="76"/>
      <c r="C239" s="76"/>
      <c r="D239" s="76"/>
      <c r="E239" s="76"/>
      <c r="F239" s="76"/>
      <c r="G239" s="76"/>
      <c r="H239" s="69"/>
      <c r="I239" s="33"/>
      <c r="J239" s="69"/>
      <c r="K239" s="535"/>
      <c r="L239" s="33"/>
      <c r="M239" s="76"/>
      <c r="N239" s="76"/>
      <c r="O239" s="76"/>
      <c r="P239" s="67"/>
      <c r="Q239" s="67"/>
      <c r="R239" s="67"/>
      <c r="S239" s="67"/>
      <c r="T239" s="67"/>
      <c r="U239" s="67"/>
      <c r="V239" s="67"/>
      <c r="W239" s="67"/>
      <c r="X239" s="67"/>
      <c r="Y239" s="1"/>
      <c r="Z239" s="1"/>
      <c r="AA239" s="1"/>
      <c r="AB239" s="1"/>
      <c r="AC239" s="1"/>
      <c r="AD239" s="1"/>
      <c r="AE239" s="1"/>
      <c r="AF239" s="1"/>
      <c r="AG239" s="1"/>
      <c r="AH239" s="1"/>
      <c r="AI239" s="1"/>
      <c r="AJ239" s="1"/>
      <c r="AK239" s="1"/>
      <c r="AL239" s="1"/>
      <c r="AM239" s="1"/>
    </row>
    <row r="240">
      <c r="A240" s="24" t="s">
        <v>323</v>
      </c>
      <c r="B240" s="28"/>
      <c r="C240" s="28"/>
      <c r="D240" s="28"/>
      <c r="E240" s="28"/>
      <c r="F240" s="28"/>
      <c r="G240" s="28"/>
      <c r="H240" s="64"/>
      <c r="I240" s="40"/>
      <c r="J240" s="64"/>
      <c r="K240" s="540"/>
      <c r="L240" s="40"/>
      <c r="M240" s="28"/>
      <c r="N240" s="76"/>
      <c r="O240" s="76"/>
      <c r="P240" s="76"/>
      <c r="Q240" s="76"/>
      <c r="R240" s="76"/>
      <c r="S240" s="76"/>
      <c r="T240" s="76"/>
      <c r="U240" s="76"/>
      <c r="V240" s="76"/>
      <c r="W240" s="76"/>
      <c r="X240" s="76"/>
      <c r="Y240" s="52"/>
      <c r="Z240" s="52"/>
      <c r="AA240" s="52"/>
      <c r="AB240" s="52"/>
      <c r="AC240" s="52"/>
      <c r="AD240" s="52"/>
      <c r="AE240" s="52"/>
      <c r="AF240" s="52"/>
      <c r="AG240" s="52"/>
      <c r="AH240" s="52"/>
      <c r="AI240" s="52"/>
      <c r="AJ240" s="52"/>
      <c r="AK240" s="52"/>
      <c r="AL240" s="52"/>
      <c r="AM240" s="52"/>
    </row>
    <row r="241">
      <c r="A241" s="62">
        <v>1.0</v>
      </c>
      <c r="B241" s="67"/>
      <c r="C241" s="75" t="s">
        <v>324</v>
      </c>
      <c r="D241" s="62" t="s">
        <v>325</v>
      </c>
      <c r="E241" s="67"/>
      <c r="F241" s="62" t="s">
        <v>326</v>
      </c>
      <c r="G241" s="62" t="s">
        <v>289</v>
      </c>
      <c r="H241" s="62">
        <v>150000.0</v>
      </c>
      <c r="I241" s="78" t="s">
        <v>16</v>
      </c>
      <c r="J241" s="79">
        <f t="shared" ref="J241:J246" si="47">H241*I241</f>
        <v>150000</v>
      </c>
      <c r="K241" s="547"/>
      <c r="L241" s="77" t="s">
        <v>16</v>
      </c>
      <c r="M241" s="62" t="s">
        <v>327</v>
      </c>
      <c r="N241" s="76"/>
      <c r="O241" s="76"/>
      <c r="P241" s="76"/>
      <c r="Q241" s="76"/>
      <c r="R241" s="76"/>
      <c r="S241" s="76"/>
      <c r="T241" s="76"/>
      <c r="U241" s="76"/>
      <c r="V241" s="76"/>
      <c r="W241" s="76"/>
      <c r="X241" s="76"/>
      <c r="Y241" s="52"/>
      <c r="Z241" s="52"/>
      <c r="AA241" s="52"/>
      <c r="AB241" s="52"/>
      <c r="AC241" s="52"/>
      <c r="AD241" s="52"/>
      <c r="AE241" s="52"/>
      <c r="AF241" s="52"/>
      <c r="AG241" s="52"/>
      <c r="AH241" s="52"/>
      <c r="AI241" s="52"/>
      <c r="AJ241" s="52"/>
      <c r="AK241" s="52"/>
      <c r="AL241" s="52"/>
      <c r="AM241" s="52"/>
    </row>
    <row r="242">
      <c r="A242" s="62">
        <v>2.0</v>
      </c>
      <c r="B242" s="67"/>
      <c r="C242" s="75" t="s">
        <v>328</v>
      </c>
      <c r="D242" s="62"/>
      <c r="E242" s="67"/>
      <c r="F242" s="62" t="s">
        <v>326</v>
      </c>
      <c r="G242" s="62" t="s">
        <v>289</v>
      </c>
      <c r="H242" s="62">
        <v>25000.0</v>
      </c>
      <c r="I242" s="78" t="s">
        <v>18</v>
      </c>
      <c r="J242" s="79">
        <f t="shared" si="47"/>
        <v>50000</v>
      </c>
      <c r="K242" s="547"/>
      <c r="L242" s="77" t="s">
        <v>18</v>
      </c>
      <c r="M242" s="62" t="s">
        <v>327</v>
      </c>
      <c r="N242" s="76"/>
      <c r="O242" s="76"/>
      <c r="P242" s="76"/>
      <c r="Q242" s="76"/>
      <c r="R242" s="76"/>
      <c r="S242" s="76"/>
      <c r="T242" s="76"/>
      <c r="U242" s="76"/>
      <c r="V242" s="76"/>
      <c r="W242" s="76"/>
      <c r="X242" s="76"/>
      <c r="Y242" s="52"/>
      <c r="Z242" s="52"/>
      <c r="AA242" s="52"/>
      <c r="AB242" s="52"/>
      <c r="AC242" s="52"/>
      <c r="AD242" s="52"/>
      <c r="AE242" s="52"/>
      <c r="AF242" s="52"/>
      <c r="AG242" s="52"/>
      <c r="AH242" s="52"/>
      <c r="AI242" s="52"/>
      <c r="AJ242" s="52"/>
      <c r="AK242" s="52"/>
      <c r="AL242" s="52"/>
      <c r="AM242" s="52"/>
    </row>
    <row r="243">
      <c r="A243" s="62">
        <v>4.0</v>
      </c>
      <c r="B243" s="67"/>
      <c r="C243" s="75" t="s">
        <v>329</v>
      </c>
      <c r="D243" s="62"/>
      <c r="E243" s="67"/>
      <c r="F243" s="62" t="s">
        <v>326</v>
      </c>
      <c r="G243" s="62" t="s">
        <v>641</v>
      </c>
      <c r="H243" s="62">
        <v>50000.0</v>
      </c>
      <c r="I243" s="78" t="s">
        <v>16</v>
      </c>
      <c r="J243" s="79">
        <f t="shared" si="47"/>
        <v>50000</v>
      </c>
      <c r="K243" s="547"/>
      <c r="L243" s="77" t="s">
        <v>16</v>
      </c>
      <c r="M243" s="62" t="s">
        <v>330</v>
      </c>
      <c r="N243" s="76"/>
      <c r="O243" s="76"/>
      <c r="P243" s="76"/>
      <c r="Q243" s="76"/>
      <c r="R243" s="76"/>
      <c r="S243" s="76"/>
      <c r="T243" s="76"/>
      <c r="U243" s="76"/>
      <c r="V243" s="76"/>
      <c r="W243" s="76"/>
      <c r="X243" s="76"/>
      <c r="Y243" s="52"/>
      <c r="Z243" s="52"/>
      <c r="AA243" s="52"/>
      <c r="AB243" s="52"/>
      <c r="AC243" s="52"/>
      <c r="AD243" s="52"/>
      <c r="AE243" s="52"/>
      <c r="AF243" s="52"/>
      <c r="AG243" s="52"/>
      <c r="AH243" s="52"/>
      <c r="AI243" s="52"/>
      <c r="AJ243" s="52"/>
      <c r="AK243" s="52"/>
      <c r="AL243" s="52"/>
      <c r="AM243" s="52"/>
    </row>
    <row r="244">
      <c r="A244" s="62">
        <v>4.0</v>
      </c>
      <c r="B244" s="67"/>
      <c r="C244" s="75" t="s">
        <v>331</v>
      </c>
      <c r="D244" s="62"/>
      <c r="E244" s="67"/>
      <c r="F244" s="62" t="s">
        <v>326</v>
      </c>
      <c r="G244" s="62" t="s">
        <v>641</v>
      </c>
      <c r="H244" s="62">
        <v>20000.0</v>
      </c>
      <c r="I244" s="78" t="s">
        <v>18</v>
      </c>
      <c r="J244" s="79">
        <f t="shared" si="47"/>
        <v>40000</v>
      </c>
      <c r="K244" s="547"/>
      <c r="L244" s="77" t="s">
        <v>18</v>
      </c>
      <c r="M244" s="62" t="s">
        <v>330</v>
      </c>
      <c r="N244" s="76"/>
      <c r="O244" s="76"/>
      <c r="P244" s="76"/>
      <c r="Q244" s="76"/>
      <c r="R244" s="76"/>
      <c r="S244" s="76"/>
      <c r="T244" s="76"/>
      <c r="U244" s="76"/>
      <c r="V244" s="76"/>
      <c r="W244" s="76"/>
      <c r="X244" s="76"/>
      <c r="Y244" s="52"/>
      <c r="Z244" s="52"/>
      <c r="AA244" s="52"/>
      <c r="AB244" s="52"/>
      <c r="AC244" s="52"/>
      <c r="AD244" s="52"/>
      <c r="AE244" s="52"/>
      <c r="AF244" s="52"/>
      <c r="AG244" s="52"/>
      <c r="AH244" s="52"/>
      <c r="AI244" s="52"/>
      <c r="AJ244" s="52"/>
      <c r="AK244" s="52"/>
      <c r="AL244" s="52"/>
      <c r="AM244" s="52"/>
    </row>
    <row r="245">
      <c r="A245" s="62">
        <v>5.0</v>
      </c>
      <c r="B245" s="67"/>
      <c r="C245" s="75" t="s">
        <v>332</v>
      </c>
      <c r="D245" s="62" t="s">
        <v>333</v>
      </c>
      <c r="E245" s="67"/>
      <c r="F245" s="62" t="s">
        <v>326</v>
      </c>
      <c r="G245" s="62" t="s">
        <v>641</v>
      </c>
      <c r="H245" s="62">
        <v>150000.0</v>
      </c>
      <c r="I245" s="78" t="s">
        <v>16</v>
      </c>
      <c r="J245" s="79">
        <f t="shared" si="47"/>
        <v>150000</v>
      </c>
      <c r="K245" s="547"/>
      <c r="L245" s="77" t="s">
        <v>16</v>
      </c>
      <c r="M245" s="62" t="s">
        <v>330</v>
      </c>
      <c r="N245" s="76"/>
      <c r="O245" s="76"/>
      <c r="P245" s="76"/>
      <c r="Q245" s="76"/>
      <c r="R245" s="76"/>
      <c r="S245" s="76"/>
      <c r="T245" s="76"/>
      <c r="U245" s="76"/>
      <c r="V245" s="76"/>
      <c r="W245" s="76"/>
      <c r="X245" s="76"/>
      <c r="Y245" s="52"/>
      <c r="Z245" s="52"/>
      <c r="AA245" s="52"/>
      <c r="AB245" s="52"/>
      <c r="AC245" s="52"/>
      <c r="AD245" s="52"/>
      <c r="AE245" s="52"/>
      <c r="AF245" s="52"/>
      <c r="AG245" s="52"/>
      <c r="AH245" s="52"/>
      <c r="AI245" s="52"/>
      <c r="AJ245" s="52"/>
      <c r="AK245" s="52"/>
      <c r="AL245" s="52"/>
      <c r="AM245" s="52"/>
    </row>
    <row r="246">
      <c r="A246" s="62">
        <v>6.0</v>
      </c>
      <c r="B246" s="67"/>
      <c r="C246" s="62" t="s">
        <v>334</v>
      </c>
      <c r="D246" s="62" t="s">
        <v>335</v>
      </c>
      <c r="E246" s="67"/>
      <c r="F246" s="62" t="s">
        <v>326</v>
      </c>
      <c r="G246" s="62" t="s">
        <v>641</v>
      </c>
      <c r="H246" s="62">
        <v>10000.0</v>
      </c>
      <c r="I246" s="31" t="s">
        <v>18</v>
      </c>
      <c r="J246" s="79">
        <f t="shared" si="47"/>
        <v>20000</v>
      </c>
      <c r="K246" s="537"/>
      <c r="L246" s="33" t="s">
        <v>18</v>
      </c>
      <c r="M246" s="62" t="s">
        <v>336</v>
      </c>
      <c r="N246" s="76"/>
      <c r="O246" s="76"/>
      <c r="P246" s="76"/>
      <c r="Q246" s="76"/>
      <c r="R246" s="76"/>
      <c r="S246" s="76"/>
      <c r="T246" s="76"/>
      <c r="U246" s="76"/>
      <c r="V246" s="76"/>
      <c r="W246" s="76"/>
      <c r="X246" s="76"/>
      <c r="Y246" s="52"/>
      <c r="Z246" s="52"/>
      <c r="AA246" s="52"/>
      <c r="AB246" s="52"/>
      <c r="AC246" s="52"/>
      <c r="AD246" s="52"/>
      <c r="AE246" s="52"/>
      <c r="AF246" s="52"/>
      <c r="AG246" s="52"/>
      <c r="AH246" s="52"/>
      <c r="AI246" s="52"/>
      <c r="AJ246" s="52"/>
      <c r="AK246" s="52"/>
      <c r="AL246" s="52"/>
      <c r="AM246" s="52"/>
    </row>
    <row r="247">
      <c r="A247" s="67"/>
      <c r="B247" s="67"/>
      <c r="C247" s="67"/>
      <c r="D247" s="67"/>
      <c r="E247" s="67"/>
      <c r="F247" s="67"/>
      <c r="G247" s="67"/>
      <c r="H247" s="62"/>
      <c r="I247" s="83" t="s">
        <v>125</v>
      </c>
      <c r="J247" s="92">
        <f>SUM(J241:J246)</f>
        <v>460000</v>
      </c>
      <c r="K247" s="565"/>
      <c r="L247" s="83" t="s">
        <v>125</v>
      </c>
      <c r="M247" s="67"/>
      <c r="N247" s="76"/>
      <c r="O247" s="76"/>
      <c r="P247" s="76"/>
      <c r="Q247" s="76"/>
      <c r="R247" s="76"/>
      <c r="S247" s="76"/>
      <c r="T247" s="76"/>
      <c r="U247" s="76"/>
      <c r="V247" s="76"/>
      <c r="W247" s="76"/>
      <c r="X247" s="76"/>
      <c r="Y247" s="52"/>
      <c r="Z247" s="52"/>
      <c r="AA247" s="52"/>
      <c r="AB247" s="52"/>
      <c r="AC247" s="52"/>
      <c r="AD247" s="52"/>
      <c r="AE247" s="52"/>
      <c r="AF247" s="52"/>
      <c r="AG247" s="52"/>
      <c r="AH247" s="52"/>
      <c r="AI247" s="52"/>
      <c r="AJ247" s="52"/>
      <c r="AK247" s="52"/>
      <c r="AL247" s="52"/>
      <c r="AM247" s="52"/>
    </row>
    <row r="248">
      <c r="A248" s="24" t="s">
        <v>337</v>
      </c>
      <c r="B248" s="28"/>
      <c r="C248" s="28"/>
      <c r="D248" s="28"/>
      <c r="E248" s="28"/>
      <c r="F248" s="28"/>
      <c r="G248" s="28"/>
      <c r="H248" s="64"/>
      <c r="I248" s="25"/>
      <c r="J248" s="98"/>
      <c r="K248" s="569"/>
      <c r="L248" s="40"/>
      <c r="M248" s="28"/>
      <c r="N248" s="67"/>
      <c r="O248" s="67"/>
      <c r="P248" s="67"/>
      <c r="Q248" s="67"/>
      <c r="R248" s="67"/>
      <c r="S248" s="67"/>
      <c r="T248" s="67"/>
      <c r="U248" s="67"/>
      <c r="V248" s="67"/>
      <c r="W248" s="67"/>
      <c r="X248" s="67"/>
      <c r="Y248" s="1"/>
      <c r="Z248" s="1"/>
      <c r="AA248" s="1"/>
      <c r="AB248" s="1"/>
      <c r="AC248" s="1"/>
      <c r="AD248" s="1"/>
      <c r="AE248" s="1"/>
      <c r="AF248" s="1"/>
      <c r="AG248" s="1"/>
      <c r="AH248" s="1"/>
      <c r="AI248" s="1"/>
      <c r="AJ248" s="1"/>
      <c r="AK248" s="1"/>
      <c r="AL248" s="1"/>
      <c r="AM248" s="1"/>
    </row>
    <row r="249">
      <c r="A249" s="62">
        <v>1.0</v>
      </c>
      <c r="B249" s="67"/>
      <c r="C249" s="62" t="s">
        <v>338</v>
      </c>
      <c r="D249" s="67"/>
      <c r="E249" s="67"/>
      <c r="F249" s="67"/>
      <c r="G249" s="67" t="s">
        <v>339</v>
      </c>
      <c r="H249" s="127">
        <v>200000.0</v>
      </c>
      <c r="I249" s="78" t="s">
        <v>16</v>
      </c>
      <c r="J249" s="79">
        <f>(H249*I249)</f>
        <v>200000</v>
      </c>
      <c r="K249" s="547" t="str">
        <f t="shared" ref="K249:K252" si="48">#REF!*H249</f>
        <v>#REF!</v>
      </c>
      <c r="L249" s="77" t="s">
        <v>16</v>
      </c>
      <c r="M249" s="62" t="s">
        <v>145</v>
      </c>
      <c r="N249" s="67"/>
      <c r="O249" s="67"/>
      <c r="P249" s="67"/>
      <c r="Q249" s="67"/>
      <c r="R249" s="67"/>
      <c r="S249" s="67"/>
      <c r="T249" s="67"/>
      <c r="U249" s="67"/>
      <c r="V249" s="67"/>
      <c r="W249" s="67"/>
      <c r="X249" s="67"/>
      <c r="Y249" s="1"/>
      <c r="Z249" s="1"/>
      <c r="AA249" s="1"/>
      <c r="AB249" s="1"/>
      <c r="AC249" s="1"/>
      <c r="AD249" s="1"/>
      <c r="AE249" s="1"/>
      <c r="AF249" s="1"/>
      <c r="AG249" s="1"/>
      <c r="AH249" s="1"/>
      <c r="AI249" s="1"/>
      <c r="AJ249" s="1"/>
      <c r="AK249" s="1"/>
      <c r="AL249" s="1"/>
      <c r="AM249" s="1"/>
    </row>
    <row r="250">
      <c r="A250" s="62">
        <v>2.0</v>
      </c>
      <c r="B250" s="67"/>
      <c r="C250" s="67" t="s">
        <v>340</v>
      </c>
      <c r="D250" s="62" t="s">
        <v>341</v>
      </c>
      <c r="E250" s="67"/>
      <c r="F250" s="67"/>
      <c r="G250" s="67" t="s">
        <v>175</v>
      </c>
      <c r="H250" s="80">
        <v>120.0</v>
      </c>
      <c r="I250" s="78">
        <f>I29+I33</f>
        <v>0</v>
      </c>
      <c r="J250" s="79">
        <f t="shared" ref="J250:J251" si="49">H250*I250</f>
        <v>0</v>
      </c>
      <c r="K250" s="547" t="str">
        <f t="shared" si="48"/>
        <v>#REF!</v>
      </c>
      <c r="L250" s="77">
        <f>L29+L33</f>
        <v>0</v>
      </c>
      <c r="M250" s="62" t="s">
        <v>343</v>
      </c>
      <c r="N250" s="67"/>
      <c r="O250" s="67"/>
      <c r="P250" s="67"/>
      <c r="Q250" s="67"/>
      <c r="R250" s="67"/>
      <c r="S250" s="67"/>
      <c r="T250" s="67"/>
      <c r="U250" s="67"/>
      <c r="V250" s="67"/>
      <c r="W250" s="67"/>
      <c r="X250" s="67"/>
      <c r="Y250" s="1"/>
      <c r="Z250" s="1"/>
      <c r="AA250" s="1"/>
      <c r="AB250" s="1"/>
      <c r="AC250" s="1"/>
      <c r="AD250" s="1"/>
      <c r="AE250" s="1"/>
      <c r="AF250" s="1"/>
      <c r="AG250" s="1"/>
      <c r="AH250" s="1"/>
      <c r="AI250" s="1"/>
      <c r="AJ250" s="1"/>
      <c r="AK250" s="1"/>
      <c r="AL250" s="1"/>
      <c r="AM250" s="1"/>
    </row>
    <row r="251">
      <c r="A251" s="62">
        <v>3.0</v>
      </c>
      <c r="B251" s="67"/>
      <c r="C251" s="67" t="s">
        <v>345</v>
      </c>
      <c r="D251" s="62" t="s">
        <v>346</v>
      </c>
      <c r="E251" s="62" t="s">
        <v>347</v>
      </c>
      <c r="F251" s="67"/>
      <c r="G251" s="67" t="s">
        <v>175</v>
      </c>
      <c r="H251" s="80">
        <v>400.0</v>
      </c>
      <c r="I251" s="78" t="s">
        <v>348</v>
      </c>
      <c r="J251" s="79">
        <f t="shared" si="49"/>
        <v>40000</v>
      </c>
      <c r="K251" s="547" t="str">
        <f t="shared" si="48"/>
        <v>#REF!</v>
      </c>
      <c r="L251" s="77" t="s">
        <v>348</v>
      </c>
      <c r="M251" s="62" t="s">
        <v>349</v>
      </c>
      <c r="N251" s="67"/>
      <c r="O251" s="67"/>
      <c r="P251" s="67"/>
      <c r="Q251" s="67"/>
      <c r="R251" s="67"/>
      <c r="S251" s="67"/>
      <c r="T251" s="67"/>
      <c r="U251" s="67"/>
      <c r="V251" s="67"/>
      <c r="W251" s="67"/>
      <c r="X251" s="67"/>
      <c r="Y251" s="1"/>
      <c r="Z251" s="1"/>
      <c r="AA251" s="1"/>
      <c r="AB251" s="1"/>
      <c r="AC251" s="1"/>
      <c r="AD251" s="1"/>
      <c r="AE251" s="1"/>
      <c r="AF251" s="1"/>
      <c r="AG251" s="1"/>
      <c r="AH251" s="1"/>
      <c r="AI251" s="1"/>
      <c r="AJ251" s="1"/>
      <c r="AK251" s="1"/>
      <c r="AL251" s="1"/>
      <c r="AM251" s="1"/>
    </row>
    <row r="252">
      <c r="A252" s="62">
        <v>4.0</v>
      </c>
      <c r="B252" s="67"/>
      <c r="C252" s="67" t="s">
        <v>350</v>
      </c>
      <c r="D252" s="95" t="s">
        <v>351</v>
      </c>
      <c r="E252" s="94" t="s">
        <v>352</v>
      </c>
      <c r="F252" s="67" t="s">
        <v>353</v>
      </c>
      <c r="G252" s="79">
        <v>400.0</v>
      </c>
      <c r="H252" s="80">
        <v>400.0</v>
      </c>
      <c r="I252" s="109">
        <f>I37+20</f>
        <v>20</v>
      </c>
      <c r="J252" s="79">
        <f>I252*G252</f>
        <v>8000</v>
      </c>
      <c r="K252" s="547" t="str">
        <f t="shared" si="48"/>
        <v>#REF!</v>
      </c>
      <c r="L252" s="110">
        <f>L37+20</f>
        <v>20</v>
      </c>
      <c r="M252" s="62" t="s">
        <v>354</v>
      </c>
      <c r="N252" s="67"/>
      <c r="O252" s="67"/>
      <c r="P252" s="67"/>
      <c r="Q252" s="67"/>
      <c r="R252" s="67"/>
      <c r="S252" s="67"/>
      <c r="T252" s="67"/>
      <c r="U252" s="67"/>
      <c r="V252" s="67"/>
      <c r="W252" s="67"/>
      <c r="X252" s="67"/>
      <c r="Y252" s="1"/>
      <c r="Z252" s="1"/>
      <c r="AA252" s="1"/>
      <c r="AB252" s="1"/>
      <c r="AC252" s="1"/>
      <c r="AD252" s="1"/>
      <c r="AE252" s="1"/>
      <c r="AF252" s="1"/>
      <c r="AG252" s="1"/>
      <c r="AH252" s="1"/>
      <c r="AI252" s="1"/>
      <c r="AJ252" s="1"/>
      <c r="AK252" s="1"/>
      <c r="AL252" s="1"/>
      <c r="AM252" s="1"/>
    </row>
    <row r="253">
      <c r="A253" s="62">
        <v>5.0</v>
      </c>
      <c r="B253" s="67"/>
      <c r="C253" s="62" t="s">
        <v>355</v>
      </c>
      <c r="D253" s="62" t="s">
        <v>356</v>
      </c>
      <c r="E253" s="67"/>
      <c r="F253" s="67"/>
      <c r="G253" s="67" t="s">
        <v>339</v>
      </c>
      <c r="H253" s="80">
        <v>250000.0</v>
      </c>
      <c r="I253" s="78" t="s">
        <v>16</v>
      </c>
      <c r="J253" s="79">
        <f t="shared" ref="J253:J260" si="50">(H253*I253)</f>
        <v>250000</v>
      </c>
      <c r="K253" s="547">
        <v>500000.0</v>
      </c>
      <c r="L253" s="77" t="s">
        <v>16</v>
      </c>
      <c r="M253" s="62" t="s">
        <v>357</v>
      </c>
      <c r="N253" s="67"/>
      <c r="O253" s="67"/>
      <c r="P253" s="67"/>
      <c r="Q253" s="67"/>
      <c r="R253" s="67"/>
      <c r="S253" s="67"/>
      <c r="T253" s="67"/>
      <c r="U253" s="67"/>
      <c r="V253" s="67"/>
      <c r="W253" s="67"/>
      <c r="X253" s="67"/>
      <c r="Y253" s="1"/>
      <c r="Z253" s="1"/>
      <c r="AA253" s="1"/>
      <c r="AB253" s="1"/>
      <c r="AC253" s="1"/>
      <c r="AD253" s="1"/>
      <c r="AE253" s="1"/>
      <c r="AF253" s="1"/>
      <c r="AG253" s="1"/>
      <c r="AH253" s="1"/>
      <c r="AI253" s="1"/>
      <c r="AJ253" s="1"/>
      <c r="AK253" s="1"/>
      <c r="AL253" s="1"/>
      <c r="AM253" s="1"/>
    </row>
    <row r="254">
      <c r="A254" s="62">
        <v>6.0</v>
      </c>
      <c r="B254" s="67"/>
      <c r="C254" s="62" t="s">
        <v>358</v>
      </c>
      <c r="D254" s="76"/>
      <c r="E254" s="67"/>
      <c r="F254" s="62" t="s">
        <v>359</v>
      </c>
      <c r="G254" s="67" t="s">
        <v>339</v>
      </c>
      <c r="H254" s="32">
        <v>75000.0</v>
      </c>
      <c r="I254" s="31" t="s">
        <v>18</v>
      </c>
      <c r="J254" s="69">
        <f t="shared" si="50"/>
        <v>150000</v>
      </c>
      <c r="K254" s="576">
        <v>1000000.0</v>
      </c>
      <c r="L254" s="33" t="s">
        <v>18</v>
      </c>
      <c r="M254" s="62" t="s">
        <v>360</v>
      </c>
      <c r="N254" s="67"/>
      <c r="O254" s="67"/>
      <c r="P254" s="67"/>
      <c r="Q254" s="67"/>
      <c r="R254" s="67"/>
      <c r="S254" s="67"/>
      <c r="T254" s="67"/>
      <c r="U254" s="67"/>
      <c r="V254" s="67"/>
      <c r="W254" s="67"/>
      <c r="X254" s="67"/>
      <c r="Y254" s="1"/>
      <c r="Z254" s="1"/>
      <c r="AA254" s="1"/>
      <c r="AB254" s="1"/>
      <c r="AC254" s="1"/>
      <c r="AD254" s="1"/>
      <c r="AE254" s="1"/>
      <c r="AF254" s="1"/>
      <c r="AG254" s="1"/>
      <c r="AH254" s="1"/>
      <c r="AI254" s="1"/>
      <c r="AJ254" s="1"/>
      <c r="AK254" s="1"/>
      <c r="AL254" s="1"/>
      <c r="AM254" s="1"/>
    </row>
    <row r="255">
      <c r="A255" s="62">
        <v>7.0</v>
      </c>
      <c r="B255" s="67"/>
      <c r="C255" s="62"/>
      <c r="D255" s="76"/>
      <c r="E255" s="67"/>
      <c r="F255" s="67"/>
      <c r="G255" s="67" t="s">
        <v>339</v>
      </c>
      <c r="H255" s="32">
        <v>50000.0</v>
      </c>
      <c r="I255" s="31" t="s">
        <v>27</v>
      </c>
      <c r="J255" s="69">
        <f t="shared" si="50"/>
        <v>200000</v>
      </c>
      <c r="K255" s="130"/>
      <c r="L255" s="33" t="s">
        <v>27</v>
      </c>
      <c r="M255" s="62" t="s">
        <v>361</v>
      </c>
      <c r="N255" s="67"/>
      <c r="O255" s="67"/>
      <c r="P255" s="67"/>
      <c r="Q255" s="67"/>
      <c r="R255" s="67"/>
      <c r="S255" s="67"/>
      <c r="T255" s="67"/>
      <c r="U255" s="67"/>
      <c r="V255" s="67"/>
      <c r="W255" s="67"/>
      <c r="X255" s="67"/>
      <c r="Y255" s="1"/>
      <c r="Z255" s="1"/>
      <c r="AA255" s="1"/>
      <c r="AB255" s="1"/>
      <c r="AC255" s="1"/>
      <c r="AD255" s="1"/>
      <c r="AE255" s="1"/>
      <c r="AF255" s="1"/>
      <c r="AG255" s="1"/>
      <c r="AH255" s="1"/>
      <c r="AI255" s="1"/>
      <c r="AJ255" s="1"/>
      <c r="AK255" s="1"/>
      <c r="AL255" s="1"/>
      <c r="AM255" s="1"/>
    </row>
    <row r="256">
      <c r="A256" s="62">
        <v>8.0</v>
      </c>
      <c r="B256" s="67"/>
      <c r="C256" s="62" t="s">
        <v>362</v>
      </c>
      <c r="D256" s="76"/>
      <c r="E256" s="67"/>
      <c r="F256" s="67"/>
      <c r="G256" s="67" t="s">
        <v>339</v>
      </c>
      <c r="H256" s="80">
        <v>50000.0</v>
      </c>
      <c r="I256" s="78" t="s">
        <v>27</v>
      </c>
      <c r="J256" s="79">
        <f t="shared" si="50"/>
        <v>200000</v>
      </c>
      <c r="K256" s="547">
        <v>250000.0</v>
      </c>
      <c r="L256" s="77" t="s">
        <v>27</v>
      </c>
      <c r="M256" s="62" t="s">
        <v>361</v>
      </c>
      <c r="N256" s="67"/>
      <c r="O256" s="67"/>
      <c r="P256" s="67"/>
      <c r="Q256" s="67"/>
      <c r="R256" s="67"/>
      <c r="S256" s="67"/>
      <c r="T256" s="67"/>
      <c r="U256" s="67"/>
      <c r="V256" s="67"/>
      <c r="W256" s="67"/>
      <c r="X256" s="67"/>
      <c r="Y256" s="1"/>
      <c r="Z256" s="1"/>
      <c r="AA256" s="1"/>
      <c r="AB256" s="1"/>
      <c r="AC256" s="1"/>
      <c r="AD256" s="1"/>
      <c r="AE256" s="1"/>
      <c r="AF256" s="1"/>
      <c r="AG256" s="1"/>
      <c r="AH256" s="1"/>
      <c r="AI256" s="1"/>
      <c r="AJ256" s="1"/>
      <c r="AK256" s="1"/>
      <c r="AL256" s="1"/>
      <c r="AM256" s="1"/>
    </row>
    <row r="257">
      <c r="A257" s="62">
        <v>9.0</v>
      </c>
      <c r="B257" s="67"/>
      <c r="C257" s="62" t="s">
        <v>363</v>
      </c>
      <c r="D257" s="67"/>
      <c r="E257" s="67"/>
      <c r="F257" s="67"/>
      <c r="G257" s="67" t="s">
        <v>339</v>
      </c>
      <c r="H257" s="80">
        <v>200000.0</v>
      </c>
      <c r="I257" s="78" t="s">
        <v>16</v>
      </c>
      <c r="J257" s="79">
        <f t="shared" si="50"/>
        <v>200000</v>
      </c>
      <c r="K257" s="547" t="str">
        <f t="shared" ref="K257:K260" si="51">#REF!*H257</f>
        <v>#REF!</v>
      </c>
      <c r="L257" s="77" t="s">
        <v>16</v>
      </c>
      <c r="M257" s="62" t="s">
        <v>145</v>
      </c>
      <c r="N257" s="67"/>
      <c r="O257" s="67"/>
      <c r="P257" s="67"/>
      <c r="Q257" s="67"/>
      <c r="R257" s="67"/>
      <c r="S257" s="67"/>
      <c r="T257" s="67"/>
      <c r="U257" s="67"/>
      <c r="V257" s="67"/>
      <c r="W257" s="67"/>
      <c r="X257" s="67"/>
      <c r="Y257" s="1"/>
      <c r="Z257" s="1"/>
      <c r="AA257" s="1"/>
      <c r="AB257" s="1"/>
      <c r="AC257" s="1"/>
      <c r="AD257" s="1"/>
      <c r="AE257" s="1"/>
      <c r="AF257" s="1"/>
      <c r="AG257" s="1"/>
      <c r="AH257" s="1"/>
      <c r="AI257" s="1"/>
      <c r="AJ257" s="1"/>
      <c r="AK257" s="1"/>
      <c r="AL257" s="1"/>
      <c r="AM257" s="1"/>
    </row>
    <row r="258">
      <c r="A258" s="62">
        <v>10.0</v>
      </c>
      <c r="B258" s="67"/>
      <c r="C258" s="62" t="s">
        <v>364</v>
      </c>
      <c r="D258" s="67" t="s">
        <v>653</v>
      </c>
      <c r="E258" s="67"/>
      <c r="F258" s="67"/>
      <c r="G258" s="67" t="s">
        <v>339</v>
      </c>
      <c r="H258" s="80">
        <v>300000.0</v>
      </c>
      <c r="I258" s="78" t="s">
        <v>16</v>
      </c>
      <c r="J258" s="79">
        <f t="shared" si="50"/>
        <v>300000</v>
      </c>
      <c r="K258" s="547" t="str">
        <f t="shared" si="51"/>
        <v>#REF!</v>
      </c>
      <c r="L258" s="77" t="s">
        <v>16</v>
      </c>
      <c r="M258" s="62" t="s">
        <v>145</v>
      </c>
      <c r="N258" s="67"/>
      <c r="O258" s="67"/>
      <c r="P258" s="67"/>
      <c r="Q258" s="67"/>
      <c r="R258" s="67"/>
      <c r="S258" s="67"/>
      <c r="T258" s="67"/>
      <c r="U258" s="67"/>
      <c r="V258" s="67"/>
      <c r="W258" s="67"/>
      <c r="X258" s="67"/>
      <c r="Y258" s="1"/>
      <c r="Z258" s="1"/>
      <c r="AA258" s="1"/>
      <c r="AB258" s="1"/>
      <c r="AC258" s="1"/>
      <c r="AD258" s="1"/>
      <c r="AE258" s="1"/>
      <c r="AF258" s="1"/>
      <c r="AG258" s="1"/>
      <c r="AH258" s="1"/>
      <c r="AI258" s="1"/>
      <c r="AJ258" s="1"/>
      <c r="AK258" s="1"/>
      <c r="AL258" s="1"/>
      <c r="AM258" s="1"/>
    </row>
    <row r="259">
      <c r="A259" s="62">
        <v>11.0</v>
      </c>
      <c r="B259" s="67"/>
      <c r="C259" s="62" t="s">
        <v>365</v>
      </c>
      <c r="D259" s="67"/>
      <c r="E259" s="67"/>
      <c r="F259" s="77" t="s">
        <v>366</v>
      </c>
      <c r="G259" s="62" t="s">
        <v>367</v>
      </c>
      <c r="H259" s="127">
        <v>800.0</v>
      </c>
      <c r="I259" s="78" t="s">
        <v>368</v>
      </c>
      <c r="J259" s="79">
        <f t="shared" si="50"/>
        <v>49600</v>
      </c>
      <c r="K259" s="547" t="str">
        <f t="shared" si="51"/>
        <v>#REF!</v>
      </c>
      <c r="L259" s="77" t="s">
        <v>368</v>
      </c>
      <c r="M259" s="62" t="s">
        <v>369</v>
      </c>
      <c r="N259" s="67"/>
      <c r="O259" s="67"/>
      <c r="P259" s="67"/>
      <c r="Q259" s="67"/>
      <c r="R259" s="67"/>
      <c r="S259" s="67"/>
      <c r="T259" s="67"/>
      <c r="U259" s="67"/>
      <c r="V259" s="67"/>
      <c r="W259" s="67"/>
      <c r="X259" s="67"/>
      <c r="Y259" s="1"/>
      <c r="Z259" s="1"/>
      <c r="AA259" s="1"/>
      <c r="AB259" s="1"/>
      <c r="AC259" s="1"/>
      <c r="AD259" s="1"/>
      <c r="AE259" s="1"/>
      <c r="AF259" s="1"/>
      <c r="AG259" s="1"/>
      <c r="AH259" s="1"/>
      <c r="AI259" s="1"/>
      <c r="AJ259" s="1"/>
      <c r="AK259" s="1"/>
      <c r="AL259" s="1"/>
      <c r="AM259" s="1"/>
    </row>
    <row r="260">
      <c r="A260" s="62">
        <v>12.0</v>
      </c>
      <c r="B260" s="67"/>
      <c r="C260" s="62" t="s">
        <v>370</v>
      </c>
      <c r="D260" s="67"/>
      <c r="E260" s="67"/>
      <c r="F260" s="77"/>
      <c r="G260" s="62" t="s">
        <v>339</v>
      </c>
      <c r="H260" s="127">
        <v>5000.0</v>
      </c>
      <c r="I260" s="78" t="s">
        <v>32</v>
      </c>
      <c r="J260" s="79">
        <f t="shared" si="50"/>
        <v>30000</v>
      </c>
      <c r="K260" s="547" t="str">
        <f t="shared" si="51"/>
        <v>#REF!</v>
      </c>
      <c r="L260" s="77" t="s">
        <v>32</v>
      </c>
      <c r="M260" s="62" t="s">
        <v>371</v>
      </c>
      <c r="N260" s="67"/>
      <c r="O260" s="67"/>
      <c r="P260" s="67"/>
      <c r="Q260" s="67"/>
      <c r="R260" s="67"/>
      <c r="S260" s="67"/>
      <c r="T260" s="67"/>
      <c r="U260" s="67"/>
      <c r="V260" s="67"/>
      <c r="W260" s="67"/>
      <c r="X260" s="67"/>
      <c r="Y260" s="1"/>
      <c r="Z260" s="1"/>
      <c r="AA260" s="1"/>
      <c r="AB260" s="1"/>
      <c r="AC260" s="1"/>
      <c r="AD260" s="1"/>
      <c r="AE260" s="1"/>
      <c r="AF260" s="1"/>
      <c r="AG260" s="1"/>
      <c r="AH260" s="1"/>
      <c r="AI260" s="1"/>
      <c r="AJ260" s="1"/>
      <c r="AK260" s="1"/>
      <c r="AL260" s="1"/>
      <c r="AM260" s="1"/>
    </row>
    <row r="261">
      <c r="A261" s="62"/>
      <c r="B261" s="67"/>
      <c r="C261" s="62" t="s">
        <v>711</v>
      </c>
      <c r="D261" s="67"/>
      <c r="E261" s="67"/>
      <c r="F261" s="67"/>
      <c r="G261" s="67"/>
      <c r="H261" s="80">
        <v>1500.0</v>
      </c>
      <c r="I261" s="83" t="s">
        <v>125</v>
      </c>
      <c r="J261" s="92">
        <f>SUM(J249:J259)</f>
        <v>1597600</v>
      </c>
      <c r="K261" s="565"/>
      <c r="L261" s="83" t="s">
        <v>125</v>
      </c>
      <c r="M261" s="67"/>
      <c r="N261" s="67"/>
      <c r="O261" s="67"/>
      <c r="P261" s="67"/>
      <c r="Q261" s="67"/>
      <c r="R261" s="67"/>
      <c r="S261" s="67"/>
      <c r="T261" s="67"/>
      <c r="U261" s="67"/>
      <c r="V261" s="67"/>
      <c r="W261" s="67"/>
      <c r="X261" s="67"/>
      <c r="Y261" s="1"/>
      <c r="Z261" s="1"/>
      <c r="AA261" s="1"/>
      <c r="AB261" s="1"/>
      <c r="AC261" s="1"/>
      <c r="AD261" s="1"/>
      <c r="AE261" s="1"/>
      <c r="AF261" s="1"/>
      <c r="AG261" s="1"/>
      <c r="AH261" s="1"/>
      <c r="AI261" s="1"/>
      <c r="AJ261" s="1"/>
      <c r="AK261" s="1"/>
      <c r="AL261" s="1"/>
      <c r="AM261" s="1"/>
    </row>
    <row r="262">
      <c r="A262" s="67"/>
      <c r="B262" s="67"/>
      <c r="C262" s="67"/>
      <c r="D262" s="67"/>
      <c r="E262" s="67"/>
      <c r="F262" s="67"/>
      <c r="G262" s="67"/>
      <c r="H262" s="79"/>
      <c r="I262" s="77"/>
      <c r="J262" s="79"/>
      <c r="K262" s="533"/>
      <c r="L262" s="77"/>
      <c r="M262" s="67"/>
      <c r="N262" s="67"/>
      <c r="O262" s="67"/>
      <c r="P262" s="67"/>
      <c r="Q262" s="67"/>
      <c r="R262" s="67"/>
      <c r="S262" s="67"/>
      <c r="T262" s="67"/>
      <c r="U262" s="67"/>
      <c r="V262" s="67"/>
      <c r="W262" s="67"/>
      <c r="X262" s="67"/>
      <c r="Y262" s="1"/>
      <c r="Z262" s="1"/>
      <c r="AA262" s="1"/>
      <c r="AB262" s="1"/>
      <c r="AC262" s="1"/>
      <c r="AD262" s="1"/>
      <c r="AE262" s="1"/>
      <c r="AF262" s="1"/>
      <c r="AG262" s="1"/>
      <c r="AH262" s="1"/>
      <c r="AI262" s="1"/>
      <c r="AJ262" s="1"/>
      <c r="AK262" s="1"/>
      <c r="AL262" s="1"/>
      <c r="AM262" s="1"/>
    </row>
    <row r="263">
      <c r="A263" s="67"/>
      <c r="B263" s="67"/>
      <c r="C263" s="75"/>
      <c r="D263" s="76"/>
      <c r="E263" s="75"/>
      <c r="F263" s="76"/>
      <c r="G263" s="67"/>
      <c r="H263" s="79"/>
      <c r="I263" s="77"/>
      <c r="J263" s="79"/>
      <c r="K263" s="533"/>
      <c r="L263" s="77"/>
      <c r="M263" s="67"/>
      <c r="N263" s="67"/>
      <c r="O263" s="67"/>
      <c r="P263" s="67"/>
      <c r="Q263" s="67"/>
      <c r="R263" s="67"/>
      <c r="S263" s="67"/>
      <c r="T263" s="67"/>
      <c r="U263" s="67"/>
      <c r="V263" s="67"/>
      <c r="W263" s="67"/>
      <c r="X263" s="67"/>
      <c r="Y263" s="1"/>
      <c r="Z263" s="1"/>
      <c r="AA263" s="1"/>
      <c r="AB263" s="1"/>
      <c r="AC263" s="1"/>
      <c r="AD263" s="1"/>
      <c r="AE263" s="1"/>
      <c r="AF263" s="1"/>
      <c r="AG263" s="1"/>
      <c r="AH263" s="1"/>
      <c r="AI263" s="1"/>
      <c r="AJ263" s="1"/>
      <c r="AK263" s="1"/>
      <c r="AL263" s="1"/>
      <c r="AM263" s="1"/>
    </row>
    <row r="264">
      <c r="A264" s="67"/>
      <c r="B264" s="67"/>
      <c r="C264" s="76"/>
      <c r="D264" s="76"/>
      <c r="E264" s="75"/>
      <c r="F264" s="76"/>
      <c r="G264" s="67"/>
      <c r="H264" s="79"/>
      <c r="I264" s="77"/>
      <c r="J264" s="79"/>
      <c r="K264" s="533"/>
      <c r="L264" s="79"/>
      <c r="M264" s="67"/>
      <c r="N264" s="67"/>
      <c r="O264" s="67"/>
      <c r="P264" s="67"/>
      <c r="Q264" s="67"/>
      <c r="R264" s="67"/>
      <c r="S264" s="67"/>
      <c r="T264" s="67"/>
      <c r="U264" s="67"/>
      <c r="V264" s="67"/>
      <c r="W264" s="67"/>
      <c r="X264" s="67"/>
      <c r="Y264" s="1"/>
      <c r="Z264" s="1"/>
      <c r="AA264" s="1"/>
      <c r="AB264" s="1"/>
      <c r="AC264" s="1"/>
      <c r="AD264" s="1"/>
      <c r="AE264" s="1"/>
      <c r="AF264" s="1"/>
      <c r="AG264" s="1"/>
      <c r="AH264" s="1"/>
      <c r="AI264" s="1"/>
      <c r="AJ264" s="1"/>
      <c r="AK264" s="1"/>
      <c r="AL264" s="1"/>
      <c r="AM264" s="1"/>
    </row>
    <row r="265">
      <c r="A265" s="67"/>
      <c r="B265" s="67"/>
      <c r="C265" s="75"/>
      <c r="D265" s="76"/>
      <c r="E265" s="75"/>
      <c r="F265" s="76"/>
      <c r="G265" s="67"/>
      <c r="H265" s="79"/>
      <c r="I265" s="77"/>
      <c r="J265" s="79"/>
      <c r="K265" s="533"/>
      <c r="L265" s="79"/>
      <c r="M265" s="67"/>
      <c r="N265" s="67"/>
      <c r="O265" s="67"/>
      <c r="P265" s="67"/>
      <c r="Q265" s="67"/>
      <c r="R265" s="67"/>
      <c r="S265" s="67"/>
      <c r="T265" s="67"/>
      <c r="U265" s="67"/>
      <c r="V265" s="67"/>
      <c r="W265" s="67"/>
      <c r="X265" s="67"/>
      <c r="Y265" s="1"/>
      <c r="Z265" s="1"/>
      <c r="AA265" s="1"/>
      <c r="AB265" s="1"/>
      <c r="AC265" s="1"/>
      <c r="AD265" s="1"/>
      <c r="AE265" s="1"/>
      <c r="AF265" s="1"/>
      <c r="AG265" s="1"/>
      <c r="AH265" s="1"/>
      <c r="AI265" s="1"/>
      <c r="AJ265" s="1"/>
      <c r="AK265" s="1"/>
      <c r="AL265" s="1"/>
      <c r="AM265" s="1"/>
    </row>
    <row r="266">
      <c r="A266" s="67"/>
      <c r="B266" s="67"/>
      <c r="C266" s="75"/>
      <c r="D266" s="76"/>
      <c r="E266" s="75"/>
      <c r="F266" s="76"/>
      <c r="G266" s="67"/>
      <c r="H266" s="79"/>
      <c r="I266" s="77"/>
      <c r="J266" s="79"/>
      <c r="K266" s="533"/>
      <c r="L266" s="79"/>
      <c r="M266" s="67"/>
      <c r="N266" s="67"/>
      <c r="O266" s="67"/>
      <c r="P266" s="67"/>
      <c r="Q266" s="67"/>
      <c r="R266" s="67"/>
      <c r="S266" s="67"/>
      <c r="T266" s="67"/>
      <c r="U266" s="67"/>
      <c r="V266" s="67"/>
      <c r="W266" s="67"/>
      <c r="X266" s="67"/>
      <c r="Y266" s="1"/>
      <c r="Z266" s="1"/>
      <c r="AA266" s="1"/>
      <c r="AB266" s="1"/>
      <c r="AC266" s="1"/>
      <c r="AD266" s="1"/>
      <c r="AE266" s="1"/>
      <c r="AF266" s="1"/>
      <c r="AG266" s="1"/>
      <c r="AH266" s="1"/>
      <c r="AI266" s="1"/>
      <c r="AJ266" s="1"/>
      <c r="AK266" s="1"/>
      <c r="AL266" s="1"/>
      <c r="AM266" s="1"/>
    </row>
    <row r="267">
      <c r="A267" s="67"/>
      <c r="B267" s="67"/>
      <c r="C267" s="76"/>
      <c r="D267" s="76"/>
      <c r="E267" s="75"/>
      <c r="F267" s="76"/>
      <c r="G267" s="67"/>
      <c r="H267" s="79"/>
      <c r="I267" s="77"/>
      <c r="J267" s="79"/>
      <c r="K267" s="533"/>
      <c r="L267" s="79"/>
      <c r="M267" s="67"/>
      <c r="N267" s="67"/>
      <c r="O267" s="67"/>
      <c r="P267" s="67"/>
      <c r="Q267" s="67"/>
      <c r="R267" s="67"/>
      <c r="S267" s="67"/>
      <c r="T267" s="67"/>
      <c r="U267" s="67"/>
      <c r="V267" s="67"/>
      <c r="W267" s="67"/>
      <c r="X267" s="67"/>
      <c r="Y267" s="1"/>
      <c r="Z267" s="1"/>
      <c r="AA267" s="1"/>
      <c r="AB267" s="1"/>
      <c r="AC267" s="1"/>
      <c r="AD267" s="1"/>
      <c r="AE267" s="1"/>
      <c r="AF267" s="1"/>
      <c r="AG267" s="1"/>
      <c r="AH267" s="1"/>
      <c r="AI267" s="1"/>
      <c r="AJ267" s="1"/>
      <c r="AK267" s="1"/>
      <c r="AL267" s="1"/>
      <c r="AM267" s="1"/>
    </row>
    <row r="268">
      <c r="A268" s="67"/>
      <c r="B268" s="67"/>
      <c r="C268" s="76"/>
      <c r="D268" s="76"/>
      <c r="E268" s="75"/>
      <c r="F268" s="76"/>
      <c r="G268" s="67"/>
      <c r="H268" s="79"/>
      <c r="I268" s="77"/>
      <c r="J268" s="79"/>
      <c r="K268" s="547"/>
      <c r="L268" s="79"/>
      <c r="M268" s="67"/>
      <c r="N268" s="67"/>
      <c r="O268" s="67"/>
      <c r="P268" s="67"/>
      <c r="Q268" s="67"/>
      <c r="R268" s="67"/>
      <c r="S268" s="67"/>
      <c r="T268" s="67"/>
      <c r="U268" s="67"/>
      <c r="V268" s="67"/>
      <c r="W268" s="67"/>
      <c r="X268" s="67"/>
      <c r="Y268" s="1"/>
      <c r="Z268" s="1"/>
      <c r="AA268" s="1"/>
      <c r="AB268" s="1"/>
      <c r="AC268" s="1"/>
      <c r="AD268" s="1"/>
      <c r="AE268" s="1"/>
      <c r="AF268" s="1"/>
      <c r="AG268" s="1"/>
      <c r="AH268" s="1"/>
      <c r="AI268" s="1"/>
      <c r="AJ268" s="1"/>
      <c r="AK268" s="1"/>
      <c r="AL268" s="1"/>
      <c r="AM268" s="1"/>
    </row>
    <row r="269">
      <c r="A269" s="67"/>
      <c r="B269" s="67"/>
      <c r="C269" s="76"/>
      <c r="D269" s="76"/>
      <c r="E269" s="76"/>
      <c r="F269" s="76"/>
      <c r="G269" s="67"/>
      <c r="H269" s="79"/>
      <c r="I269" s="77"/>
      <c r="J269" s="79"/>
      <c r="K269" s="547"/>
      <c r="L269" s="79"/>
      <c r="M269" s="67"/>
      <c r="N269" s="67"/>
      <c r="O269" s="67"/>
      <c r="P269" s="67"/>
      <c r="Q269" s="67"/>
      <c r="R269" s="67"/>
      <c r="S269" s="67"/>
      <c r="T269" s="67"/>
      <c r="U269" s="67"/>
      <c r="V269" s="67"/>
      <c r="W269" s="67"/>
      <c r="X269" s="67"/>
      <c r="Y269" s="1"/>
      <c r="Z269" s="1"/>
      <c r="AA269" s="1"/>
      <c r="AB269" s="1"/>
      <c r="AC269" s="1"/>
      <c r="AD269" s="1"/>
      <c r="AE269" s="1"/>
      <c r="AF269" s="1"/>
      <c r="AG269" s="1"/>
      <c r="AH269" s="1"/>
      <c r="AI269" s="1"/>
      <c r="AJ269" s="1"/>
      <c r="AK269" s="1"/>
      <c r="AL269" s="1"/>
      <c r="AM269" s="1"/>
    </row>
    <row r="270">
      <c r="A270" s="67"/>
      <c r="B270" s="67"/>
      <c r="C270" s="75"/>
      <c r="D270" s="76"/>
      <c r="E270" s="75"/>
      <c r="F270" s="76"/>
      <c r="G270" s="67"/>
      <c r="H270" s="79"/>
      <c r="I270" s="77"/>
      <c r="J270" s="79"/>
      <c r="K270" s="547"/>
      <c r="L270" s="79"/>
      <c r="M270" s="67"/>
      <c r="N270" s="67"/>
      <c r="O270" s="67"/>
      <c r="P270" s="67"/>
      <c r="Q270" s="67"/>
      <c r="R270" s="67"/>
      <c r="S270" s="67"/>
      <c r="T270" s="67"/>
      <c r="U270" s="67"/>
      <c r="V270" s="67"/>
      <c r="W270" s="67"/>
      <c r="X270" s="67"/>
      <c r="Y270" s="1"/>
      <c r="Z270" s="1"/>
      <c r="AA270" s="1"/>
      <c r="AB270" s="1"/>
      <c r="AC270" s="1"/>
      <c r="AD270" s="1"/>
      <c r="AE270" s="1"/>
      <c r="AF270" s="1"/>
      <c r="AG270" s="1"/>
      <c r="AH270" s="1"/>
      <c r="AI270" s="1"/>
      <c r="AJ270" s="1"/>
      <c r="AK270" s="1"/>
      <c r="AL270" s="1"/>
      <c r="AM270" s="1"/>
    </row>
    <row r="271">
      <c r="A271" s="67"/>
      <c r="B271" s="67"/>
      <c r="C271" s="75"/>
      <c r="D271" s="76"/>
      <c r="E271" s="75"/>
      <c r="F271" s="76"/>
      <c r="G271" s="67"/>
      <c r="H271" s="79"/>
      <c r="I271" s="77"/>
      <c r="J271" s="79"/>
      <c r="K271" s="547"/>
      <c r="L271" s="79"/>
      <c r="M271" s="67"/>
      <c r="N271" s="67"/>
      <c r="O271" s="67"/>
      <c r="P271" s="67"/>
      <c r="Q271" s="67"/>
      <c r="R271" s="67"/>
      <c r="S271" s="67"/>
      <c r="T271" s="67"/>
      <c r="U271" s="67"/>
      <c r="V271" s="67"/>
      <c r="W271" s="67"/>
      <c r="X271" s="67"/>
      <c r="Y271" s="1"/>
      <c r="Z271" s="1"/>
      <c r="AA271" s="1"/>
      <c r="AB271" s="1"/>
      <c r="AC271" s="1"/>
      <c r="AD271" s="1"/>
      <c r="AE271" s="1"/>
      <c r="AF271" s="1"/>
      <c r="AG271" s="1"/>
      <c r="AH271" s="1"/>
      <c r="AI271" s="1"/>
      <c r="AJ271" s="1"/>
      <c r="AK271" s="1"/>
      <c r="AL271" s="1"/>
      <c r="AM271" s="1"/>
    </row>
    <row r="272">
      <c r="A272" s="67"/>
      <c r="B272" s="67"/>
      <c r="C272" s="76"/>
      <c r="D272" s="76"/>
      <c r="E272" s="75"/>
      <c r="F272" s="76"/>
      <c r="G272" s="67"/>
      <c r="H272" s="79"/>
      <c r="I272" s="77"/>
      <c r="J272" s="79"/>
      <c r="K272" s="547"/>
      <c r="L272" s="79"/>
      <c r="M272" s="67"/>
      <c r="N272" s="67"/>
      <c r="O272" s="67"/>
      <c r="P272" s="67"/>
      <c r="Q272" s="67"/>
      <c r="R272" s="67"/>
      <c r="S272" s="67"/>
      <c r="T272" s="67"/>
      <c r="U272" s="67"/>
      <c r="V272" s="67"/>
      <c r="W272" s="67"/>
      <c r="X272" s="67"/>
      <c r="Y272" s="1"/>
      <c r="Z272" s="1"/>
      <c r="AA272" s="1"/>
      <c r="AB272" s="1"/>
      <c r="AC272" s="1"/>
      <c r="AD272" s="1"/>
      <c r="AE272" s="1"/>
      <c r="AF272" s="1"/>
      <c r="AG272" s="1"/>
      <c r="AH272" s="1"/>
      <c r="AI272" s="1"/>
      <c r="AJ272" s="1"/>
      <c r="AK272" s="1"/>
      <c r="AL272" s="1"/>
      <c r="AM272" s="1"/>
    </row>
    <row r="273">
      <c r="A273" s="67"/>
      <c r="B273" s="67"/>
      <c r="C273" s="76"/>
      <c r="D273" s="76"/>
      <c r="E273" s="75"/>
      <c r="F273" s="76"/>
      <c r="G273" s="67"/>
      <c r="H273" s="79"/>
      <c r="I273" s="77"/>
      <c r="J273" s="79"/>
      <c r="K273" s="547"/>
      <c r="L273" s="79"/>
      <c r="M273" s="67"/>
      <c r="N273" s="67"/>
      <c r="O273" s="67"/>
      <c r="P273" s="67"/>
      <c r="Q273" s="67"/>
      <c r="R273" s="67"/>
      <c r="S273" s="67"/>
      <c r="T273" s="67"/>
      <c r="U273" s="67"/>
      <c r="V273" s="67"/>
      <c r="W273" s="67"/>
      <c r="X273" s="67"/>
      <c r="Y273" s="1"/>
      <c r="Z273" s="1"/>
      <c r="AA273" s="1"/>
      <c r="AB273" s="1"/>
      <c r="AC273" s="1"/>
      <c r="AD273" s="1"/>
      <c r="AE273" s="1"/>
      <c r="AF273" s="1"/>
      <c r="AG273" s="1"/>
      <c r="AH273" s="1"/>
      <c r="AI273" s="1"/>
      <c r="AJ273" s="1"/>
      <c r="AK273" s="1"/>
      <c r="AL273" s="1"/>
      <c r="AM273" s="1"/>
    </row>
    <row r="274">
      <c r="A274" s="67"/>
      <c r="B274" s="67"/>
      <c r="C274" s="76"/>
      <c r="D274" s="76"/>
      <c r="E274" s="75"/>
      <c r="F274" s="76"/>
      <c r="G274" s="67"/>
      <c r="H274" s="79"/>
      <c r="I274" s="77"/>
      <c r="J274" s="79"/>
      <c r="K274" s="547"/>
      <c r="L274" s="79"/>
      <c r="M274" s="67"/>
      <c r="N274" s="67"/>
      <c r="O274" s="67"/>
      <c r="P274" s="67"/>
      <c r="Q274" s="67"/>
      <c r="R274" s="67"/>
      <c r="S274" s="67"/>
      <c r="T274" s="67"/>
      <c r="U274" s="67"/>
      <c r="V274" s="67"/>
      <c r="W274" s="67"/>
      <c r="X274" s="67"/>
      <c r="Y274" s="1"/>
      <c r="Z274" s="1"/>
      <c r="AA274" s="1"/>
      <c r="AB274" s="1"/>
      <c r="AC274" s="1"/>
      <c r="AD274" s="1"/>
      <c r="AE274" s="1"/>
      <c r="AF274" s="1"/>
      <c r="AG274" s="1"/>
      <c r="AH274" s="1"/>
      <c r="AI274" s="1"/>
      <c r="AJ274" s="1"/>
      <c r="AK274" s="1"/>
      <c r="AL274" s="1"/>
      <c r="AM274" s="1"/>
    </row>
    <row r="275">
      <c r="A275" s="67"/>
      <c r="B275" s="67"/>
      <c r="C275" s="76"/>
      <c r="D275" s="76"/>
      <c r="E275" s="75"/>
      <c r="F275" s="76"/>
      <c r="G275" s="67"/>
      <c r="H275" s="79"/>
      <c r="I275" s="77"/>
      <c r="J275" s="79"/>
      <c r="K275" s="547"/>
      <c r="L275" s="79"/>
      <c r="M275" s="67"/>
      <c r="N275" s="67"/>
      <c r="O275" s="67"/>
      <c r="P275" s="67"/>
      <c r="Q275" s="67"/>
      <c r="R275" s="67"/>
      <c r="S275" s="67"/>
      <c r="T275" s="67"/>
      <c r="U275" s="67"/>
      <c r="V275" s="67"/>
      <c r="W275" s="67"/>
      <c r="X275" s="67"/>
      <c r="Y275" s="1"/>
      <c r="Z275" s="1"/>
      <c r="AA275" s="1"/>
      <c r="AB275" s="1"/>
      <c r="AC275" s="1"/>
      <c r="AD275" s="1"/>
      <c r="AE275" s="1"/>
      <c r="AF275" s="1"/>
      <c r="AG275" s="1"/>
      <c r="AH275" s="1"/>
      <c r="AI275" s="1"/>
      <c r="AJ275" s="1"/>
      <c r="AK275" s="1"/>
      <c r="AL275" s="1"/>
      <c r="AM275" s="1"/>
    </row>
    <row r="276">
      <c r="A276" s="67"/>
      <c r="B276" s="67"/>
      <c r="C276" s="76"/>
      <c r="D276" s="76"/>
      <c r="E276" s="76"/>
      <c r="F276" s="76"/>
      <c r="G276" s="67"/>
      <c r="H276" s="80"/>
      <c r="I276" s="78"/>
      <c r="J276" s="80"/>
      <c r="K276" s="547"/>
      <c r="L276" s="80"/>
      <c r="M276" s="67"/>
      <c r="N276" s="67"/>
      <c r="O276" s="67"/>
      <c r="P276" s="67"/>
      <c r="Q276" s="67"/>
      <c r="R276" s="67"/>
      <c r="S276" s="67"/>
      <c r="T276" s="67"/>
      <c r="U276" s="67"/>
      <c r="V276" s="67"/>
      <c r="W276" s="67"/>
      <c r="X276" s="67"/>
      <c r="Y276" s="1"/>
      <c r="Z276" s="1"/>
      <c r="AA276" s="1"/>
      <c r="AB276" s="1"/>
      <c r="AC276" s="1"/>
      <c r="AD276" s="1"/>
      <c r="AE276" s="1"/>
      <c r="AF276" s="1"/>
      <c r="AG276" s="1"/>
      <c r="AH276" s="1"/>
      <c r="AI276" s="1"/>
      <c r="AJ276" s="1"/>
      <c r="AK276" s="1"/>
      <c r="AL276" s="1"/>
      <c r="AM276" s="1"/>
    </row>
    <row r="277">
      <c r="A277" s="67"/>
      <c r="B277" s="67"/>
      <c r="C277" s="76"/>
      <c r="D277" s="76"/>
      <c r="E277" s="76"/>
      <c r="F277" s="76"/>
      <c r="G277" s="67"/>
      <c r="H277" s="80"/>
      <c r="I277" s="78"/>
      <c r="J277" s="80"/>
      <c r="K277" s="547"/>
      <c r="L277" s="80"/>
      <c r="M277" s="67"/>
      <c r="N277" s="67"/>
      <c r="O277" s="67"/>
      <c r="P277" s="67"/>
      <c r="Q277" s="67"/>
      <c r="R277" s="67"/>
      <c r="S277" s="67"/>
      <c r="T277" s="67"/>
      <c r="U277" s="67"/>
      <c r="V277" s="67"/>
      <c r="W277" s="67"/>
      <c r="X277" s="67"/>
      <c r="Y277" s="1"/>
      <c r="Z277" s="1"/>
      <c r="AA277" s="1"/>
      <c r="AB277" s="1"/>
      <c r="AC277" s="1"/>
      <c r="AD277" s="1"/>
      <c r="AE277" s="1"/>
      <c r="AF277" s="1"/>
      <c r="AG277" s="1"/>
      <c r="AH277" s="1"/>
      <c r="AI277" s="1"/>
      <c r="AJ277" s="1"/>
      <c r="AK277" s="1"/>
      <c r="AL277" s="1"/>
      <c r="AM277" s="1"/>
    </row>
    <row r="278">
      <c r="A278" s="67"/>
      <c r="B278" s="67"/>
      <c r="C278" s="76"/>
      <c r="D278" s="76"/>
      <c r="E278" s="76"/>
      <c r="F278" s="76"/>
      <c r="G278" s="67"/>
      <c r="H278" s="80"/>
      <c r="I278" s="78"/>
      <c r="J278" s="80"/>
      <c r="K278" s="547"/>
      <c r="L278" s="80"/>
      <c r="M278" s="67"/>
      <c r="N278" s="67"/>
      <c r="O278" s="67"/>
      <c r="P278" s="67"/>
      <c r="Q278" s="67"/>
      <c r="R278" s="67"/>
      <c r="S278" s="67"/>
      <c r="T278" s="67"/>
      <c r="U278" s="67"/>
      <c r="V278" s="67"/>
      <c r="W278" s="67"/>
      <c r="X278" s="67"/>
      <c r="Y278" s="1"/>
      <c r="Z278" s="1"/>
      <c r="AA278" s="1"/>
      <c r="AB278" s="1"/>
      <c r="AC278" s="1"/>
      <c r="AD278" s="1"/>
      <c r="AE278" s="1"/>
      <c r="AF278" s="1"/>
      <c r="AG278" s="1"/>
      <c r="AH278" s="1"/>
      <c r="AI278" s="1"/>
      <c r="AJ278" s="1"/>
      <c r="AK278" s="1"/>
      <c r="AL278" s="1"/>
      <c r="AM278" s="1"/>
    </row>
    <row r="279">
      <c r="A279" s="67"/>
      <c r="B279" s="67"/>
      <c r="C279" s="76"/>
      <c r="D279" s="76"/>
      <c r="E279" s="76"/>
      <c r="F279" s="76"/>
      <c r="G279" s="67"/>
      <c r="H279" s="80"/>
      <c r="I279" s="78"/>
      <c r="J279" s="80"/>
      <c r="K279" s="547"/>
      <c r="L279" s="80"/>
      <c r="M279" s="67"/>
      <c r="N279" s="67"/>
      <c r="O279" s="67"/>
      <c r="P279" s="67"/>
      <c r="Q279" s="67"/>
      <c r="R279" s="67"/>
      <c r="S279" s="67"/>
      <c r="T279" s="67"/>
      <c r="U279" s="67"/>
      <c r="V279" s="67"/>
      <c r="W279" s="67"/>
      <c r="X279" s="67"/>
      <c r="Y279" s="1"/>
      <c r="Z279" s="1"/>
      <c r="AA279" s="1"/>
      <c r="AB279" s="1"/>
      <c r="AC279" s="1"/>
      <c r="AD279" s="1"/>
      <c r="AE279" s="1"/>
      <c r="AF279" s="1"/>
      <c r="AG279" s="1"/>
      <c r="AH279" s="1"/>
      <c r="AI279" s="1"/>
      <c r="AJ279" s="1"/>
      <c r="AK279" s="1"/>
      <c r="AL279" s="1"/>
      <c r="AM279" s="1"/>
    </row>
  </sheetData>
  <mergeCells count="26">
    <mergeCell ref="A2:M4"/>
    <mergeCell ref="B6:D6"/>
    <mergeCell ref="F6:M6"/>
    <mergeCell ref="B7:D7"/>
    <mergeCell ref="F7:M7"/>
    <mergeCell ref="B8:D8"/>
    <mergeCell ref="F8:M8"/>
    <mergeCell ref="A10:D10"/>
    <mergeCell ref="B11:C11"/>
    <mergeCell ref="B12:C12"/>
    <mergeCell ref="B13:C13"/>
    <mergeCell ref="B14:C14"/>
    <mergeCell ref="E14:F14"/>
    <mergeCell ref="E15:G15"/>
    <mergeCell ref="B20:C20"/>
    <mergeCell ref="B21:C21"/>
    <mergeCell ref="B22:C22"/>
    <mergeCell ref="B23:C23"/>
    <mergeCell ref="K254:K255"/>
    <mergeCell ref="B15:C15"/>
    <mergeCell ref="B16:C16"/>
    <mergeCell ref="G16:I16"/>
    <mergeCell ref="B17:C17"/>
    <mergeCell ref="G17:I17"/>
    <mergeCell ref="B18:C18"/>
    <mergeCell ref="B19:C19"/>
  </mergeCells>
  <dataValidations>
    <dataValidation type="list" allowBlank="1" showDropDown="1" showErrorMessage="1" sqref="B27:B37 B40:B42 B47:B48 B53:B57 B61:B74 B76:B80 B82 B84:B86 B88:B96 B98:B109 B111:B122 B124:B133 B135:B137 B139:B141 B143:B145 B147:B149 B151 B154:B158 B161:B163 B172:B173 B175:B177 B179:B180 B182:B184 B186 B188 B196">
      <formula1>'Rate card'!$A$4:$A279</formula1>
    </dataValidation>
  </dataValidations>
  <hyperlinks>
    <hyperlink r:id="rId1" ref="E10"/>
    <hyperlink r:id="rId2" ref="A12"/>
    <hyperlink r:id="rId3" ref="A25"/>
    <hyperlink r:id="rId4" ref="A169"/>
  </hyperlinks>
  <printOptions horizontalCentered="1"/>
  <pageMargins bottom="0.75" footer="0.0" header="0.0" left="0.25" right="0.25" top="0.75"/>
  <pageSetup fitToHeight="0" paperSize="9" cellComments="atEnd" orientation="landscape" pageOrder="overThenDown"/>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hidden="1" min="2" max="2" width="6.38"/>
    <col customWidth="1" min="3" max="3" width="17.75"/>
    <col customWidth="1" min="4" max="4" width="21.38"/>
    <col customWidth="1" min="5" max="5" width="25.5"/>
    <col customWidth="1" min="6" max="6" width="39.63"/>
    <col customWidth="1" min="11" max="11" width="14.75"/>
    <col hidden="1" min="13" max="13" width="12.63"/>
    <col customWidth="1" min="14" max="14" width="20.38"/>
    <col customWidth="1" min="15" max="15" width="19.63"/>
    <col customWidth="1" min="16" max="16" width="29.25"/>
    <col hidden="1" min="17" max="18" width="12.63"/>
  </cols>
  <sheetData>
    <row r="1">
      <c r="A1" s="281"/>
      <c r="B1" s="281"/>
      <c r="C1" s="281"/>
      <c r="D1" s="281"/>
      <c r="E1" s="281"/>
      <c r="F1" s="281"/>
      <c r="G1" s="281"/>
      <c r="H1" s="282"/>
      <c r="I1" s="283"/>
      <c r="J1" s="282"/>
      <c r="K1" s="282"/>
      <c r="L1" s="282"/>
      <c r="M1" s="282"/>
      <c r="N1" s="281"/>
      <c r="O1" s="281"/>
      <c r="P1" s="281"/>
      <c r="Q1" s="281"/>
      <c r="R1" s="281"/>
      <c r="S1" s="281"/>
      <c r="T1" s="281"/>
      <c r="U1" s="281"/>
      <c r="V1" s="281"/>
      <c r="W1" s="281"/>
      <c r="X1" s="281"/>
      <c r="Y1" s="281"/>
      <c r="Z1" s="281"/>
      <c r="AA1" s="281"/>
      <c r="AB1" s="281"/>
      <c r="AC1" s="281"/>
      <c r="AD1" s="281"/>
      <c r="AE1" s="281"/>
      <c r="AF1" s="281"/>
      <c r="AG1" s="281"/>
      <c r="AH1" s="281"/>
      <c r="AI1" s="281"/>
      <c r="AJ1" s="281"/>
      <c r="AK1" s="281"/>
      <c r="AL1" s="281"/>
      <c r="AM1" s="281"/>
    </row>
    <row r="2">
      <c r="A2" s="284"/>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row>
    <row r="3">
      <c r="O3" s="281"/>
      <c r="P3" s="281"/>
      <c r="Q3" s="281"/>
      <c r="R3" s="281"/>
      <c r="S3" s="281"/>
      <c r="T3" s="281"/>
      <c r="U3" s="281"/>
      <c r="V3" s="281"/>
      <c r="W3" s="281"/>
      <c r="X3" s="281"/>
      <c r="Y3" s="281"/>
      <c r="Z3" s="281"/>
      <c r="AA3" s="281"/>
      <c r="AB3" s="281"/>
      <c r="AC3" s="281"/>
      <c r="AD3" s="281"/>
      <c r="AE3" s="281"/>
      <c r="AF3" s="281"/>
      <c r="AG3" s="281"/>
      <c r="AH3" s="281"/>
      <c r="AI3" s="281"/>
      <c r="AJ3" s="281"/>
      <c r="AK3" s="281"/>
      <c r="AL3" s="281"/>
      <c r="AM3" s="281"/>
    </row>
    <row r="4">
      <c r="O4" s="281"/>
      <c r="P4" s="281"/>
      <c r="Q4" s="281"/>
      <c r="R4" s="281"/>
      <c r="S4" s="281"/>
      <c r="T4" s="281"/>
      <c r="U4" s="281"/>
      <c r="V4" s="281"/>
      <c r="W4" s="281"/>
      <c r="X4" s="281"/>
      <c r="Y4" s="281"/>
      <c r="Z4" s="281"/>
      <c r="AA4" s="281"/>
      <c r="AB4" s="281"/>
      <c r="AC4" s="281"/>
      <c r="AD4" s="281"/>
      <c r="AE4" s="281"/>
      <c r="AF4" s="281"/>
      <c r="AG4" s="281"/>
      <c r="AH4" s="281"/>
      <c r="AI4" s="281"/>
      <c r="AJ4" s="281"/>
      <c r="AK4" s="281"/>
      <c r="AL4" s="281"/>
      <c r="AM4" s="281"/>
    </row>
    <row r="5">
      <c r="A5" s="285"/>
      <c r="B5" s="285"/>
      <c r="C5" s="285"/>
      <c r="D5" s="285"/>
      <c r="E5" s="285"/>
      <c r="F5" s="285"/>
      <c r="G5" s="285"/>
      <c r="H5" s="286"/>
      <c r="I5" s="287"/>
      <c r="J5" s="286"/>
      <c r="K5" s="286"/>
      <c r="L5" s="286"/>
      <c r="M5" s="286"/>
      <c r="N5" s="285"/>
      <c r="O5" s="281"/>
      <c r="P5" s="281"/>
      <c r="Q5" s="281"/>
      <c r="R5" s="281"/>
      <c r="S5" s="281"/>
      <c r="T5" s="281"/>
      <c r="U5" s="281"/>
      <c r="V5" s="281"/>
      <c r="W5" s="281"/>
      <c r="X5" s="281"/>
      <c r="Y5" s="281"/>
      <c r="Z5" s="281"/>
      <c r="AA5" s="281"/>
      <c r="AB5" s="281"/>
      <c r="AC5" s="281"/>
      <c r="AD5" s="281"/>
      <c r="AE5" s="281"/>
      <c r="AF5" s="281"/>
      <c r="AG5" s="281"/>
      <c r="AH5" s="281"/>
      <c r="AI5" s="281"/>
      <c r="AJ5" s="281"/>
      <c r="AK5" s="281"/>
      <c r="AL5" s="281"/>
      <c r="AM5" s="281"/>
    </row>
    <row r="6">
      <c r="A6" s="288" t="s">
        <v>2</v>
      </c>
      <c r="B6" s="289">
        <v>45730.0</v>
      </c>
      <c r="C6" s="11"/>
      <c r="D6" s="12"/>
      <c r="E6" s="290" t="s">
        <v>3</v>
      </c>
      <c r="F6" s="291"/>
      <c r="G6" s="11"/>
      <c r="H6" s="11"/>
      <c r="I6" s="11"/>
      <c r="J6" s="11"/>
      <c r="K6" s="11"/>
      <c r="L6" s="11"/>
      <c r="M6" s="11"/>
      <c r="N6" s="12"/>
      <c r="O6" s="281"/>
      <c r="P6" s="281"/>
      <c r="Q6" s="281"/>
      <c r="R6" s="281"/>
      <c r="S6" s="281"/>
      <c r="T6" s="281"/>
      <c r="U6" s="281"/>
      <c r="V6" s="281"/>
      <c r="W6" s="281"/>
      <c r="X6" s="281"/>
      <c r="Y6" s="281"/>
      <c r="Z6" s="281"/>
      <c r="AA6" s="281"/>
      <c r="AB6" s="281"/>
      <c r="AC6" s="281"/>
      <c r="AD6" s="281"/>
      <c r="AE6" s="281"/>
      <c r="AF6" s="281"/>
      <c r="AG6" s="281"/>
      <c r="AH6" s="281"/>
      <c r="AI6" s="281"/>
      <c r="AJ6" s="281"/>
      <c r="AK6" s="281"/>
      <c r="AL6" s="281"/>
      <c r="AM6" s="281"/>
    </row>
    <row r="7">
      <c r="A7" s="288" t="s">
        <v>4</v>
      </c>
      <c r="B7" s="291" t="s">
        <v>5</v>
      </c>
      <c r="C7" s="11"/>
      <c r="D7" s="12"/>
      <c r="E7" s="290" t="s">
        <v>6</v>
      </c>
      <c r="F7" s="292">
        <v>0.0</v>
      </c>
      <c r="G7" s="11"/>
      <c r="H7" s="11"/>
      <c r="I7" s="11"/>
      <c r="J7" s="11"/>
      <c r="K7" s="11"/>
      <c r="L7" s="11"/>
      <c r="M7" s="11"/>
      <c r="N7" s="12"/>
      <c r="O7" s="281"/>
      <c r="P7" s="281"/>
      <c r="Q7" s="281"/>
      <c r="R7" s="281"/>
      <c r="S7" s="281"/>
      <c r="T7" s="281"/>
      <c r="U7" s="281"/>
      <c r="V7" s="281"/>
      <c r="W7" s="281"/>
      <c r="X7" s="281"/>
      <c r="Y7" s="281"/>
      <c r="Z7" s="281"/>
      <c r="AA7" s="281"/>
      <c r="AB7" s="281"/>
      <c r="AC7" s="281"/>
      <c r="AD7" s="281"/>
      <c r="AE7" s="281"/>
      <c r="AF7" s="281"/>
      <c r="AG7" s="281"/>
      <c r="AH7" s="281"/>
      <c r="AI7" s="281"/>
      <c r="AJ7" s="281"/>
      <c r="AK7" s="281"/>
      <c r="AL7" s="281"/>
      <c r="AM7" s="281"/>
    </row>
    <row r="8">
      <c r="A8" s="288" t="s">
        <v>7</v>
      </c>
      <c r="B8" s="291" t="s">
        <v>8</v>
      </c>
      <c r="C8" s="11"/>
      <c r="D8" s="12"/>
      <c r="E8" s="290" t="s">
        <v>9</v>
      </c>
      <c r="F8" s="291" t="s">
        <v>10</v>
      </c>
      <c r="G8" s="11"/>
      <c r="H8" s="11"/>
      <c r="I8" s="11"/>
      <c r="J8" s="11"/>
      <c r="K8" s="11"/>
      <c r="L8" s="11"/>
      <c r="M8" s="11"/>
      <c r="N8" s="12"/>
      <c r="O8" s="281"/>
      <c r="P8" s="281"/>
      <c r="Q8" s="281"/>
      <c r="R8" s="281"/>
      <c r="S8" s="281"/>
      <c r="T8" s="281"/>
      <c r="U8" s="281"/>
      <c r="V8" s="281"/>
      <c r="W8" s="281"/>
      <c r="X8" s="281"/>
      <c r="Y8" s="281"/>
      <c r="Z8" s="281"/>
      <c r="AA8" s="281"/>
      <c r="AB8" s="281"/>
      <c r="AC8" s="281"/>
      <c r="AD8" s="281"/>
      <c r="AE8" s="281"/>
      <c r="AF8" s="281"/>
      <c r="AG8" s="281"/>
      <c r="AH8" s="281"/>
      <c r="AI8" s="281"/>
      <c r="AJ8" s="281"/>
      <c r="AK8" s="281"/>
      <c r="AL8" s="281"/>
      <c r="AM8" s="281"/>
    </row>
    <row r="9">
      <c r="A9" s="281"/>
      <c r="B9" s="281"/>
      <c r="C9" s="281"/>
      <c r="D9" s="281"/>
      <c r="E9" s="281"/>
      <c r="F9" s="281"/>
      <c r="G9" s="281"/>
      <c r="H9" s="282"/>
      <c r="I9" s="283"/>
      <c r="J9" s="282"/>
      <c r="K9" s="282"/>
      <c r="L9" s="282"/>
      <c r="M9" s="282"/>
      <c r="N9" s="281"/>
      <c r="O9" s="281"/>
      <c r="P9" s="281"/>
      <c r="Q9" s="281"/>
      <c r="R9" s="281"/>
      <c r="S9" s="513" t="s">
        <v>656</v>
      </c>
      <c r="T9" s="281"/>
      <c r="U9" s="513"/>
      <c r="V9" s="281"/>
      <c r="W9" s="513" t="s">
        <v>657</v>
      </c>
      <c r="X9" s="281"/>
      <c r="Y9" s="281"/>
      <c r="Z9" s="281"/>
      <c r="AA9" s="281"/>
      <c r="AB9" s="281"/>
      <c r="AC9" s="281"/>
      <c r="AD9" s="281"/>
      <c r="AE9" s="281"/>
      <c r="AF9" s="281"/>
      <c r="AG9" s="281"/>
      <c r="AH9" s="281"/>
      <c r="AI9" s="281"/>
      <c r="AJ9" s="281"/>
      <c r="AK9" s="281"/>
      <c r="AL9" s="281"/>
      <c r="AM9" s="281"/>
    </row>
    <row r="10">
      <c r="A10" s="22" t="s">
        <v>11</v>
      </c>
      <c r="B10" s="16"/>
      <c r="C10" s="16"/>
      <c r="D10" s="17"/>
      <c r="E10" s="281"/>
      <c r="F10" s="293"/>
      <c r="G10" s="23" t="s">
        <v>12</v>
      </c>
      <c r="H10" s="24" t="s">
        <v>13</v>
      </c>
      <c r="I10" s="25" t="s">
        <v>14</v>
      </c>
      <c r="J10" s="282"/>
      <c r="K10" s="282"/>
      <c r="L10" s="282"/>
      <c r="M10" s="282"/>
      <c r="N10" s="281"/>
      <c r="O10" s="281"/>
      <c r="P10" s="281"/>
      <c r="Q10" s="281"/>
      <c r="R10" s="281"/>
      <c r="S10" s="293" t="s">
        <v>658</v>
      </c>
      <c r="T10" s="281"/>
      <c r="U10" s="293"/>
      <c r="V10" s="281"/>
      <c r="W10" s="281"/>
      <c r="X10" s="281"/>
      <c r="Y10" s="281"/>
      <c r="Z10" s="281"/>
      <c r="AA10" s="281"/>
      <c r="AB10" s="281"/>
      <c r="AC10" s="281"/>
      <c r="AD10" s="281"/>
      <c r="AE10" s="281"/>
      <c r="AF10" s="281"/>
      <c r="AG10" s="281"/>
      <c r="AH10" s="281"/>
      <c r="AI10" s="281"/>
      <c r="AJ10" s="281"/>
      <c r="AK10" s="281"/>
      <c r="AL10" s="281"/>
      <c r="AM10" s="281"/>
    </row>
    <row r="11">
      <c r="A11" s="294"/>
      <c r="B11" s="29" t="s">
        <v>15</v>
      </c>
      <c r="C11" s="17"/>
      <c r="D11" s="30">
        <v>1673.0</v>
      </c>
      <c r="E11" s="295"/>
      <c r="F11" s="293"/>
      <c r="G11" s="31" t="s">
        <v>16</v>
      </c>
      <c r="H11" s="32" t="s">
        <v>17</v>
      </c>
      <c r="I11" s="33">
        <f>J248</f>
        <v>460000</v>
      </c>
      <c r="J11" s="282"/>
      <c r="K11" s="282"/>
      <c r="L11" s="282"/>
      <c r="M11" s="282"/>
      <c r="N11" s="281"/>
      <c r="O11" s="281"/>
      <c r="P11" s="281"/>
      <c r="Q11" s="281"/>
      <c r="R11" s="281"/>
      <c r="S11" s="293" t="s">
        <v>659</v>
      </c>
      <c r="T11" s="281"/>
      <c r="U11" s="293"/>
      <c r="V11" s="281"/>
      <c r="W11" s="281"/>
      <c r="X11" s="281"/>
      <c r="Y11" s="281"/>
      <c r="Z11" s="281"/>
      <c r="AA11" s="281"/>
      <c r="AB11" s="281"/>
      <c r="AC11" s="281"/>
      <c r="AD11" s="281"/>
      <c r="AE11" s="281"/>
      <c r="AF11" s="281"/>
      <c r="AG11" s="281"/>
      <c r="AH11" s="281"/>
      <c r="AI11" s="281"/>
      <c r="AJ11" s="281"/>
      <c r="AK11" s="281"/>
      <c r="AL11" s="281"/>
      <c r="AM11" s="281"/>
    </row>
    <row r="12">
      <c r="A12" s="23" t="s">
        <v>12</v>
      </c>
      <c r="B12" s="29" t="s">
        <v>13</v>
      </c>
      <c r="C12" s="17"/>
      <c r="D12" s="24" t="s">
        <v>14</v>
      </c>
      <c r="E12" s="295"/>
      <c r="F12" s="293"/>
      <c r="G12" s="31" t="s">
        <v>18</v>
      </c>
      <c r="H12" s="32" t="s">
        <v>19</v>
      </c>
      <c r="I12" s="33">
        <f>L262</f>
        <v>2810400</v>
      </c>
      <c r="J12" s="282"/>
      <c r="K12" s="282"/>
      <c r="L12" s="282"/>
      <c r="M12" s="282"/>
      <c r="N12" s="281"/>
      <c r="O12" s="281"/>
      <c r="P12" s="281"/>
      <c r="Q12" s="281"/>
      <c r="R12" s="281"/>
      <c r="S12" s="293" t="s">
        <v>660</v>
      </c>
      <c r="T12" s="281"/>
      <c r="U12" s="293"/>
      <c r="V12" s="281"/>
      <c r="W12" s="281"/>
      <c r="X12" s="281"/>
      <c r="Y12" s="281"/>
      <c r="Z12" s="281"/>
      <c r="AA12" s="281"/>
      <c r="AB12" s="281"/>
      <c r="AC12" s="281"/>
      <c r="AD12" s="281"/>
      <c r="AE12" s="281"/>
      <c r="AF12" s="281"/>
      <c r="AG12" s="281"/>
      <c r="AH12" s="281"/>
      <c r="AI12" s="281"/>
      <c r="AJ12" s="281"/>
      <c r="AK12" s="281"/>
      <c r="AL12" s="281"/>
      <c r="AM12" s="281"/>
    </row>
    <row r="13">
      <c r="A13" s="31" t="s">
        <v>16</v>
      </c>
      <c r="B13" s="34" t="s">
        <v>20</v>
      </c>
      <c r="C13" s="17"/>
      <c r="D13" s="35">
        <f>L43</f>
        <v>845895</v>
      </c>
      <c r="E13" s="296"/>
      <c r="F13" s="297"/>
      <c r="G13" s="298"/>
      <c r="H13" s="30" t="s">
        <v>23</v>
      </c>
      <c r="I13" s="25">
        <f>SUM(I11:I12)</f>
        <v>3270400</v>
      </c>
      <c r="J13" s="299"/>
      <c r="K13" s="299"/>
      <c r="L13" s="299"/>
      <c r="M13" s="299"/>
      <c r="N13" s="281"/>
      <c r="O13" s="281"/>
      <c r="P13" s="281"/>
      <c r="Q13" s="281"/>
      <c r="R13" s="281"/>
      <c r="S13" s="293" t="s">
        <v>661</v>
      </c>
      <c r="T13" s="281"/>
      <c r="U13" s="293"/>
      <c r="V13" s="281"/>
      <c r="W13" s="281"/>
      <c r="X13" s="281"/>
      <c r="Y13" s="300"/>
      <c r="Z13" s="281"/>
      <c r="AA13" s="281"/>
      <c r="AB13" s="281"/>
      <c r="AC13" s="281"/>
      <c r="AD13" s="281"/>
      <c r="AE13" s="281"/>
      <c r="AF13" s="281"/>
      <c r="AG13" s="281"/>
      <c r="AH13" s="281"/>
      <c r="AI13" s="281"/>
      <c r="AJ13" s="281"/>
      <c r="AK13" s="281"/>
      <c r="AL13" s="281"/>
      <c r="AM13" s="281"/>
    </row>
    <row r="14">
      <c r="A14" s="31" t="s">
        <v>18</v>
      </c>
      <c r="B14" s="34" t="s">
        <v>22</v>
      </c>
      <c r="C14" s="17"/>
      <c r="D14" s="35">
        <f>L49</f>
        <v>185000</v>
      </c>
      <c r="E14" s="296"/>
      <c r="F14" s="281"/>
      <c r="G14" s="577" t="s">
        <v>26</v>
      </c>
      <c r="H14" s="17"/>
      <c r="I14" s="578">
        <f>D22+I11+I12</f>
        <v>12941066</v>
      </c>
      <c r="J14" s="299"/>
      <c r="K14" s="299"/>
      <c r="L14" s="299"/>
      <c r="M14" s="299"/>
      <c r="N14" s="281"/>
      <c r="O14" s="281"/>
      <c r="P14" s="281"/>
      <c r="Q14" s="281"/>
      <c r="R14" s="281"/>
      <c r="S14" s="293" t="s">
        <v>662</v>
      </c>
      <c r="T14" s="281"/>
      <c r="U14" s="281"/>
      <c r="V14" s="281"/>
      <c r="X14" s="281"/>
      <c r="Y14" s="300"/>
      <c r="Z14" s="281"/>
      <c r="AA14" s="281"/>
      <c r="AB14" s="281"/>
      <c r="AC14" s="281"/>
      <c r="AD14" s="281"/>
      <c r="AE14" s="281"/>
      <c r="AF14" s="281"/>
      <c r="AG14" s="281"/>
      <c r="AH14" s="281"/>
      <c r="AI14" s="281"/>
      <c r="AJ14" s="281"/>
      <c r="AK14" s="281"/>
      <c r="AL14" s="281"/>
      <c r="AM14" s="281"/>
    </row>
    <row r="15">
      <c r="A15" s="31" t="s">
        <v>24</v>
      </c>
      <c r="B15" s="34" t="s">
        <v>25</v>
      </c>
      <c r="C15" s="17"/>
      <c r="D15" s="35">
        <f>L52</f>
        <v>585550</v>
      </c>
      <c r="E15" s="296"/>
      <c r="F15" s="281"/>
      <c r="G15" s="303" t="s">
        <v>29</v>
      </c>
      <c r="H15" s="16"/>
      <c r="I15" s="17"/>
      <c r="J15" s="299"/>
      <c r="K15" s="299"/>
      <c r="L15" s="299"/>
      <c r="M15" s="299"/>
      <c r="N15" s="281"/>
      <c r="O15" s="281"/>
      <c r="P15" s="281"/>
      <c r="Q15" s="281"/>
      <c r="R15" s="281"/>
      <c r="S15" s="293" t="s">
        <v>663</v>
      </c>
      <c r="T15" s="281"/>
      <c r="U15" s="281"/>
      <c r="V15" s="281"/>
      <c r="W15" s="281"/>
      <c r="X15" s="281"/>
      <c r="Y15" s="300"/>
      <c r="Z15" s="281"/>
      <c r="AA15" s="281"/>
      <c r="AB15" s="281"/>
      <c r="AC15" s="281"/>
      <c r="AD15" s="281"/>
      <c r="AE15" s="281"/>
      <c r="AF15" s="281"/>
      <c r="AG15" s="281"/>
      <c r="AH15" s="281"/>
      <c r="AI15" s="281"/>
      <c r="AJ15" s="281"/>
      <c r="AK15" s="281"/>
      <c r="AL15" s="281"/>
      <c r="AM15" s="281"/>
    </row>
    <row r="16">
      <c r="A16" s="31" t="s">
        <v>27</v>
      </c>
      <c r="B16" s="34" t="s">
        <v>28</v>
      </c>
      <c r="C16" s="17"/>
      <c r="D16" s="35">
        <f>L60</f>
        <v>394840</v>
      </c>
      <c r="E16" s="296"/>
      <c r="F16" s="281"/>
      <c r="G16" s="304"/>
      <c r="J16" s="299"/>
      <c r="K16" s="299"/>
      <c r="L16" s="299"/>
      <c r="M16" s="299"/>
      <c r="N16" s="281"/>
      <c r="O16" s="281"/>
      <c r="P16" s="281"/>
      <c r="Q16" s="281"/>
      <c r="R16" s="281"/>
      <c r="S16" s="293" t="s">
        <v>664</v>
      </c>
      <c r="T16" s="281"/>
      <c r="U16" s="281"/>
      <c r="V16" s="281"/>
      <c r="W16" s="281"/>
      <c r="X16" s="281"/>
      <c r="Y16" s="281"/>
      <c r="Z16" s="281"/>
      <c r="AA16" s="281"/>
      <c r="AB16" s="281"/>
      <c r="AC16" s="281"/>
      <c r="AD16" s="281"/>
      <c r="AE16" s="281"/>
      <c r="AF16" s="281"/>
      <c r="AG16" s="281"/>
      <c r="AH16" s="281"/>
      <c r="AI16" s="281"/>
      <c r="AJ16" s="281"/>
      <c r="AK16" s="281"/>
      <c r="AL16" s="281"/>
      <c r="AM16" s="281"/>
    </row>
    <row r="17">
      <c r="A17" s="31" t="s">
        <v>30</v>
      </c>
      <c r="B17" s="47" t="s">
        <v>31</v>
      </c>
      <c r="C17" s="17"/>
      <c r="D17" s="35">
        <f>L153</f>
        <v>5298040</v>
      </c>
      <c r="E17" s="305"/>
      <c r="F17" s="281"/>
      <c r="G17" s="306"/>
      <c r="J17" s="299"/>
      <c r="K17" s="299"/>
      <c r="L17" s="299"/>
      <c r="M17" s="299"/>
      <c r="N17" s="281"/>
      <c r="O17" s="281"/>
      <c r="P17" s="281"/>
      <c r="Q17" s="281"/>
      <c r="R17" s="281"/>
      <c r="S17" s="293" t="s">
        <v>665</v>
      </c>
      <c r="T17" s="281"/>
      <c r="U17" s="281"/>
      <c r="V17" s="304"/>
      <c r="Y17" s="281"/>
      <c r="Z17" s="281"/>
      <c r="AA17" s="281"/>
      <c r="AB17" s="281"/>
      <c r="AC17" s="281"/>
      <c r="AD17" s="281"/>
      <c r="AE17" s="281"/>
      <c r="AF17" s="281"/>
      <c r="AG17" s="281"/>
      <c r="AH17" s="281"/>
      <c r="AI17" s="281"/>
      <c r="AJ17" s="281"/>
      <c r="AK17" s="281"/>
      <c r="AL17" s="281"/>
      <c r="AM17" s="281"/>
    </row>
    <row r="18">
      <c r="A18" s="31" t="s">
        <v>32</v>
      </c>
      <c r="B18" s="47" t="s">
        <v>33</v>
      </c>
      <c r="C18" s="17"/>
      <c r="D18" s="35">
        <f>L160</f>
        <v>1073478.5</v>
      </c>
      <c r="E18" s="296"/>
      <c r="F18" s="281"/>
      <c r="G18" s="281"/>
      <c r="H18" s="281"/>
      <c r="I18" s="281"/>
      <c r="J18" s="299"/>
      <c r="K18" s="299"/>
      <c r="L18" s="299"/>
      <c r="M18" s="299"/>
      <c r="N18" s="281"/>
      <c r="O18" s="281"/>
      <c r="P18" s="281"/>
      <c r="Q18" s="281"/>
      <c r="R18" s="281"/>
      <c r="S18" s="281"/>
      <c r="T18" s="296"/>
      <c r="U18" s="281"/>
      <c r="V18" s="281"/>
      <c r="W18" s="281"/>
      <c r="X18" s="281"/>
      <c r="Y18" s="281"/>
      <c r="Z18" s="281"/>
      <c r="AA18" s="281"/>
      <c r="AB18" s="281"/>
      <c r="AC18" s="281"/>
      <c r="AD18" s="281"/>
      <c r="AE18" s="281"/>
      <c r="AF18" s="281"/>
      <c r="AG18" s="281"/>
      <c r="AH18" s="281"/>
      <c r="AI18" s="281"/>
      <c r="AJ18" s="281"/>
      <c r="AK18" s="281"/>
      <c r="AL18" s="281"/>
      <c r="AM18" s="281"/>
    </row>
    <row r="19">
      <c r="A19" s="31" t="s">
        <v>34</v>
      </c>
      <c r="B19" s="47" t="s">
        <v>35</v>
      </c>
      <c r="C19" s="17"/>
      <c r="D19" s="35">
        <f>J165</f>
        <v>190000</v>
      </c>
      <c r="E19" s="296"/>
      <c r="F19" s="281"/>
      <c r="G19" s="281"/>
      <c r="H19" s="281"/>
      <c r="I19" s="283"/>
      <c r="J19" s="299"/>
      <c r="K19" s="299"/>
      <c r="L19" s="299"/>
      <c r="M19" s="299"/>
      <c r="N19" s="281"/>
      <c r="O19" s="281"/>
      <c r="P19" s="281"/>
      <c r="Q19" s="281"/>
      <c r="R19" s="281"/>
      <c r="S19" s="281"/>
      <c r="T19" s="293"/>
      <c r="U19" s="281"/>
      <c r="V19" s="281"/>
      <c r="W19" s="281"/>
      <c r="X19" s="281"/>
      <c r="Y19" s="281"/>
      <c r="Z19" s="281"/>
      <c r="AA19" s="281"/>
      <c r="AB19" s="281"/>
      <c r="AC19" s="281"/>
      <c r="AD19" s="281"/>
      <c r="AE19" s="281"/>
      <c r="AF19" s="281"/>
      <c r="AG19" s="281"/>
      <c r="AH19" s="281"/>
      <c r="AI19" s="281"/>
      <c r="AJ19" s="281"/>
      <c r="AK19" s="281"/>
      <c r="AL19" s="281"/>
      <c r="AM19" s="281"/>
    </row>
    <row r="20">
      <c r="A20" s="31"/>
      <c r="B20" s="49" t="s">
        <v>678</v>
      </c>
      <c r="C20" s="17"/>
      <c r="D20" s="35">
        <f>J210</f>
        <v>597862.5</v>
      </c>
      <c r="E20" s="281"/>
      <c r="F20" s="281"/>
      <c r="G20" s="281"/>
      <c r="H20" s="281"/>
      <c r="I20" s="283"/>
      <c r="J20" s="299"/>
      <c r="K20" s="299"/>
      <c r="L20" s="299"/>
      <c r="M20" s="299"/>
      <c r="N20" s="281"/>
      <c r="O20" s="281"/>
      <c r="P20" s="281"/>
      <c r="Q20" s="281"/>
      <c r="R20" s="281"/>
      <c r="S20" s="281"/>
      <c r="T20" s="293"/>
      <c r="U20" s="281"/>
      <c r="V20" s="281"/>
      <c r="W20" s="281"/>
      <c r="X20" s="281"/>
      <c r="Y20" s="281"/>
      <c r="Z20" s="281"/>
      <c r="AA20" s="281"/>
      <c r="AB20" s="281"/>
      <c r="AC20" s="281"/>
      <c r="AD20" s="281"/>
      <c r="AE20" s="281"/>
      <c r="AF20" s="281"/>
      <c r="AG20" s="281"/>
      <c r="AH20" s="281"/>
      <c r="AI20" s="281"/>
      <c r="AJ20" s="281"/>
      <c r="AK20" s="281"/>
      <c r="AL20" s="281"/>
      <c r="AM20" s="281"/>
    </row>
    <row r="21">
      <c r="A21" s="31" t="s">
        <v>36</v>
      </c>
      <c r="B21" s="49" t="s">
        <v>37</v>
      </c>
      <c r="C21" s="17"/>
      <c r="D21" s="35">
        <v>500000.0</v>
      </c>
      <c r="E21" s="281"/>
      <c r="F21" s="281"/>
      <c r="G21" s="281"/>
      <c r="H21" s="281"/>
      <c r="I21" s="283"/>
      <c r="J21" s="299"/>
      <c r="K21" s="299"/>
      <c r="L21" s="299"/>
      <c r="M21" s="299"/>
      <c r="N21" s="281"/>
      <c r="O21" s="281"/>
      <c r="P21" s="281"/>
      <c r="Q21" s="281"/>
      <c r="R21" s="281"/>
      <c r="S21" s="281"/>
      <c r="T21" s="293"/>
      <c r="U21" s="281"/>
      <c r="V21" s="281"/>
      <c r="W21" s="281"/>
      <c r="X21" s="281"/>
      <c r="Y21" s="281"/>
      <c r="Z21" s="281"/>
      <c r="AA21" s="281"/>
      <c r="AB21" s="281"/>
      <c r="AC21" s="281"/>
      <c r="AD21" s="281"/>
      <c r="AE21" s="281"/>
      <c r="AF21" s="281"/>
      <c r="AG21" s="281"/>
      <c r="AH21" s="281"/>
      <c r="AI21" s="281"/>
      <c r="AJ21" s="281"/>
      <c r="AK21" s="281"/>
      <c r="AL21" s="281"/>
      <c r="AM21" s="281"/>
    </row>
    <row r="22">
      <c r="A22" s="298"/>
      <c r="B22" s="22" t="s">
        <v>38</v>
      </c>
      <c r="C22" s="17"/>
      <c r="D22" s="43">
        <f>SUM(D13:D21)</f>
        <v>9670666</v>
      </c>
      <c r="E22" s="296"/>
      <c r="F22" s="281"/>
      <c r="G22" s="281"/>
      <c r="H22" s="281"/>
      <c r="I22" s="511"/>
      <c r="J22" s="299"/>
      <c r="K22" s="299"/>
      <c r="L22" s="299"/>
      <c r="M22" s="299"/>
      <c r="N22" s="281"/>
      <c r="O22" s="281"/>
      <c r="P22" s="281"/>
      <c r="Q22" s="281"/>
      <c r="R22" s="281"/>
      <c r="S22" s="281"/>
      <c r="T22" s="281"/>
      <c r="U22" s="281"/>
      <c r="V22" s="281"/>
      <c r="W22" s="281"/>
      <c r="X22" s="281"/>
      <c r="Y22" s="281"/>
      <c r="Z22" s="281"/>
      <c r="AA22" s="281"/>
      <c r="AB22" s="281"/>
      <c r="AC22" s="281"/>
      <c r="AD22" s="281"/>
      <c r="AE22" s="281"/>
      <c r="AF22" s="281"/>
      <c r="AG22" s="281"/>
      <c r="AH22" s="281"/>
      <c r="AI22" s="281"/>
      <c r="AJ22" s="281"/>
      <c r="AK22" s="281"/>
      <c r="AL22" s="281"/>
      <c r="AM22" s="281"/>
    </row>
    <row r="23">
      <c r="A23" s="294"/>
      <c r="B23" s="29" t="s">
        <v>39</v>
      </c>
      <c r="C23" s="17"/>
      <c r="D23" s="51">
        <f>(D22/D11)</f>
        <v>5780.433951</v>
      </c>
      <c r="E23" s="296"/>
      <c r="F23" s="281"/>
      <c r="G23" s="297"/>
      <c r="H23" s="313"/>
      <c r="I23" s="314"/>
      <c r="J23" s="299"/>
      <c r="K23" s="299"/>
      <c r="L23" s="299"/>
      <c r="M23" s="299"/>
      <c r="N23" s="281"/>
      <c r="O23" s="281"/>
      <c r="P23" s="281"/>
      <c r="Q23" s="281"/>
      <c r="R23" s="281"/>
      <c r="S23" s="281"/>
      <c r="T23" s="295"/>
      <c r="U23" s="281"/>
      <c r="V23" s="281"/>
      <c r="W23" s="281"/>
      <c r="X23" s="281"/>
      <c r="Y23" s="281"/>
      <c r="Z23" s="281"/>
      <c r="AA23" s="281"/>
      <c r="AB23" s="281"/>
      <c r="AC23" s="281"/>
      <c r="AD23" s="281"/>
      <c r="AE23" s="281"/>
      <c r="AF23" s="281"/>
      <c r="AG23" s="281"/>
      <c r="AH23" s="281"/>
      <c r="AI23" s="281"/>
      <c r="AJ23" s="281"/>
      <c r="AK23" s="281"/>
      <c r="AL23" s="281"/>
      <c r="AM23" s="281"/>
    </row>
    <row r="24">
      <c r="A24" s="285"/>
      <c r="B24" s="285"/>
      <c r="C24" s="285"/>
      <c r="D24" s="285"/>
      <c r="E24" s="285"/>
      <c r="F24" s="285"/>
      <c r="G24" s="285"/>
      <c r="H24" s="286"/>
      <c r="I24" s="315"/>
      <c r="J24" s="286"/>
      <c r="K24" s="286"/>
      <c r="L24" s="286"/>
      <c r="M24" s="286"/>
      <c r="N24" s="285"/>
      <c r="O24" s="281"/>
      <c r="P24" s="281"/>
      <c r="Q24" s="281"/>
      <c r="R24" s="281"/>
      <c r="S24" s="281"/>
      <c r="T24" s="295"/>
      <c r="U24" s="293"/>
      <c r="V24" s="281"/>
      <c r="W24" s="281"/>
      <c r="X24" s="281"/>
      <c r="Y24" s="281"/>
      <c r="Z24" s="281"/>
      <c r="AA24" s="281"/>
      <c r="AB24" s="281"/>
      <c r="AC24" s="281"/>
      <c r="AD24" s="281"/>
      <c r="AE24" s="281"/>
      <c r="AF24" s="281"/>
      <c r="AG24" s="281"/>
      <c r="AH24" s="281"/>
      <c r="AI24" s="281"/>
      <c r="AJ24" s="281"/>
      <c r="AK24" s="281"/>
      <c r="AL24" s="281"/>
      <c r="AM24" s="281"/>
    </row>
    <row r="25">
      <c r="A25" s="55" t="s">
        <v>40</v>
      </c>
      <c r="B25" s="56" t="s">
        <v>41</v>
      </c>
      <c r="C25" s="57" t="s">
        <v>42</v>
      </c>
      <c r="D25" s="57" t="s">
        <v>43</v>
      </c>
      <c r="E25" s="57" t="s">
        <v>44</v>
      </c>
      <c r="F25" s="57" t="s">
        <v>45</v>
      </c>
      <c r="G25" s="57" t="s">
        <v>46</v>
      </c>
      <c r="H25" s="58" t="s">
        <v>47</v>
      </c>
      <c r="I25" s="59" t="s">
        <v>48</v>
      </c>
      <c r="J25" s="58" t="s">
        <v>14</v>
      </c>
      <c r="K25" s="59" t="s">
        <v>712</v>
      </c>
      <c r="L25" s="60" t="s">
        <v>713</v>
      </c>
      <c r="M25" s="59" t="s">
        <v>50</v>
      </c>
      <c r="N25" s="57" t="s">
        <v>53</v>
      </c>
      <c r="O25" s="579" t="s">
        <v>54</v>
      </c>
      <c r="P25" s="553"/>
      <c r="Q25" s="319" t="s">
        <v>563</v>
      </c>
      <c r="R25" s="319" t="s">
        <v>14</v>
      </c>
      <c r="S25" s="281"/>
      <c r="T25" s="281"/>
      <c r="U25" s="293"/>
      <c r="V25" s="281"/>
      <c r="W25" s="281"/>
      <c r="X25" s="281"/>
      <c r="Y25" s="281"/>
      <c r="Z25" s="281"/>
      <c r="AA25" s="281"/>
      <c r="AB25" s="281"/>
      <c r="AC25" s="281"/>
      <c r="AD25" s="281"/>
      <c r="AE25" s="281"/>
      <c r="AF25" s="281"/>
      <c r="AG25" s="281"/>
      <c r="AH25" s="281"/>
      <c r="AI25" s="281"/>
      <c r="AJ25" s="281"/>
      <c r="AK25" s="281"/>
      <c r="AL25" s="281"/>
      <c r="AM25" s="281"/>
    </row>
    <row r="26" ht="28.5" customHeight="1">
      <c r="A26" s="63" t="s">
        <v>20</v>
      </c>
      <c r="B26" s="298"/>
      <c r="C26" s="298"/>
      <c r="D26" s="298"/>
      <c r="E26" s="298"/>
      <c r="F26" s="298"/>
      <c r="G26" s="294"/>
      <c r="H26" s="426"/>
      <c r="I26" s="298"/>
      <c r="J26" s="426"/>
      <c r="K26" s="298"/>
      <c r="L26" s="426"/>
      <c r="M26" s="298"/>
      <c r="N26" s="294"/>
      <c r="O26" s="294"/>
      <c r="P26" s="451"/>
      <c r="Q26" s="326"/>
      <c r="R26" s="327"/>
      <c r="S26" s="281"/>
      <c r="T26" s="295"/>
      <c r="U26" s="293"/>
      <c r="V26" s="281"/>
      <c r="W26" s="281"/>
      <c r="X26" s="281"/>
      <c r="Y26" s="281"/>
      <c r="Z26" s="281"/>
      <c r="AA26" s="281"/>
      <c r="AB26" s="281"/>
      <c r="AC26" s="281"/>
      <c r="AD26" s="281"/>
      <c r="AE26" s="281"/>
      <c r="AF26" s="281"/>
      <c r="AG26" s="281"/>
      <c r="AH26" s="281"/>
      <c r="AI26" s="281"/>
      <c r="AJ26" s="281"/>
      <c r="AK26" s="281"/>
      <c r="AL26" s="281"/>
      <c r="AM26" s="281"/>
    </row>
    <row r="27">
      <c r="A27" s="31" t="s">
        <v>16</v>
      </c>
      <c r="B27" s="31" t="s">
        <v>564</v>
      </c>
      <c r="C27" s="33" t="str">
        <f>VLOOKUP($B27,'Rate card'!$A$4:$G280,2,FALSE)</f>
        <v>Demolition</v>
      </c>
      <c r="D27" s="33" t="str">
        <f>VLOOKUP($B27,'Rate card'!$A$4:$G280,3,FALSE)</f>
        <v>Brickwall - 6"</v>
      </c>
      <c r="E27" s="33" t="str">
        <f>VLOOKUP($B27,'Rate card'!$A$4:$G280,4,FALSE)</f>
        <v>NA</v>
      </c>
      <c r="F27" s="33" t="str">
        <f>VLOOKUP($B27,'Rate card'!$A$4:$G280,5,FALSE)</f>
        <v>Demolition</v>
      </c>
      <c r="G27" s="33" t="str">
        <f>VLOOKUP($B27,'Rate card'!$A$4:$G280,6,FALSE)</f>
        <v>Sqft</v>
      </c>
      <c r="H27" s="69">
        <v>500.0</v>
      </c>
      <c r="I27" s="31">
        <f t="shared" ref="I27:I28" si="1">3*10+3*10</f>
        <v>60</v>
      </c>
      <c r="J27" s="580">
        <f t="shared" ref="J27:J32" si="2">I27*H27</f>
        <v>30000</v>
      </c>
      <c r="K27" s="31">
        <f>1.5*10.5+2.25*2.6+3*10.25+2.75*10.25+2.75*8+3*10.25</f>
        <v>133.2875</v>
      </c>
      <c r="L27" s="580">
        <f t="shared" ref="L27:L42" si="3">K27*H27</f>
        <v>66643.75</v>
      </c>
      <c r="M27" s="33">
        <f t="shared" ref="M27:M42" si="4">L27-J27</f>
        <v>36643.75</v>
      </c>
      <c r="N27" s="80" t="s">
        <v>714</v>
      </c>
      <c r="O27" s="575" t="s">
        <v>715</v>
      </c>
      <c r="P27" s="581"/>
      <c r="Q27" s="582"/>
      <c r="R27" s="1">
        <f>VLOOKUP($B27,'Rate card'!$A$4:$J280,7,FALSE)</f>
        <v>20</v>
      </c>
      <c r="S27" s="583">
        <f t="shared" ref="S27:S42" si="5">L27/$D$22</f>
        <v>0.006891329925</v>
      </c>
      <c r="T27" s="297"/>
      <c r="U27" s="297"/>
      <c r="V27" s="297"/>
      <c r="W27" s="297"/>
      <c r="X27" s="297"/>
      <c r="Y27" s="297"/>
      <c r="Z27" s="297"/>
      <c r="AA27" s="297"/>
      <c r="AB27" s="297"/>
      <c r="AC27" s="297"/>
      <c r="AD27" s="297"/>
      <c r="AE27" s="297"/>
      <c r="AF27" s="297"/>
      <c r="AG27" s="297"/>
      <c r="AH27" s="297"/>
      <c r="AI27" s="297"/>
      <c r="AJ27" s="297"/>
      <c r="AK27" s="297"/>
      <c r="AL27" s="297"/>
      <c r="AM27" s="297"/>
    </row>
    <row r="28">
      <c r="A28" s="31" t="s">
        <v>18</v>
      </c>
      <c r="B28" s="31"/>
      <c r="C28" s="76" t="s">
        <v>20</v>
      </c>
      <c r="D28" s="76" t="s">
        <v>566</v>
      </c>
      <c r="E28" s="33" t="str">
        <f>E27</f>
        <v>NA</v>
      </c>
      <c r="F28" s="33" t="s">
        <v>567</v>
      </c>
      <c r="G28" s="33" t="str">
        <f>G27</f>
        <v>Sqft</v>
      </c>
      <c r="H28" s="32">
        <v>150.0</v>
      </c>
      <c r="I28" s="31">
        <f t="shared" si="1"/>
        <v>60</v>
      </c>
      <c r="J28" s="580">
        <f t="shared" si="2"/>
        <v>9000</v>
      </c>
      <c r="K28" s="31">
        <f>1.5*10.25+3*10.25+2.75*8+3*10.25</f>
        <v>98.875</v>
      </c>
      <c r="L28" s="580">
        <f t="shared" si="3"/>
        <v>14831.25</v>
      </c>
      <c r="M28" s="33">
        <f t="shared" si="4"/>
        <v>5831.25</v>
      </c>
      <c r="N28" s="80" t="s">
        <v>716</v>
      </c>
      <c r="O28" s="575" t="s">
        <v>715</v>
      </c>
      <c r="P28" s="581"/>
      <c r="Q28" s="582"/>
      <c r="R28" s="1"/>
      <c r="S28" s="583">
        <f t="shared" si="5"/>
        <v>0.00153363274</v>
      </c>
      <c r="T28" s="297"/>
      <c r="U28" s="297"/>
      <c r="V28" s="297"/>
      <c r="W28" s="297"/>
      <c r="X28" s="297"/>
      <c r="Y28" s="297"/>
      <c r="Z28" s="297"/>
      <c r="AA28" s="297"/>
      <c r="AB28" s="297"/>
      <c r="AC28" s="297"/>
      <c r="AD28" s="297"/>
      <c r="AE28" s="297"/>
      <c r="AF28" s="297"/>
      <c r="AG28" s="297"/>
      <c r="AH28" s="297"/>
      <c r="AI28" s="297"/>
      <c r="AJ28" s="297"/>
      <c r="AK28" s="297"/>
      <c r="AL28" s="297"/>
      <c r="AM28" s="297"/>
    </row>
    <row r="29">
      <c r="A29" s="31" t="s">
        <v>24</v>
      </c>
      <c r="B29" s="31"/>
      <c r="C29" s="76" t="s">
        <v>20</v>
      </c>
      <c r="D29" s="75" t="s">
        <v>83</v>
      </c>
      <c r="E29" s="33" t="str">
        <f>E27</f>
        <v>NA</v>
      </c>
      <c r="F29" s="33" t="s">
        <v>84</v>
      </c>
      <c r="G29" s="76" t="s">
        <v>175</v>
      </c>
      <c r="H29" s="32">
        <v>120.0</v>
      </c>
      <c r="I29" s="31">
        <f>I28</f>
        <v>60</v>
      </c>
      <c r="J29" s="580">
        <f t="shared" si="2"/>
        <v>7200</v>
      </c>
      <c r="K29" s="31" t="s">
        <v>90</v>
      </c>
      <c r="L29" s="580">
        <f t="shared" si="3"/>
        <v>24000</v>
      </c>
      <c r="M29" s="33">
        <f t="shared" si="4"/>
        <v>16800</v>
      </c>
      <c r="N29" s="80" t="s">
        <v>716</v>
      </c>
      <c r="O29" s="575" t="s">
        <v>715</v>
      </c>
      <c r="P29" s="581"/>
      <c r="Q29" s="582"/>
      <c r="R29" s="1"/>
      <c r="S29" s="583">
        <f t="shared" si="5"/>
        <v>0.002481731868</v>
      </c>
      <c r="T29" s="297"/>
      <c r="U29" s="297"/>
      <c r="V29" s="297"/>
      <c r="W29" s="297"/>
      <c r="X29" s="297"/>
      <c r="Y29" s="297"/>
      <c r="Z29" s="297"/>
      <c r="AA29" s="297"/>
      <c r="AB29" s="297"/>
      <c r="AC29" s="297"/>
      <c r="AD29" s="297"/>
      <c r="AE29" s="297"/>
      <c r="AF29" s="297"/>
      <c r="AG29" s="297"/>
      <c r="AH29" s="297"/>
      <c r="AI29" s="297"/>
      <c r="AJ29" s="297"/>
      <c r="AK29" s="297"/>
      <c r="AL29" s="297"/>
      <c r="AM29" s="297"/>
    </row>
    <row r="30" ht="108.75" customHeight="1">
      <c r="A30" s="31" t="s">
        <v>27</v>
      </c>
      <c r="B30" s="33" t="s">
        <v>576</v>
      </c>
      <c r="C30" s="33" t="str">
        <f>VLOOKUP($B30,'Rate card'!$A$4:$G280,2,FALSE)</f>
        <v>Civil</v>
      </c>
      <c r="D30" s="33" t="str">
        <f>VLOOKUP($B30,'Rate card'!$A$4:$G280,3,FALSE)</f>
        <v>Kitchen platform</v>
      </c>
      <c r="E30" s="33" t="str">
        <f>VLOOKUP($B30,'Rate card'!$A$4:$G280,4,FALSE)</f>
        <v>Fully Modular Kitchen - Granite/Marble</v>
      </c>
      <c r="F30" s="33" t="str">
        <f>VLOOKUP($B30,'Rate card'!$A$4:$G280,5,FALSE)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30" s="33" t="str">
        <f>VLOOKUP($B30,'Rate card'!$A$4:$G280,6,FALSE)</f>
        <v>Sqft</v>
      </c>
      <c r="H30" s="32">
        <v>3000.0</v>
      </c>
      <c r="I30" s="31">
        <f>18.5*2</f>
        <v>37</v>
      </c>
      <c r="J30" s="580">
        <f t="shared" si="2"/>
        <v>111000</v>
      </c>
      <c r="K30" s="31" t="s">
        <v>717</v>
      </c>
      <c r="L30" s="580">
        <f t="shared" si="3"/>
        <v>156000</v>
      </c>
      <c r="M30" s="33">
        <f t="shared" si="4"/>
        <v>45000</v>
      </c>
      <c r="N30" s="80" t="s">
        <v>578</v>
      </c>
      <c r="O30" s="575" t="s">
        <v>715</v>
      </c>
      <c r="P30" s="581"/>
      <c r="Q30" s="582"/>
      <c r="R30" s="1">
        <f>VLOOKUP($B30,'Rate card'!$A$4:$J280,7,FALSE)</f>
        <v>150</v>
      </c>
      <c r="S30" s="583">
        <f t="shared" si="5"/>
        <v>0.01613125714</v>
      </c>
      <c r="T30" s="297"/>
      <c r="U30" s="297"/>
      <c r="V30" s="297"/>
      <c r="W30" s="297"/>
      <c r="X30" s="297"/>
      <c r="Y30" s="297"/>
      <c r="Z30" s="297"/>
      <c r="AA30" s="297"/>
      <c r="AB30" s="297"/>
      <c r="AC30" s="297"/>
      <c r="AD30" s="297"/>
      <c r="AE30" s="297"/>
      <c r="AF30" s="297"/>
      <c r="AG30" s="297"/>
      <c r="AH30" s="297"/>
      <c r="AI30" s="297"/>
      <c r="AJ30" s="297"/>
      <c r="AK30" s="297"/>
      <c r="AL30" s="297"/>
      <c r="AM30" s="297"/>
    </row>
    <row r="31">
      <c r="A31" s="31" t="s">
        <v>30</v>
      </c>
      <c r="B31" s="31"/>
      <c r="C31" s="76" t="s">
        <v>20</v>
      </c>
      <c r="D31" s="75" t="s">
        <v>83</v>
      </c>
      <c r="E31" s="33" t="str">
        <f>E29</f>
        <v>NA</v>
      </c>
      <c r="F31" s="33" t="s">
        <v>84</v>
      </c>
      <c r="G31" s="76" t="s">
        <v>175</v>
      </c>
      <c r="H31" s="32">
        <v>120.0</v>
      </c>
      <c r="I31" s="31">
        <f>I32</f>
        <v>192.5</v>
      </c>
      <c r="J31" s="580">
        <f t="shared" si="2"/>
        <v>23100</v>
      </c>
      <c r="K31" s="31" t="s">
        <v>718</v>
      </c>
      <c r="L31" s="580">
        <f t="shared" si="3"/>
        <v>22200</v>
      </c>
      <c r="M31" s="33">
        <f t="shared" si="4"/>
        <v>-900</v>
      </c>
      <c r="N31" s="80" t="s">
        <v>666</v>
      </c>
      <c r="O31" s="139" t="s">
        <v>719</v>
      </c>
      <c r="P31" s="581"/>
      <c r="Q31" s="582"/>
      <c r="R31" s="1"/>
      <c r="S31" s="583">
        <f t="shared" si="5"/>
        <v>0.002295601978</v>
      </c>
      <c r="T31" s="297"/>
      <c r="U31" s="297"/>
      <c r="V31" s="297"/>
      <c r="W31" s="297"/>
      <c r="X31" s="297"/>
      <c r="Y31" s="297"/>
      <c r="Z31" s="297"/>
      <c r="AA31" s="297"/>
      <c r="AB31" s="297"/>
      <c r="AC31" s="297"/>
      <c r="AD31" s="297"/>
      <c r="AE31" s="297"/>
      <c r="AF31" s="297"/>
      <c r="AG31" s="297"/>
      <c r="AH31" s="297"/>
      <c r="AI31" s="297"/>
      <c r="AJ31" s="297"/>
      <c r="AK31" s="297"/>
      <c r="AL31" s="297"/>
      <c r="AM31" s="297"/>
    </row>
    <row r="32">
      <c r="A32" s="31" t="s">
        <v>32</v>
      </c>
      <c r="B32" s="584"/>
      <c r="C32" s="77" t="s">
        <v>20</v>
      </c>
      <c r="D32" s="77" t="s">
        <v>569</v>
      </c>
      <c r="E32" s="33" t="s">
        <v>570</v>
      </c>
      <c r="F32" s="33" t="s">
        <v>80</v>
      </c>
      <c r="G32" s="77" t="s">
        <v>175</v>
      </c>
      <c r="H32" s="31" t="s">
        <v>571</v>
      </c>
      <c r="I32" s="78">
        <f>11.25*7+1.5*7+12*7+2.75*7</f>
        <v>192.5</v>
      </c>
      <c r="J32" s="580">
        <f t="shared" si="2"/>
        <v>26950</v>
      </c>
      <c r="K32" s="31" t="s">
        <v>720</v>
      </c>
      <c r="L32" s="580">
        <f t="shared" si="3"/>
        <v>26040</v>
      </c>
      <c r="M32" s="33">
        <f t="shared" si="4"/>
        <v>-910</v>
      </c>
      <c r="N32" s="80" t="s">
        <v>578</v>
      </c>
      <c r="O32" s="139" t="s">
        <v>719</v>
      </c>
      <c r="P32" s="581"/>
      <c r="Q32" s="582"/>
      <c r="R32" s="281"/>
      <c r="S32" s="583">
        <f t="shared" si="5"/>
        <v>0.002692679077</v>
      </c>
      <c r="T32" s="297"/>
      <c r="U32" s="297"/>
      <c r="V32" s="297"/>
      <c r="W32" s="297"/>
      <c r="X32" s="297"/>
      <c r="Y32" s="297"/>
      <c r="Z32" s="297"/>
      <c r="AA32" s="297"/>
      <c r="AB32" s="297"/>
      <c r="AC32" s="297"/>
      <c r="AD32" s="297"/>
      <c r="AE32" s="297"/>
      <c r="AF32" s="297"/>
      <c r="AG32" s="297"/>
      <c r="AH32" s="297"/>
      <c r="AI32" s="297"/>
      <c r="AJ32" s="297"/>
      <c r="AK32" s="297"/>
      <c r="AL32" s="297"/>
      <c r="AM32" s="297"/>
    </row>
    <row r="33">
      <c r="A33" s="31" t="s">
        <v>34</v>
      </c>
      <c r="B33" s="77" t="s">
        <v>589</v>
      </c>
      <c r="C33" s="77" t="str">
        <f>VLOOKUP($B33,'Rate card'!$A$4:$G280,2,FALSE)</f>
        <v>Civil</v>
      </c>
      <c r="D33" s="77" t="str">
        <f>VLOOKUP($B33,'Rate card'!$A$4:$G280,3,FALSE)</f>
        <v>Brickbat </v>
      </c>
      <c r="E33" s="584" t="str">
        <f>VLOOKUP($B33,'Rate card'!$A$4:$G280,4,FALSE)</f>
        <v/>
      </c>
      <c r="F33" s="77" t="str">
        <f>VLOOKUP($B33,'Rate card'!$A$4:$G280,5,FALSE)</f>
        <v>Providing &amp; laying brickbat coba (6") with PCC</v>
      </c>
      <c r="G33" s="77" t="str">
        <f>VLOOKUP($B33,'Rate card'!$A$4:$G280,6,FALSE)</f>
        <v>Sqft</v>
      </c>
      <c r="H33" s="79">
        <f>VLOOKUP($B33,'Rate card'!$A$4:$J280,8,FALSE)</f>
        <v>200</v>
      </c>
      <c r="I33" s="585">
        <f>55+40+40+57</f>
        <v>192</v>
      </c>
      <c r="J33" s="79">
        <f t="shared" ref="J33:J34" si="6">H33*I33</f>
        <v>38400</v>
      </c>
      <c r="K33" s="585">
        <f>55+40+40+57</f>
        <v>192</v>
      </c>
      <c r="L33" s="580">
        <f t="shared" si="3"/>
        <v>38400</v>
      </c>
      <c r="M33" s="33">
        <f t="shared" si="4"/>
        <v>0</v>
      </c>
      <c r="N33" s="80" t="s">
        <v>156</v>
      </c>
      <c r="O33" s="553"/>
      <c r="P33" s="581"/>
      <c r="Q33" s="79">
        <f>VLOOKUP($B33,'Rate card'!$A$4:$J280,7,FALSE)</f>
        <v>150</v>
      </c>
      <c r="R33" s="282">
        <f t="shared" ref="R33:R34" si="7">I33*Q33</f>
        <v>28800</v>
      </c>
      <c r="S33" s="583">
        <f t="shared" si="5"/>
        <v>0.003970770989</v>
      </c>
      <c r="T33" s="297"/>
      <c r="U33" s="297"/>
      <c r="V33" s="297"/>
      <c r="W33" s="297"/>
      <c r="X33" s="297"/>
      <c r="Y33" s="297"/>
      <c r="Z33" s="297"/>
      <c r="AA33" s="297"/>
      <c r="AB33" s="297"/>
      <c r="AC33" s="297"/>
      <c r="AD33" s="297"/>
      <c r="AE33" s="297"/>
      <c r="AF33" s="297"/>
      <c r="AG33" s="297"/>
      <c r="AH33" s="297"/>
      <c r="AI33" s="297"/>
      <c r="AJ33" s="297"/>
      <c r="AK33" s="297"/>
      <c r="AL33" s="297"/>
      <c r="AM33" s="297"/>
    </row>
    <row r="34">
      <c r="A34" s="31" t="s">
        <v>36</v>
      </c>
      <c r="B34" s="77" t="s">
        <v>592</v>
      </c>
      <c r="C34" s="77" t="str">
        <f>VLOOKUP($B34,'Rate card'!$A$4:$G280,2,FALSE)</f>
        <v>Civil</v>
      </c>
      <c r="D34" s="77" t="str">
        <f>VLOOKUP($B34,'Rate card'!$A$4:$G280,3,FALSE)</f>
        <v>Waterproofing</v>
      </c>
      <c r="E34" s="77" t="s">
        <v>593</v>
      </c>
      <c r="F34" s="77" t="str">
        <f>VLOOKUP($B34,'Rate card'!$A$4:$G280,5,FALSE)</f>
        <v>Waterproofing with 2 coats </v>
      </c>
      <c r="G34" s="77" t="str">
        <f>VLOOKUP($B34,'Rate card'!$A$4:$G280,6,FALSE)</f>
        <v>Sqft</v>
      </c>
      <c r="H34" s="79">
        <f>VLOOKUP($B34,'Rate card'!$A$4:$J280,8,FALSE)</f>
        <v>80</v>
      </c>
      <c r="I34" s="585" t="s">
        <v>70</v>
      </c>
      <c r="J34" s="79">
        <f t="shared" si="6"/>
        <v>28000</v>
      </c>
      <c r="K34" s="585" t="s">
        <v>721</v>
      </c>
      <c r="L34" s="580">
        <f t="shared" si="3"/>
        <v>40000</v>
      </c>
      <c r="M34" s="33">
        <f t="shared" si="4"/>
        <v>12000</v>
      </c>
      <c r="N34" s="80" t="s">
        <v>156</v>
      </c>
      <c r="O34" s="553"/>
      <c r="P34" s="581"/>
      <c r="Q34" s="79">
        <f>VLOOKUP($B34,'Rate card'!$A$4:$J280,7,FALSE)</f>
        <v>50</v>
      </c>
      <c r="R34" s="282">
        <f t="shared" si="7"/>
        <v>17500</v>
      </c>
      <c r="S34" s="583">
        <f t="shared" si="5"/>
        <v>0.004136219781</v>
      </c>
      <c r="T34" s="297"/>
      <c r="U34" s="297"/>
      <c r="V34" s="297"/>
      <c r="W34" s="297"/>
      <c r="X34" s="297"/>
      <c r="Y34" s="297"/>
      <c r="Z34" s="297"/>
      <c r="AA34" s="297"/>
      <c r="AB34" s="297"/>
      <c r="AC34" s="297"/>
      <c r="AD34" s="297"/>
      <c r="AE34" s="297"/>
      <c r="AF34" s="297"/>
      <c r="AG34" s="297"/>
      <c r="AH34" s="297"/>
      <c r="AI34" s="297"/>
      <c r="AJ34" s="297"/>
      <c r="AK34" s="297"/>
      <c r="AL34" s="297"/>
      <c r="AM34" s="297"/>
    </row>
    <row r="35">
      <c r="A35" s="31" t="s">
        <v>92</v>
      </c>
      <c r="B35" s="31"/>
      <c r="C35" s="76" t="s">
        <v>20</v>
      </c>
      <c r="D35" s="75" t="s">
        <v>83</v>
      </c>
      <c r="E35" s="33" t="str">
        <f>E31</f>
        <v>NA</v>
      </c>
      <c r="F35" s="33" t="s">
        <v>84</v>
      </c>
      <c r="G35" s="76" t="s">
        <v>175</v>
      </c>
      <c r="H35" s="32">
        <v>120.0</v>
      </c>
      <c r="I35" s="78">
        <f>272+234+234+275</f>
        <v>1015</v>
      </c>
      <c r="J35" s="580">
        <f t="shared" ref="J35:J37" si="8">I35*H35</f>
        <v>121800</v>
      </c>
      <c r="K35" s="78">
        <f>272+234+234+275</f>
        <v>1015</v>
      </c>
      <c r="L35" s="580">
        <f t="shared" si="3"/>
        <v>121800</v>
      </c>
      <c r="M35" s="33">
        <f t="shared" si="4"/>
        <v>0</v>
      </c>
      <c r="N35" s="80" t="s">
        <v>667</v>
      </c>
      <c r="O35" s="553"/>
      <c r="P35" s="581"/>
      <c r="Q35" s="582"/>
      <c r="R35" s="1"/>
      <c r="S35" s="583">
        <f t="shared" si="5"/>
        <v>0.01259478923</v>
      </c>
      <c r="T35" s="297"/>
      <c r="U35" s="297"/>
      <c r="V35" s="297"/>
      <c r="W35" s="297"/>
      <c r="X35" s="297"/>
      <c r="Y35" s="297"/>
      <c r="Z35" s="297"/>
      <c r="AA35" s="297"/>
      <c r="AB35" s="297"/>
      <c r="AC35" s="297"/>
      <c r="AD35" s="297"/>
      <c r="AE35" s="297"/>
      <c r="AF35" s="297"/>
      <c r="AG35" s="297"/>
      <c r="AH35" s="297"/>
      <c r="AI35" s="297"/>
      <c r="AJ35" s="297"/>
      <c r="AK35" s="297"/>
      <c r="AL35" s="297"/>
      <c r="AM35" s="297"/>
    </row>
    <row r="36">
      <c r="A36" s="31" t="s">
        <v>95</v>
      </c>
      <c r="B36" s="584"/>
      <c r="C36" s="77" t="s">
        <v>20</v>
      </c>
      <c r="D36" s="78" t="s">
        <v>668</v>
      </c>
      <c r="E36" s="33" t="s">
        <v>570</v>
      </c>
      <c r="F36" s="33" t="s">
        <v>80</v>
      </c>
      <c r="G36" s="77" t="s">
        <v>175</v>
      </c>
      <c r="H36" s="78" t="s">
        <v>571</v>
      </c>
      <c r="I36" s="78">
        <f>55+272+40+234+40+234+57+275</f>
        <v>1207</v>
      </c>
      <c r="J36" s="580">
        <f t="shared" si="8"/>
        <v>168980</v>
      </c>
      <c r="K36" s="78">
        <f>55+272+40+234+40+234+57+275</f>
        <v>1207</v>
      </c>
      <c r="L36" s="580">
        <f t="shared" si="3"/>
        <v>168980</v>
      </c>
      <c r="M36" s="33">
        <f t="shared" si="4"/>
        <v>0</v>
      </c>
      <c r="N36" s="80" t="s">
        <v>156</v>
      </c>
      <c r="O36" s="553"/>
      <c r="P36" s="581"/>
      <c r="Q36" s="582"/>
      <c r="R36" s="281"/>
      <c r="S36" s="583">
        <f t="shared" si="5"/>
        <v>0.01747346046</v>
      </c>
      <c r="T36" s="297"/>
      <c r="U36" s="297"/>
      <c r="V36" s="297"/>
      <c r="W36" s="297"/>
      <c r="X36" s="297"/>
      <c r="Y36" s="297"/>
      <c r="Z36" s="297"/>
      <c r="AA36" s="297"/>
      <c r="AB36" s="297"/>
      <c r="AC36" s="297"/>
      <c r="AD36" s="297"/>
      <c r="AE36" s="297"/>
      <c r="AF36" s="297"/>
      <c r="AG36" s="297"/>
      <c r="AH36" s="297"/>
      <c r="AI36" s="297"/>
      <c r="AJ36" s="297"/>
      <c r="AK36" s="297"/>
      <c r="AL36" s="297"/>
      <c r="AM36" s="297"/>
    </row>
    <row r="37">
      <c r="A37" s="31" t="s">
        <v>97</v>
      </c>
      <c r="B37" s="33" t="s">
        <v>576</v>
      </c>
      <c r="C37" s="33" t="str">
        <f>VLOOKUP($B37,'Rate card'!$A$4:$G280,2,FALSE)</f>
        <v>Civil</v>
      </c>
      <c r="D37" s="31" t="s">
        <v>579</v>
      </c>
      <c r="E37" s="33" t="str">
        <f>VLOOKUP($B37,'Rate card'!$A$4:$G280,4,FALSE)</f>
        <v>Fully Modular Kitchen - Granite/Marble</v>
      </c>
      <c r="F37" s="33" t="str">
        <f>VLOOKUP($B37,'Rate card'!$A$4:$G280,5,FALSE)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37" s="33" t="str">
        <f>VLOOKUP($B37,'Rate card'!$A$4:$G280,6,FALSE)</f>
        <v>Sqft</v>
      </c>
      <c r="H37" s="32">
        <v>3000.0</v>
      </c>
      <c r="I37" s="31" t="s">
        <v>95</v>
      </c>
      <c r="J37" s="580">
        <f t="shared" si="8"/>
        <v>30000</v>
      </c>
      <c r="K37" s="31" t="s">
        <v>568</v>
      </c>
      <c r="L37" s="580">
        <f t="shared" si="3"/>
        <v>72000</v>
      </c>
      <c r="M37" s="33">
        <f t="shared" si="4"/>
        <v>42000</v>
      </c>
      <c r="N37" s="80" t="s">
        <v>580</v>
      </c>
      <c r="O37" s="575" t="s">
        <v>715</v>
      </c>
      <c r="P37" s="581"/>
      <c r="Q37" s="582"/>
      <c r="R37" s="1">
        <f>VLOOKUP($B37,'Rate card'!$A$4:$J280,7,FALSE)</f>
        <v>150</v>
      </c>
      <c r="S37" s="583">
        <f t="shared" si="5"/>
        <v>0.007445195605</v>
      </c>
      <c r="T37" s="297"/>
      <c r="U37" s="297"/>
      <c r="V37" s="297"/>
      <c r="W37" s="297"/>
      <c r="X37" s="297"/>
      <c r="Y37" s="297"/>
      <c r="Z37" s="297"/>
      <c r="AA37" s="297"/>
      <c r="AB37" s="297"/>
      <c r="AC37" s="297"/>
      <c r="AD37" s="297"/>
      <c r="AE37" s="297"/>
      <c r="AF37" s="297"/>
      <c r="AG37" s="297"/>
      <c r="AH37" s="297"/>
      <c r="AI37" s="297"/>
      <c r="AJ37" s="297"/>
      <c r="AK37" s="297"/>
      <c r="AL37" s="297"/>
      <c r="AM37" s="297"/>
    </row>
    <row r="38">
      <c r="A38" s="31" t="s">
        <v>100</v>
      </c>
      <c r="B38" s="77" t="s">
        <v>587</v>
      </c>
      <c r="C38" s="77" t="str">
        <f>VLOOKUP($B38,'Rate card'!$A$4:$G280,2,FALSE)</f>
        <v>Civil</v>
      </c>
      <c r="D38" s="77" t="str">
        <f>VLOOKUP($B38,'Rate card'!$A$4:$G280,3,FALSE)</f>
        <v>Granite frames</v>
      </c>
      <c r="E38" s="77" t="str">
        <f>VLOOKUP($B38,'Rate card'!$A$4:$G280,4,FALSE)</f>
        <v>Single patti</v>
      </c>
      <c r="F38" s="77" t="str">
        <f>VLOOKUP($B38,'Rate card'!$A$4:$G280,5,FALSE)</f>
        <v>Granite Frame – up to 6 Inches width
{Including Bevelling+ Cutting+ Polishing}. Excludes Granite cost</v>
      </c>
      <c r="G38" s="77" t="str">
        <f>VLOOKUP($B38,'Rate card'!$A$4:$G280,6,FALSE)</f>
        <v>Rft</v>
      </c>
      <c r="H38" s="79">
        <f>VLOOKUP($B38,'Rate card'!$A$4:$J280,8,FALSE)</f>
        <v>130</v>
      </c>
      <c r="I38" s="585">
        <f>20*4</f>
        <v>80</v>
      </c>
      <c r="J38" s="79">
        <f t="shared" ref="J38:J39" si="9">H38*I38</f>
        <v>10400</v>
      </c>
      <c r="K38" s="585" t="s">
        <v>111</v>
      </c>
      <c r="L38" s="580">
        <f t="shared" si="3"/>
        <v>19500</v>
      </c>
      <c r="M38" s="33">
        <f t="shared" si="4"/>
        <v>9100</v>
      </c>
      <c r="N38" s="32" t="s">
        <v>669</v>
      </c>
      <c r="O38" s="139" t="s">
        <v>722</v>
      </c>
      <c r="P38" s="581"/>
      <c r="Q38" s="79">
        <f>VLOOKUP($B38,'Rate card'!$A$4:$J280,7,FALSE)</f>
        <v>80</v>
      </c>
      <c r="R38" s="282">
        <f t="shared" ref="R38:R39" si="10">I38*Q38</f>
        <v>6400</v>
      </c>
      <c r="S38" s="583">
        <f t="shared" si="5"/>
        <v>0.002016407143</v>
      </c>
      <c r="T38" s="297"/>
      <c r="U38" s="297"/>
      <c r="V38" s="297"/>
      <c r="W38" s="297"/>
      <c r="X38" s="297"/>
      <c r="Y38" s="297"/>
      <c r="Z38" s="297"/>
      <c r="AA38" s="297"/>
      <c r="AB38" s="297"/>
      <c r="AC38" s="297"/>
      <c r="AD38" s="297"/>
      <c r="AE38" s="297"/>
      <c r="AF38" s="297"/>
      <c r="AG38" s="297"/>
      <c r="AH38" s="297"/>
      <c r="AI38" s="297"/>
      <c r="AJ38" s="297"/>
      <c r="AK38" s="297"/>
      <c r="AL38" s="297"/>
      <c r="AM38" s="297"/>
    </row>
    <row r="39">
      <c r="A39" s="31" t="s">
        <v>103</v>
      </c>
      <c r="B39" s="77" t="s">
        <v>594</v>
      </c>
      <c r="C39" s="77" t="str">
        <f>VLOOKUP($B39,'Rate card'!$A$4:$G280,2,FALSE)</f>
        <v>Civil</v>
      </c>
      <c r="D39" s="77" t="str">
        <f>VLOOKUP($B39,'Rate card'!$A$4:$G280,3,FALSE)</f>
        <v>Vanity counter</v>
      </c>
      <c r="E39" s="77" t="str">
        <f>VLOOKUP($B39,'Rate card'!$A$4:$G280,4,FALSE)</f>
        <v>Granite/Marble</v>
      </c>
      <c r="F39" s="77" t="str">
        <f>VLOOKUP($B39,'Rate card'!$A$4:$G280,5,FALSE)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39" s="77" t="str">
        <f>VLOOKUP($B39,'Rate card'!$A$4:$G280,6,FALSE)</f>
        <v>Rft</v>
      </c>
      <c r="H39" s="79">
        <f>VLOOKUP($B39,'Rate card'!$A$4:$J280,8,FALSE)</f>
        <v>1500</v>
      </c>
      <c r="I39" s="585" t="s">
        <v>224</v>
      </c>
      <c r="J39" s="79">
        <f t="shared" si="9"/>
        <v>33000</v>
      </c>
      <c r="K39" s="585" t="s">
        <v>224</v>
      </c>
      <c r="L39" s="580">
        <f t="shared" si="3"/>
        <v>33000</v>
      </c>
      <c r="M39" s="33">
        <f t="shared" si="4"/>
        <v>0</v>
      </c>
      <c r="N39" s="580" t="s">
        <v>156</v>
      </c>
      <c r="O39" s="553"/>
      <c r="P39" s="581"/>
      <c r="Q39" s="79">
        <f>VLOOKUP($B39,'Rate card'!$A$4:$J280,7,FALSE)</f>
        <v>1000</v>
      </c>
      <c r="R39" s="282">
        <f t="shared" si="10"/>
        <v>22000</v>
      </c>
      <c r="S39" s="583">
        <f t="shared" si="5"/>
        <v>0.003412381319</v>
      </c>
      <c r="T39" s="297"/>
      <c r="U39" s="297"/>
      <c r="V39" s="297"/>
      <c r="W39" s="297"/>
      <c r="X39" s="297"/>
      <c r="Y39" s="297"/>
      <c r="Z39" s="297"/>
      <c r="AA39" s="297"/>
      <c r="AB39" s="297"/>
      <c r="AC39" s="297"/>
      <c r="AD39" s="297"/>
      <c r="AE39" s="297"/>
      <c r="AF39" s="297"/>
      <c r="AG39" s="297"/>
      <c r="AH39" s="297"/>
      <c r="AI39" s="297"/>
      <c r="AJ39" s="297"/>
      <c r="AK39" s="297"/>
      <c r="AL39" s="297"/>
      <c r="AM39" s="297"/>
    </row>
    <row r="40">
      <c r="A40" s="31" t="s">
        <v>104</v>
      </c>
      <c r="B40" s="67"/>
      <c r="C40" s="62" t="s">
        <v>654</v>
      </c>
      <c r="D40" s="553"/>
      <c r="E40" s="553"/>
      <c r="F40" s="77"/>
      <c r="G40" s="62" t="s">
        <v>367</v>
      </c>
      <c r="H40" s="32">
        <v>50.0</v>
      </c>
      <c r="I40" s="78">
        <f>I94+I97+I109+I122+I133</f>
        <v>327.5</v>
      </c>
      <c r="J40" s="79">
        <f>(H40*I40)</f>
        <v>16375</v>
      </c>
      <c r="K40" s="78" t="s">
        <v>723</v>
      </c>
      <c r="L40" s="580">
        <f t="shared" si="3"/>
        <v>20000</v>
      </c>
      <c r="M40" s="33">
        <f t="shared" si="4"/>
        <v>3625</v>
      </c>
      <c r="N40" s="62" t="s">
        <v>655</v>
      </c>
      <c r="O40" s="575" t="s">
        <v>715</v>
      </c>
      <c r="P40" s="553"/>
      <c r="Q40" s="281"/>
      <c r="R40" s="281"/>
      <c r="S40" s="583">
        <f t="shared" si="5"/>
        <v>0.00206810989</v>
      </c>
      <c r="T40" s="281"/>
      <c r="U40" s="281"/>
      <c r="V40" s="281"/>
      <c r="W40" s="281"/>
      <c r="X40" s="281"/>
      <c r="Y40" s="281"/>
      <c r="Z40" s="281"/>
      <c r="AA40" s="281"/>
      <c r="AB40" s="281"/>
      <c r="AC40" s="281"/>
      <c r="AD40" s="281"/>
      <c r="AE40" s="281"/>
      <c r="AF40" s="281"/>
      <c r="AG40" s="281"/>
      <c r="AH40" s="281"/>
      <c r="AI40" s="281"/>
      <c r="AJ40" s="281"/>
      <c r="AK40" s="281"/>
      <c r="AL40" s="281"/>
      <c r="AM40" s="281"/>
    </row>
    <row r="41" hidden="1">
      <c r="A41" s="31" t="s">
        <v>107</v>
      </c>
      <c r="B41" s="67"/>
      <c r="C41" s="62"/>
      <c r="D41" s="553"/>
      <c r="E41" s="553"/>
      <c r="F41" s="77"/>
      <c r="G41" s="62"/>
      <c r="H41" s="32"/>
      <c r="I41" s="78"/>
      <c r="J41" s="79"/>
      <c r="K41" s="78"/>
      <c r="L41" s="580">
        <f t="shared" si="3"/>
        <v>0</v>
      </c>
      <c r="M41" s="33">
        <f t="shared" si="4"/>
        <v>0</v>
      </c>
      <c r="N41" s="62"/>
      <c r="O41" s="553"/>
      <c r="P41" s="553"/>
      <c r="Q41" s="281"/>
      <c r="R41" s="281"/>
      <c r="S41" s="583">
        <f t="shared" si="5"/>
        <v>0</v>
      </c>
      <c r="T41" s="281"/>
      <c r="U41" s="281"/>
      <c r="V41" s="281"/>
      <c r="W41" s="281"/>
      <c r="X41" s="281"/>
      <c r="Y41" s="281"/>
      <c r="Z41" s="281"/>
      <c r="AA41" s="281"/>
      <c r="AB41" s="281"/>
      <c r="AC41" s="281"/>
      <c r="AD41" s="281"/>
      <c r="AE41" s="281"/>
      <c r="AF41" s="281"/>
      <c r="AG41" s="281"/>
      <c r="AH41" s="281"/>
      <c r="AI41" s="281"/>
      <c r="AJ41" s="281"/>
      <c r="AK41" s="281"/>
      <c r="AL41" s="281"/>
      <c r="AM41" s="281"/>
    </row>
    <row r="42">
      <c r="A42" s="31" t="s">
        <v>103</v>
      </c>
      <c r="B42" s="77" t="s">
        <v>594</v>
      </c>
      <c r="C42" s="77" t="str">
        <f>VLOOKUP($B42,'Rate card'!$A$4:$G280,2,FALSE)</f>
        <v>Civil</v>
      </c>
      <c r="D42" s="78" t="s">
        <v>119</v>
      </c>
      <c r="E42" s="77" t="str">
        <f>VLOOKUP($B42,'Rate card'!$A$4:$G280,4,FALSE)</f>
        <v>Granite/Marble</v>
      </c>
      <c r="F42" s="77" t="str">
        <f>VLOOKUP($B42,'Rate card'!$A$4:$G280,5,FALSE)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42" s="77" t="str">
        <f>VLOOKUP($B42,'Rate card'!$A$4:$G280,6,FALSE)</f>
        <v>Rft</v>
      </c>
      <c r="H42" s="79">
        <f>VLOOKUP($B42,'Rate card'!$A$4:$J280,8,FALSE)</f>
        <v>1500</v>
      </c>
      <c r="I42" s="585" t="s">
        <v>121</v>
      </c>
      <c r="J42" s="79">
        <f>H42*I42</f>
        <v>30000</v>
      </c>
      <c r="K42" s="585" t="s">
        <v>107</v>
      </c>
      <c r="L42" s="580">
        <f t="shared" si="3"/>
        <v>22500</v>
      </c>
      <c r="M42" s="33">
        <f t="shared" si="4"/>
        <v>-7500</v>
      </c>
      <c r="N42" s="580" t="s">
        <v>156</v>
      </c>
      <c r="O42" s="139" t="s">
        <v>719</v>
      </c>
      <c r="P42" s="581"/>
      <c r="Q42" s="79">
        <f>VLOOKUP($B42,'Rate card'!$A$4:$J280,7,FALSE)</f>
        <v>1000</v>
      </c>
      <c r="R42" s="282">
        <f>I42*Q42</f>
        <v>20000</v>
      </c>
      <c r="S42" s="583">
        <f t="shared" si="5"/>
        <v>0.002326623627</v>
      </c>
      <c r="T42" s="297"/>
      <c r="U42" s="297"/>
      <c r="V42" s="297"/>
      <c r="W42" s="297"/>
      <c r="X42" s="297"/>
      <c r="Y42" s="297"/>
      <c r="Z42" s="297"/>
      <c r="AA42" s="297"/>
      <c r="AB42" s="297"/>
      <c r="AC42" s="297"/>
      <c r="AD42" s="297"/>
      <c r="AE42" s="297"/>
      <c r="AF42" s="297"/>
      <c r="AG42" s="297"/>
      <c r="AH42" s="297"/>
      <c r="AI42" s="297"/>
      <c r="AJ42" s="297"/>
      <c r="AK42" s="297"/>
      <c r="AL42" s="297"/>
      <c r="AM42" s="297"/>
    </row>
    <row r="43">
      <c r="A43" s="31"/>
      <c r="B43" s="77"/>
      <c r="C43" s="77"/>
      <c r="D43" s="78"/>
      <c r="E43" s="77"/>
      <c r="F43" s="77"/>
      <c r="G43" s="77"/>
      <c r="H43" s="79"/>
      <c r="I43" s="83" t="s">
        <v>125</v>
      </c>
      <c r="J43" s="84">
        <f>SUM(J27:J42)</f>
        <v>684205</v>
      </c>
      <c r="K43" s="83" t="s">
        <v>125</v>
      </c>
      <c r="L43" s="84">
        <f>SUM(L27:L42)</f>
        <v>845895</v>
      </c>
      <c r="M43" s="83">
        <f>sum(M27:M42)</f>
        <v>161690</v>
      </c>
      <c r="N43" s="580"/>
      <c r="O43" s="553"/>
      <c r="P43" s="581"/>
      <c r="Q43" s="2"/>
      <c r="R43" s="281"/>
      <c r="S43" s="583"/>
      <c r="T43" s="297"/>
      <c r="U43" s="297"/>
      <c r="V43" s="297"/>
      <c r="W43" s="297"/>
      <c r="X43" s="297"/>
      <c r="Y43" s="297"/>
      <c r="Z43" s="297"/>
      <c r="AA43" s="297"/>
      <c r="AB43" s="297"/>
      <c r="AC43" s="297"/>
      <c r="AD43" s="297"/>
      <c r="AE43" s="297"/>
      <c r="AF43" s="297"/>
      <c r="AG43" s="297"/>
      <c r="AH43" s="297"/>
      <c r="AI43" s="297"/>
      <c r="AJ43" s="297"/>
      <c r="AK43" s="297"/>
      <c r="AL43" s="297"/>
      <c r="AM43" s="297"/>
    </row>
    <row r="44" ht="28.5" customHeight="1">
      <c r="A44" s="63" t="s">
        <v>22</v>
      </c>
      <c r="B44" s="298"/>
      <c r="C44" s="298"/>
      <c r="D44" s="298"/>
      <c r="E44" s="298"/>
      <c r="F44" s="298"/>
      <c r="G44" s="294"/>
      <c r="H44" s="426"/>
      <c r="I44" s="298"/>
      <c r="J44" s="426"/>
      <c r="K44" s="298"/>
      <c r="L44" s="426"/>
      <c r="M44" s="298"/>
      <c r="N44" s="294"/>
      <c r="O44" s="294"/>
      <c r="P44" s="451"/>
      <c r="Q44" s="372"/>
      <c r="R44" s="373"/>
      <c r="S44" s="583">
        <f t="shared" ref="S44:S48" si="11">L44/$D$22</f>
        <v>0</v>
      </c>
      <c r="T44" s="281"/>
      <c r="U44" s="281"/>
      <c r="V44" s="281"/>
      <c r="W44" s="281"/>
      <c r="X44" s="281"/>
      <c r="Y44" s="281"/>
      <c r="Z44" s="281"/>
      <c r="AA44" s="281"/>
      <c r="AB44" s="281"/>
      <c r="AC44" s="281"/>
      <c r="AD44" s="281"/>
      <c r="AE44" s="281"/>
      <c r="AF44" s="281"/>
      <c r="AG44" s="281"/>
      <c r="AH44" s="281"/>
      <c r="AI44" s="281"/>
      <c r="AJ44" s="281"/>
      <c r="AK44" s="281"/>
      <c r="AL44" s="281"/>
      <c r="AM44" s="281"/>
    </row>
    <row r="45">
      <c r="A45" s="33" t="s">
        <v>16</v>
      </c>
      <c r="B45" s="31" t="s">
        <v>126</v>
      </c>
      <c r="C45" s="76" t="s">
        <v>22</v>
      </c>
      <c r="D45" s="76" t="s">
        <v>127</v>
      </c>
      <c r="E45" s="75" t="s">
        <v>128</v>
      </c>
      <c r="F45" s="31" t="s">
        <v>129</v>
      </c>
      <c r="G45" s="76" t="s">
        <v>130</v>
      </c>
      <c r="H45" s="78" t="s">
        <v>131</v>
      </c>
      <c r="I45" s="78" t="s">
        <v>16</v>
      </c>
      <c r="J45" s="69">
        <f t="shared" ref="J45:J46" si="12">H45*I45</f>
        <v>35000</v>
      </c>
      <c r="K45" s="78" t="s">
        <v>16</v>
      </c>
      <c r="L45" s="586">
        <f>K45*H45</f>
        <v>35000</v>
      </c>
      <c r="M45" s="33">
        <f t="shared" ref="M45:M48" si="13">L45-J45</f>
        <v>0</v>
      </c>
      <c r="N45" s="80" t="s">
        <v>132</v>
      </c>
      <c r="O45" s="139" t="s">
        <v>724</v>
      </c>
      <c r="P45" s="587" t="s">
        <v>725</v>
      </c>
      <c r="Q45" s="124">
        <f>VLOOKUP($B45,'Rate card'!$A$4:$J280,7,FALSE)</f>
        <v>8000</v>
      </c>
      <c r="R45" s="281">
        <f t="shared" ref="R45:R48" si="14">I45*Q45</f>
        <v>8000</v>
      </c>
      <c r="S45" s="583">
        <f t="shared" si="11"/>
        <v>0.003619192308</v>
      </c>
      <c r="T45" s="281"/>
      <c r="U45" s="281"/>
      <c r="V45" s="281"/>
      <c r="W45" s="281"/>
      <c r="X45" s="281"/>
      <c r="Y45" s="281"/>
      <c r="Z45" s="281"/>
      <c r="AA45" s="281"/>
      <c r="AB45" s="281"/>
      <c r="AC45" s="281"/>
      <c r="AD45" s="281"/>
      <c r="AE45" s="281"/>
      <c r="AF45" s="281"/>
      <c r="AG45" s="281"/>
      <c r="AH45" s="281"/>
      <c r="AI45" s="281"/>
      <c r="AJ45" s="281"/>
      <c r="AK45" s="281"/>
      <c r="AL45" s="281"/>
      <c r="AM45" s="281"/>
    </row>
    <row r="46">
      <c r="A46" s="33" t="s">
        <v>18</v>
      </c>
      <c r="B46" s="31" t="s">
        <v>126</v>
      </c>
      <c r="C46" s="76" t="s">
        <v>22</v>
      </c>
      <c r="D46" s="76" t="s">
        <v>127</v>
      </c>
      <c r="E46" s="75" t="s">
        <v>133</v>
      </c>
      <c r="F46" s="31" t="s">
        <v>129</v>
      </c>
      <c r="G46" s="76" t="s">
        <v>130</v>
      </c>
      <c r="H46" s="78" t="s">
        <v>134</v>
      </c>
      <c r="I46" s="78" t="s">
        <v>16</v>
      </c>
      <c r="J46" s="69">
        <f t="shared" si="12"/>
        <v>45000</v>
      </c>
      <c r="K46" s="78" t="s">
        <v>18</v>
      </c>
      <c r="L46" s="586">
        <v>90000.0</v>
      </c>
      <c r="M46" s="33">
        <f t="shared" si="13"/>
        <v>45000</v>
      </c>
      <c r="N46" s="80" t="s">
        <v>135</v>
      </c>
      <c r="O46" s="139" t="s">
        <v>724</v>
      </c>
      <c r="P46" s="587" t="s">
        <v>725</v>
      </c>
      <c r="Q46" s="124">
        <f>VLOOKUP($B46,'Rate card'!$A$4:$J280,7,FALSE)</f>
        <v>8000</v>
      </c>
      <c r="R46" s="281">
        <f t="shared" si="14"/>
        <v>8000</v>
      </c>
      <c r="S46" s="583">
        <f t="shared" si="11"/>
        <v>0.009306494506</v>
      </c>
      <c r="T46" s="281"/>
      <c r="U46" s="281"/>
      <c r="V46" s="281"/>
      <c r="W46" s="281"/>
      <c r="X46" s="281"/>
      <c r="Y46" s="281"/>
      <c r="Z46" s="281"/>
      <c r="AA46" s="281"/>
      <c r="AB46" s="281"/>
      <c r="AC46" s="281"/>
      <c r="AD46" s="281"/>
      <c r="AE46" s="281"/>
      <c r="AF46" s="281"/>
      <c r="AG46" s="281"/>
      <c r="AH46" s="281"/>
      <c r="AI46" s="281"/>
      <c r="AJ46" s="281"/>
      <c r="AK46" s="281"/>
      <c r="AL46" s="281"/>
      <c r="AM46" s="281"/>
    </row>
    <row r="47">
      <c r="A47" s="33" t="s">
        <v>24</v>
      </c>
      <c r="B47" s="31" t="s">
        <v>126</v>
      </c>
      <c r="C47" s="76" t="s">
        <v>22</v>
      </c>
      <c r="D47" s="76" t="s">
        <v>127</v>
      </c>
      <c r="E47" s="75" t="s">
        <v>128</v>
      </c>
      <c r="F47" s="31" t="s">
        <v>129</v>
      </c>
      <c r="G47" s="76" t="s">
        <v>130</v>
      </c>
      <c r="H47" s="78" t="s">
        <v>131</v>
      </c>
      <c r="I47" s="78" t="s">
        <v>16</v>
      </c>
      <c r="J47" s="69">
        <f>J45</f>
        <v>35000</v>
      </c>
      <c r="K47" s="78" t="s">
        <v>16</v>
      </c>
      <c r="L47" s="586">
        <v>35000.0</v>
      </c>
      <c r="M47" s="33">
        <f t="shared" si="13"/>
        <v>0</v>
      </c>
      <c r="N47" s="80" t="s">
        <v>136</v>
      </c>
      <c r="O47" s="553"/>
      <c r="P47" s="554" t="s">
        <v>726</v>
      </c>
      <c r="Q47" s="124">
        <f>VLOOKUP($B47,'Rate card'!$A$4:$J280,7,FALSE)</f>
        <v>8000</v>
      </c>
      <c r="R47" s="281">
        <f t="shared" si="14"/>
        <v>8000</v>
      </c>
      <c r="S47" s="583">
        <f t="shared" si="11"/>
        <v>0.003619192308</v>
      </c>
      <c r="T47" s="281"/>
      <c r="U47" s="281"/>
      <c r="V47" s="281"/>
      <c r="W47" s="281"/>
      <c r="X47" s="281"/>
      <c r="Y47" s="281"/>
      <c r="Z47" s="281"/>
      <c r="AA47" s="281"/>
      <c r="AB47" s="281"/>
      <c r="AC47" s="281"/>
      <c r="AD47" s="281"/>
      <c r="AE47" s="281"/>
      <c r="AF47" s="281"/>
      <c r="AG47" s="281"/>
      <c r="AH47" s="281"/>
      <c r="AI47" s="281"/>
      <c r="AJ47" s="281"/>
      <c r="AK47" s="281"/>
      <c r="AL47" s="281"/>
      <c r="AM47" s="281"/>
    </row>
    <row r="48" ht="69.0" customHeight="1">
      <c r="A48" s="33" t="s">
        <v>27</v>
      </c>
      <c r="B48" s="77" t="s">
        <v>137</v>
      </c>
      <c r="C48" s="67" t="str">
        <f>VLOOKUP($B48,'Rate card'!$A$4:$G280,2,FALSE)</f>
        <v>Plumbing</v>
      </c>
      <c r="D48" s="67" t="str">
        <f>VLOOKUP($B48,'Rate card'!$A$4:$G280,3,FALSE)</f>
        <v>Kitchen Plumbing</v>
      </c>
      <c r="E48" s="62" t="s">
        <v>138</v>
      </c>
      <c r="F48" s="77" t="str">
        <f>VLOOKUP($B48,'Rate card'!$A$4:$G280,5,FALSE)</f>
        <v>all plumbing concealed wall and floor CPVC and UPVC pipes and chipping and replastering work </v>
      </c>
      <c r="G48" s="67" t="str">
        <f>VLOOKUP($B48,'Rate card'!$A$4:$G280,6,FALSE)</f>
        <v>per kitchen</v>
      </c>
      <c r="H48" s="31" t="s">
        <v>670</v>
      </c>
      <c r="I48" s="33" t="s">
        <v>16</v>
      </c>
      <c r="J48" s="69">
        <f>H48*I48</f>
        <v>25000</v>
      </c>
      <c r="K48" s="33" t="s">
        <v>16</v>
      </c>
      <c r="L48" s="580">
        <f>K48*H48</f>
        <v>25000</v>
      </c>
      <c r="M48" s="33">
        <f t="shared" si="13"/>
        <v>0</v>
      </c>
      <c r="N48" s="80" t="s">
        <v>140</v>
      </c>
      <c r="O48" s="553"/>
      <c r="P48" s="587" t="s">
        <v>727</v>
      </c>
      <c r="Q48" s="94">
        <f>VLOOKUP($B48,'Rate card'!$A$4:$J280,7,FALSE)</f>
        <v>5500</v>
      </c>
      <c r="R48" s="281">
        <f t="shared" si="14"/>
        <v>5500</v>
      </c>
      <c r="S48" s="583">
        <f t="shared" si="11"/>
        <v>0.002585137363</v>
      </c>
      <c r="T48" s="281"/>
      <c r="U48" s="281"/>
      <c r="V48" s="281"/>
      <c r="W48" s="281"/>
      <c r="X48" s="281"/>
      <c r="Y48" s="281"/>
      <c r="Z48" s="281"/>
      <c r="AA48" s="281"/>
      <c r="AB48" s="281"/>
      <c r="AC48" s="281"/>
      <c r="AD48" s="281"/>
      <c r="AE48" s="281"/>
      <c r="AF48" s="281"/>
      <c r="AG48" s="281"/>
      <c r="AH48" s="281"/>
      <c r="AI48" s="281"/>
      <c r="AJ48" s="281"/>
      <c r="AK48" s="281"/>
      <c r="AL48" s="281"/>
      <c r="AM48" s="281"/>
    </row>
    <row r="49">
      <c r="A49" s="588"/>
      <c r="B49" s="588"/>
      <c r="C49" s="588"/>
      <c r="D49" s="588"/>
      <c r="E49" s="588"/>
      <c r="F49" s="588"/>
      <c r="G49" s="588"/>
      <c r="H49" s="589"/>
      <c r="I49" s="83" t="s">
        <v>125</v>
      </c>
      <c r="J49" s="84">
        <f>SUM(J45:J48)</f>
        <v>140000</v>
      </c>
      <c r="K49" s="83" t="s">
        <v>125</v>
      </c>
      <c r="L49" s="84">
        <f>SUM(L45:L48)</f>
        <v>185000</v>
      </c>
      <c r="M49" s="83">
        <f>sum(M45:M48)</f>
        <v>45000</v>
      </c>
      <c r="N49" s="84"/>
      <c r="O49" s="553"/>
      <c r="P49" s="581"/>
      <c r="Q49" s="582"/>
      <c r="R49" s="281"/>
      <c r="S49" s="583"/>
      <c r="T49" s="297"/>
      <c r="U49" s="297"/>
      <c r="V49" s="297"/>
      <c r="W49" s="297"/>
      <c r="X49" s="297"/>
      <c r="Y49" s="297"/>
      <c r="Z49" s="297"/>
      <c r="AA49" s="297"/>
      <c r="AB49" s="297"/>
      <c r="AC49" s="297"/>
      <c r="AD49" s="297"/>
      <c r="AE49" s="297"/>
      <c r="AF49" s="297"/>
      <c r="AG49" s="297"/>
      <c r="AH49" s="297"/>
      <c r="AI49" s="297"/>
      <c r="AJ49" s="297"/>
      <c r="AK49" s="297"/>
      <c r="AL49" s="297"/>
      <c r="AM49" s="297"/>
    </row>
    <row r="50" ht="28.5" customHeight="1">
      <c r="A50" s="63" t="s">
        <v>25</v>
      </c>
      <c r="B50" s="298"/>
      <c r="C50" s="298"/>
      <c r="D50" s="298"/>
      <c r="E50" s="298"/>
      <c r="F50" s="298"/>
      <c r="G50" s="294"/>
      <c r="H50" s="426"/>
      <c r="I50" s="298"/>
      <c r="J50" s="426"/>
      <c r="K50" s="298"/>
      <c r="L50" s="426"/>
      <c r="M50" s="298"/>
      <c r="N50" s="294"/>
      <c r="O50" s="553"/>
      <c r="P50" s="451"/>
      <c r="Q50" s="372"/>
      <c r="R50" s="373"/>
      <c r="S50" s="583">
        <f t="shared" ref="S50:S51" si="15">L50/$D$22</f>
        <v>0</v>
      </c>
      <c r="T50" s="281"/>
      <c r="U50" s="281"/>
      <c r="V50" s="281"/>
      <c r="W50" s="281"/>
      <c r="X50" s="281"/>
      <c r="Y50" s="281"/>
      <c r="Z50" s="281"/>
      <c r="AA50" s="281"/>
      <c r="AB50" s="281"/>
      <c r="AC50" s="281"/>
      <c r="AD50" s="281"/>
      <c r="AE50" s="281"/>
      <c r="AF50" s="281"/>
      <c r="AG50" s="281"/>
      <c r="AH50" s="281"/>
      <c r="AI50" s="281"/>
      <c r="AJ50" s="281"/>
      <c r="AK50" s="281"/>
      <c r="AL50" s="281"/>
      <c r="AM50" s="281"/>
    </row>
    <row r="51">
      <c r="A51" s="33" t="s">
        <v>16</v>
      </c>
      <c r="B51" s="33" t="s">
        <v>141</v>
      </c>
      <c r="C51" s="77" t="s">
        <v>25</v>
      </c>
      <c r="D51" s="77" t="s">
        <v>142</v>
      </c>
      <c r="E51" s="77" t="s">
        <v>143</v>
      </c>
      <c r="F51" s="77" t="s">
        <v>144</v>
      </c>
      <c r="G51" s="33" t="s">
        <v>145</v>
      </c>
      <c r="H51" s="78" t="s">
        <v>70</v>
      </c>
      <c r="I51" s="78" t="s">
        <v>146</v>
      </c>
      <c r="J51" s="69">
        <f>H51*I51</f>
        <v>585550</v>
      </c>
      <c r="K51" s="78" t="s">
        <v>146</v>
      </c>
      <c r="L51" s="580">
        <f>K51*H51</f>
        <v>585550</v>
      </c>
      <c r="M51" s="33">
        <f>L51-J51</f>
        <v>0</v>
      </c>
      <c r="N51" s="80" t="s">
        <v>151</v>
      </c>
      <c r="O51" s="553"/>
      <c r="P51" s="581"/>
      <c r="Q51" s="124">
        <f>VLOOKUP($B51,'Rate card'!$A$4:$J280,7,FALSE)</f>
        <v>625</v>
      </c>
      <c r="R51" s="281">
        <f>I51*Q51</f>
        <v>1045625</v>
      </c>
      <c r="S51" s="583">
        <f t="shared" si="15"/>
        <v>0.06054908731</v>
      </c>
      <c r="T51" s="281"/>
      <c r="U51" s="281"/>
      <c r="V51" s="281"/>
      <c r="W51" s="281"/>
      <c r="X51" s="281"/>
      <c r="Y51" s="281"/>
      <c r="Z51" s="281"/>
      <c r="AA51" s="281"/>
      <c r="AB51" s="281"/>
      <c r="AC51" s="281"/>
      <c r="AD51" s="281"/>
      <c r="AE51" s="281"/>
      <c r="AF51" s="281"/>
      <c r="AG51" s="281"/>
      <c r="AH51" s="281"/>
      <c r="AI51" s="281"/>
      <c r="AJ51" s="281"/>
      <c r="AK51" s="281"/>
      <c r="AL51" s="281"/>
      <c r="AM51" s="281"/>
    </row>
    <row r="52">
      <c r="A52" s="33"/>
      <c r="B52" s="33"/>
      <c r="C52" s="77"/>
      <c r="D52" s="77"/>
      <c r="E52" s="77"/>
      <c r="F52" s="77"/>
      <c r="G52" s="77"/>
      <c r="H52" s="91"/>
      <c r="I52" s="83" t="s">
        <v>125</v>
      </c>
      <c r="J52" s="92">
        <f>SUM(J51)</f>
        <v>585550</v>
      </c>
      <c r="K52" s="83" t="s">
        <v>125</v>
      </c>
      <c r="L52" s="92">
        <f>SUM(L51)</f>
        <v>585550</v>
      </c>
      <c r="M52" s="83"/>
      <c r="N52" s="553"/>
      <c r="O52" s="553"/>
      <c r="P52" s="581"/>
      <c r="Q52" s="582"/>
      <c r="R52" s="1"/>
      <c r="S52" s="583"/>
      <c r="T52" s="281"/>
      <c r="U52" s="281"/>
      <c r="V52" s="281"/>
      <c r="W52" s="281"/>
      <c r="X52" s="281"/>
      <c r="Y52" s="281"/>
      <c r="Z52" s="281"/>
      <c r="AA52" s="281"/>
      <c r="AB52" s="281"/>
      <c r="AC52" s="281"/>
      <c r="AD52" s="281"/>
      <c r="AE52" s="281"/>
      <c r="AF52" s="281"/>
      <c r="AG52" s="281"/>
      <c r="AH52" s="281"/>
      <c r="AI52" s="281"/>
      <c r="AJ52" s="281"/>
      <c r="AK52" s="281"/>
      <c r="AL52" s="281"/>
      <c r="AM52" s="281"/>
    </row>
    <row r="53">
      <c r="A53" s="25" t="s">
        <v>148</v>
      </c>
      <c r="B53" s="298"/>
      <c r="C53" s="298"/>
      <c r="D53" s="298"/>
      <c r="E53" s="298"/>
      <c r="F53" s="298"/>
      <c r="G53" s="426"/>
      <c r="H53" s="298"/>
      <c r="I53" s="426"/>
      <c r="J53" s="426"/>
      <c r="K53" s="426"/>
      <c r="L53" s="426"/>
      <c r="M53" s="426"/>
      <c r="N53" s="294"/>
      <c r="O53" s="553"/>
      <c r="P53" s="580"/>
      <c r="Q53" s="590"/>
      <c r="R53" s="281"/>
      <c r="S53" s="583">
        <f t="shared" ref="S53:S59" si="16">L53/$D$22</f>
        <v>0</v>
      </c>
      <c r="T53" s="281"/>
      <c r="U53" s="281"/>
      <c r="V53" s="281"/>
      <c r="W53" s="281"/>
      <c r="X53" s="281"/>
      <c r="Y53" s="281"/>
      <c r="Z53" s="281"/>
      <c r="AA53" s="281"/>
      <c r="AB53" s="281"/>
      <c r="AC53" s="281"/>
      <c r="AD53" s="281"/>
      <c r="AE53" s="281"/>
      <c r="AF53" s="281"/>
      <c r="AG53" s="281"/>
      <c r="AH53" s="281"/>
      <c r="AI53" s="281"/>
      <c r="AJ53" s="281"/>
      <c r="AK53" s="281"/>
      <c r="AL53" s="281"/>
      <c r="AM53" s="281"/>
    </row>
    <row r="54">
      <c r="A54" s="33" t="s">
        <v>16</v>
      </c>
      <c r="B54" s="77" t="s">
        <v>149</v>
      </c>
      <c r="C54" s="77" t="str">
        <f>VLOOKUP($B54,'Rate card'!$A$4:$G280,2,FALSE)</f>
        <v>False Ceiling</v>
      </c>
      <c r="D54" s="77" t="str">
        <f>VLOOKUP($B54,'Rate card'!$A$4:$G280,3,FALSE)</f>
        <v>Gypsum Board Ceiling</v>
      </c>
      <c r="E54" s="77" t="str">
        <f>VLOOKUP($B54,'Rate card'!$A$4:$G280,4,FALSE)</f>
        <v>Saint Gobain/Gyproc Board + local A Grade  channel</v>
      </c>
      <c r="F54" s="77" t="str">
        <f>VLOOKUP($B54,'Rate card'!$A$4:$G280,5,FALSE)</f>
        <v>12.5mm thick gypsum board, with local A Grade Channel including all material, labour, transportation etc | Ceiling Channel and Intermediate Channel at 900mm c/c &amp; Ceiling Section at 450mm c/c</v>
      </c>
      <c r="G54" s="77" t="str">
        <f>VLOOKUP($B54,'Rate card'!$A$4:$G280,6,FALSE)</f>
        <v>Sqft</v>
      </c>
      <c r="H54" s="94">
        <v>120.0</v>
      </c>
      <c r="I54" s="78" t="s">
        <v>150</v>
      </c>
      <c r="J54" s="79">
        <f t="shared" ref="J54:J59" si="17">H54*I54</f>
        <v>173640</v>
      </c>
      <c r="K54" s="78" t="s">
        <v>150</v>
      </c>
      <c r="L54" s="580">
        <f t="shared" ref="L54:L59" si="18">K54*H54</f>
        <v>173640</v>
      </c>
      <c r="M54" s="33">
        <f t="shared" ref="M54:M58" si="19">L54-J54</f>
        <v>0</v>
      </c>
      <c r="N54" s="67" t="s">
        <v>151</v>
      </c>
      <c r="O54" s="553"/>
      <c r="P54" s="553"/>
      <c r="Q54" s="591"/>
      <c r="R54" s="281"/>
      <c r="S54" s="583">
        <f t="shared" si="16"/>
        <v>0.01795533007</v>
      </c>
      <c r="T54" s="281"/>
      <c r="U54" s="281"/>
      <c r="V54" s="281"/>
      <c r="W54" s="281"/>
      <c r="X54" s="281"/>
      <c r="Y54" s="281"/>
      <c r="Z54" s="281"/>
      <c r="AA54" s="281"/>
      <c r="AB54" s="281"/>
      <c r="AC54" s="281"/>
      <c r="AD54" s="281"/>
      <c r="AE54" s="281"/>
      <c r="AF54" s="281"/>
      <c r="AG54" s="281"/>
      <c r="AH54" s="281"/>
      <c r="AI54" s="281"/>
      <c r="AJ54" s="281"/>
      <c r="AK54" s="281"/>
      <c r="AL54" s="281"/>
      <c r="AM54" s="281"/>
    </row>
    <row r="55">
      <c r="A55" s="33" t="s">
        <v>18</v>
      </c>
      <c r="B55" s="33" t="s">
        <v>152</v>
      </c>
      <c r="C55" s="33" t="str">
        <f>VLOOKUP($B55,'Rate card'!$A$4:$G280,2,FALSE)</f>
        <v>False Ceiling</v>
      </c>
      <c r="D55" s="33" t="str">
        <f>VLOOKUP($B55,'Rate card'!$A$4:$G280,3,FALSE)</f>
        <v>Gypsum Board Cove</v>
      </c>
      <c r="E55" s="33" t="str">
        <f>VLOOKUP($B55,'Rate card'!$A$4:$G280,4,FALSE)</f>
        <v>Gypsum cove</v>
      </c>
      <c r="F55" s="33" t="str">
        <f>VLOOKUP($B55,'Rate card'!$A$4:$G280,5,FALSE)</f>
        <v>12.5mm thick gypsum board, with local A Grade Channel including all material, labour, transportation etc | Ceiling Channel and Intermediate Channel at 900mm c/c &amp; Ceiling Section at 450mm c/c</v>
      </c>
      <c r="G55" s="33" t="str">
        <f>VLOOKUP($B55,'Rate card'!$A$4:$G280,6,FALSE)</f>
        <v>Rft</v>
      </c>
      <c r="H55" s="94">
        <v>120.0</v>
      </c>
      <c r="I55" s="31" t="s">
        <v>153</v>
      </c>
      <c r="J55" s="69">
        <f t="shared" si="17"/>
        <v>96000</v>
      </c>
      <c r="K55" s="31" t="s">
        <v>153</v>
      </c>
      <c r="L55" s="580">
        <f t="shared" si="18"/>
        <v>96000</v>
      </c>
      <c r="M55" s="33">
        <f t="shared" si="19"/>
        <v>0</v>
      </c>
      <c r="N55" s="67" t="s">
        <v>151</v>
      </c>
      <c r="O55" s="553"/>
      <c r="P55" s="553"/>
      <c r="Q55" s="591"/>
      <c r="R55" s="281"/>
      <c r="S55" s="583">
        <f t="shared" si="16"/>
        <v>0.009926927473</v>
      </c>
      <c r="T55" s="281"/>
      <c r="U55" s="281"/>
      <c r="V55" s="281"/>
      <c r="W55" s="281"/>
      <c r="X55" s="281"/>
      <c r="Y55" s="281"/>
      <c r="Z55" s="281"/>
      <c r="AA55" s="281"/>
      <c r="AB55" s="281"/>
      <c r="AC55" s="281"/>
      <c r="AD55" s="281"/>
      <c r="AE55" s="281"/>
      <c r="AF55" s="281"/>
      <c r="AG55" s="281"/>
      <c r="AH55" s="281"/>
      <c r="AI55" s="281"/>
      <c r="AJ55" s="281"/>
      <c r="AK55" s="281"/>
      <c r="AL55" s="281"/>
      <c r="AM55" s="281"/>
    </row>
    <row r="56">
      <c r="A56" s="33" t="s">
        <v>24</v>
      </c>
      <c r="B56" s="77" t="s">
        <v>154</v>
      </c>
      <c r="C56" s="77" t="str">
        <f>VLOOKUP($B56,'Rate card'!$A$4:$G280,2,FALSE)</f>
        <v>False Ceiling</v>
      </c>
      <c r="D56" s="77" t="str">
        <f>VLOOKUP($B56,'Rate card'!$A$4:$G280,3,FALSE)</f>
        <v>Hilux Board ceiling</v>
      </c>
      <c r="E56" s="77" t="str">
        <f>VLOOKUP($B56,'Rate card'!$A$4:$G280,4,FALSE)</f>
        <v>Hilux Board + local A Grade  channel</v>
      </c>
      <c r="F56" s="77" t="str">
        <f>VLOOKUP($B56,'Rate card'!$A$4:$G280,5,FALSE)</f>
        <v>8mm Ramco hilux board, with local A Grade Channel including all material, labour, transportation etc | Ceiling Channel and Intermediate Channel at 900mm c/c &amp; Ceiling Section at 450mm c/c</v>
      </c>
      <c r="G56" s="77" t="str">
        <f>VLOOKUP($B56,'Rate card'!$A$4:$G280,6,FALSE)</f>
        <v>Sqft</v>
      </c>
      <c r="H56" s="94">
        <v>200.0</v>
      </c>
      <c r="I56" s="78" t="s">
        <v>155</v>
      </c>
      <c r="J56" s="79">
        <f t="shared" si="17"/>
        <v>45200</v>
      </c>
      <c r="K56" s="78" t="s">
        <v>155</v>
      </c>
      <c r="L56" s="580">
        <f t="shared" si="18"/>
        <v>45200</v>
      </c>
      <c r="M56" s="33">
        <f t="shared" si="19"/>
        <v>0</v>
      </c>
      <c r="N56" s="67" t="s">
        <v>156</v>
      </c>
      <c r="O56" s="553"/>
      <c r="P56" s="553"/>
      <c r="Q56" s="94">
        <f>VLOOKUP($B56,'Rate card'!$A$4:$J280,7,FALSE)</f>
        <v>120</v>
      </c>
      <c r="R56" s="281">
        <f>I56*Q56</f>
        <v>27120</v>
      </c>
      <c r="S56" s="583">
        <f t="shared" si="16"/>
        <v>0.004673928352</v>
      </c>
      <c r="T56" s="281"/>
      <c r="U56" s="281"/>
      <c r="V56" s="281"/>
      <c r="W56" s="281"/>
      <c r="X56" s="281"/>
      <c r="Y56" s="281"/>
      <c r="Z56" s="281"/>
      <c r="AA56" s="281"/>
      <c r="AB56" s="281"/>
      <c r="AC56" s="281"/>
      <c r="AD56" s="281"/>
      <c r="AE56" s="281"/>
      <c r="AF56" s="281"/>
      <c r="AG56" s="281"/>
      <c r="AH56" s="281"/>
      <c r="AI56" s="281"/>
      <c r="AJ56" s="281"/>
      <c r="AK56" s="281"/>
      <c r="AL56" s="281"/>
      <c r="AM56" s="281"/>
    </row>
    <row r="57">
      <c r="A57" s="33" t="s">
        <v>27</v>
      </c>
      <c r="B57" s="77" t="s">
        <v>157</v>
      </c>
      <c r="C57" s="77" t="str">
        <f>VLOOKUP($B57,'Rate card'!$A$4:$G280,2,FALSE)</f>
        <v>POP</v>
      </c>
      <c r="D57" s="77" t="str">
        <f>VLOOKUP($B57,'Rate card'!$A$4:$G280,3,FALSE)</f>
        <v>POP Punning</v>
      </c>
      <c r="E57" s="77" t="str">
        <f>VLOOKUP($B57,'Rate card'!$A$4:$G280,4,FALSE)</f>
        <v>POP Punning (Plum) 12-25mm thick</v>
      </c>
      <c r="F57" s="77" t="str">
        <f>VLOOKUP($B57,'Rate card'!$A$4:$G280,5,FALSE)</f>
        <v>Providing and applying 12-25  mm thick POP punning on wall /ceiling including scrapping and hacking the existing finished surface and applying plaster of paris in proper line and levels etc. complete.</v>
      </c>
      <c r="G57" s="77" t="str">
        <f>VLOOKUP($B57,'Rate card'!$A$4:$G280,6,FALSE)</f>
        <v>Sqft</v>
      </c>
      <c r="H57" s="95">
        <v>45.0</v>
      </c>
      <c r="I57" s="78" t="s">
        <v>158</v>
      </c>
      <c r="J57" s="79">
        <f t="shared" si="17"/>
        <v>45000</v>
      </c>
      <c r="K57" s="78" t="s">
        <v>158</v>
      </c>
      <c r="L57" s="580">
        <f t="shared" si="18"/>
        <v>45000</v>
      </c>
      <c r="M57" s="33">
        <f t="shared" si="19"/>
        <v>0</v>
      </c>
      <c r="N57" s="62" t="s">
        <v>159</v>
      </c>
      <c r="O57" s="553"/>
      <c r="P57" s="553"/>
      <c r="Q57" s="591"/>
      <c r="R57" s="281"/>
      <c r="S57" s="583">
        <f t="shared" si="16"/>
        <v>0.004653247253</v>
      </c>
      <c r="T57" s="281"/>
      <c r="U57" s="281"/>
      <c r="V57" s="281"/>
      <c r="W57" s="281"/>
      <c r="X57" s="281"/>
      <c r="Y57" s="281"/>
      <c r="Z57" s="281"/>
      <c r="AA57" s="281"/>
      <c r="AB57" s="281"/>
      <c r="AC57" s="281"/>
      <c r="AD57" s="281"/>
      <c r="AE57" s="281"/>
      <c r="AF57" s="281"/>
      <c r="AG57" s="281"/>
      <c r="AH57" s="281"/>
      <c r="AI57" s="281"/>
      <c r="AJ57" s="281"/>
      <c r="AK57" s="281"/>
      <c r="AL57" s="281"/>
      <c r="AM57" s="281"/>
    </row>
    <row r="58">
      <c r="A58" s="33" t="s">
        <v>30</v>
      </c>
      <c r="B58" s="77" t="s">
        <v>600</v>
      </c>
      <c r="C58" s="77" t="str">
        <f>VLOOKUP($B58,'Rate card'!$A$4:$G280,2,FALSE)</f>
        <v>POP</v>
      </c>
      <c r="D58" s="77" t="str">
        <f>VLOOKUP($B58,'Rate card'!$A$4:$G280,3,FALSE)</f>
        <v>POP Punning dhar</v>
      </c>
      <c r="E58" s="77" t="str">
        <f>VLOOKUP($B58,'Rate card'!$A$4:$G280,4,FALSE)</f>
        <v>POP Punning (Plum) 12-25mm thick</v>
      </c>
      <c r="F58" s="77" t="str">
        <f>VLOOKUP($B58,'Rate card'!$A$4:$G280,5,FALSE)</f>
        <v>Providing and applying 12-25  mm thick POP punning on wall /ceiling including scrapping and hacking the existing finished surface and applying plaster of paris in proper line and levels etc. complete.</v>
      </c>
      <c r="G58" s="77" t="str">
        <f>VLOOKUP($B58,'Rate card'!$A$4:$G280,6,FALSE)</f>
        <v>Rft</v>
      </c>
      <c r="H58" s="95">
        <v>25.0</v>
      </c>
      <c r="I58" s="78" t="s">
        <v>601</v>
      </c>
      <c r="J58" s="79">
        <f t="shared" si="17"/>
        <v>15000</v>
      </c>
      <c r="K58" s="78" t="s">
        <v>601</v>
      </c>
      <c r="L58" s="580">
        <f t="shared" si="18"/>
        <v>15000</v>
      </c>
      <c r="M58" s="33">
        <f t="shared" si="19"/>
        <v>0</v>
      </c>
      <c r="N58" s="62" t="s">
        <v>671</v>
      </c>
      <c r="O58" s="553"/>
      <c r="P58" s="553"/>
      <c r="Q58" s="591"/>
      <c r="R58" s="281"/>
      <c r="S58" s="583">
        <f t="shared" si="16"/>
        <v>0.001551082418</v>
      </c>
      <c r="T58" s="281"/>
      <c r="U58" s="281"/>
      <c r="V58" s="281"/>
      <c r="W58" s="281"/>
      <c r="X58" s="281"/>
      <c r="Y58" s="281"/>
      <c r="Z58" s="281"/>
      <c r="AA58" s="281"/>
      <c r="AB58" s="281"/>
      <c r="AC58" s="281"/>
      <c r="AD58" s="281"/>
      <c r="AE58" s="281"/>
      <c r="AF58" s="281"/>
      <c r="AG58" s="281"/>
      <c r="AH58" s="281"/>
      <c r="AI58" s="281"/>
      <c r="AJ58" s="281"/>
      <c r="AK58" s="281"/>
      <c r="AL58" s="281"/>
      <c r="AM58" s="281"/>
    </row>
    <row r="59">
      <c r="A59" s="33" t="s">
        <v>32</v>
      </c>
      <c r="B59" s="77" t="s">
        <v>160</v>
      </c>
      <c r="C59" s="77" t="str">
        <f>VLOOKUP($B59,'Rate card'!$A$4:$G280,2,FALSE)</f>
        <v>False Ceiling</v>
      </c>
      <c r="D59" s="77" t="str">
        <f>VLOOKUP($B59,'Rate card'!$A$4:$G280,3,FALSE)</f>
        <v>Light Gala cutting</v>
      </c>
      <c r="E59" s="77" t="str">
        <f>VLOOKUP($B59,'Rate card'!$A$4:$G280,4,FALSE)</f>
        <v>NA</v>
      </c>
      <c r="F59" s="77" t="str">
        <f>VLOOKUP($B59,'Rate card'!$A$4:$G280,5,FALSE)</f>
        <v>NA</v>
      </c>
      <c r="G59" s="77" t="str">
        <f>VLOOKUP($B59,'Rate card'!$A$4:$G280,6,FALSE)</f>
        <v>Nos</v>
      </c>
      <c r="H59" s="94">
        <v>100.0</v>
      </c>
      <c r="I59" s="78" t="s">
        <v>90</v>
      </c>
      <c r="J59" s="79">
        <f t="shared" si="17"/>
        <v>20000</v>
      </c>
      <c r="K59" s="78" t="s">
        <v>90</v>
      </c>
      <c r="L59" s="580">
        <f t="shared" si="18"/>
        <v>20000</v>
      </c>
      <c r="M59" s="33">
        <f>L58-J58</f>
        <v>0</v>
      </c>
      <c r="N59" s="67" t="s">
        <v>151</v>
      </c>
      <c r="O59" s="553"/>
      <c r="P59" s="553"/>
      <c r="Q59" s="591"/>
      <c r="R59" s="281"/>
      <c r="S59" s="583">
        <f t="shared" si="16"/>
        <v>0.00206810989</v>
      </c>
      <c r="T59" s="281"/>
      <c r="U59" s="281"/>
      <c r="V59" s="281"/>
      <c r="W59" s="281"/>
      <c r="X59" s="281"/>
      <c r="Y59" s="281"/>
      <c r="Z59" s="281"/>
      <c r="AA59" s="281"/>
      <c r="AB59" s="281"/>
      <c r="AC59" s="281"/>
      <c r="AD59" s="281"/>
      <c r="AE59" s="281"/>
      <c r="AF59" s="281"/>
      <c r="AG59" s="281"/>
      <c r="AH59" s="281"/>
      <c r="AI59" s="281"/>
      <c r="AJ59" s="281"/>
      <c r="AK59" s="281"/>
      <c r="AL59" s="281"/>
      <c r="AM59" s="281"/>
    </row>
    <row r="60">
      <c r="A60" s="33"/>
      <c r="B60" s="33"/>
      <c r="C60" s="77"/>
      <c r="D60" s="77"/>
      <c r="E60" s="77"/>
      <c r="F60" s="77"/>
      <c r="G60" s="77"/>
      <c r="H60" s="91"/>
      <c r="I60" s="83" t="s">
        <v>125</v>
      </c>
      <c r="J60" s="92">
        <f>SUM(J54:J59)</f>
        <v>394840</v>
      </c>
      <c r="K60" s="83" t="s">
        <v>125</v>
      </c>
      <c r="L60" s="92">
        <f>SUM(L54:L59)</f>
        <v>394840</v>
      </c>
      <c r="M60" s="83" t="s">
        <v>125</v>
      </c>
      <c r="N60" s="553"/>
      <c r="O60" s="553"/>
      <c r="P60" s="581"/>
      <c r="Q60" s="582"/>
      <c r="R60" s="1"/>
      <c r="S60" s="583"/>
      <c r="T60" s="281"/>
      <c r="U60" s="281"/>
      <c r="V60" s="281"/>
      <c r="W60" s="281"/>
      <c r="X60" s="281"/>
      <c r="Y60" s="281"/>
      <c r="Z60" s="281"/>
      <c r="AA60" s="281"/>
      <c r="AB60" s="281"/>
      <c r="AC60" s="281"/>
      <c r="AD60" s="281"/>
      <c r="AE60" s="281"/>
      <c r="AF60" s="281"/>
      <c r="AG60" s="281"/>
      <c r="AH60" s="281"/>
      <c r="AI60" s="281"/>
      <c r="AJ60" s="281"/>
      <c r="AK60" s="281"/>
      <c r="AL60" s="281"/>
      <c r="AM60" s="281"/>
    </row>
    <row r="61">
      <c r="A61" s="25" t="s">
        <v>31</v>
      </c>
      <c r="B61" s="298"/>
      <c r="C61" s="298"/>
      <c r="D61" s="298"/>
      <c r="E61" s="298"/>
      <c r="F61" s="298"/>
      <c r="G61" s="294"/>
      <c r="H61" s="426"/>
      <c r="I61" s="426"/>
      <c r="J61" s="426"/>
      <c r="K61" s="426"/>
      <c r="L61" s="426"/>
      <c r="M61" s="426"/>
      <c r="N61" s="294"/>
      <c r="O61" s="553"/>
      <c r="P61" s="553"/>
      <c r="Q61" s="372"/>
      <c r="R61" s="373"/>
      <c r="S61" s="583">
        <f t="shared" ref="S61:S152" si="20">L61/$D$22</f>
        <v>0</v>
      </c>
      <c r="T61" s="281"/>
      <c r="U61" s="281"/>
      <c r="V61" s="281"/>
      <c r="W61" s="281"/>
      <c r="X61" s="281"/>
      <c r="Y61" s="281"/>
      <c r="Z61" s="281"/>
      <c r="AA61" s="281"/>
      <c r="AB61" s="281"/>
      <c r="AC61" s="281"/>
      <c r="AD61" s="281"/>
      <c r="AE61" s="281"/>
      <c r="AF61" s="281"/>
      <c r="AG61" s="281"/>
      <c r="AH61" s="281"/>
      <c r="AI61" s="281"/>
      <c r="AJ61" s="281"/>
      <c r="AK61" s="281"/>
      <c r="AL61" s="281"/>
      <c r="AM61" s="281"/>
    </row>
    <row r="62">
      <c r="A62" s="63" t="s">
        <v>161</v>
      </c>
      <c r="B62" s="298"/>
      <c r="C62" s="298"/>
      <c r="D62" s="298"/>
      <c r="E62" s="298"/>
      <c r="F62" s="298"/>
      <c r="G62" s="294"/>
      <c r="H62" s="426"/>
      <c r="I62" s="298"/>
      <c r="J62" s="426"/>
      <c r="K62" s="298"/>
      <c r="L62" s="426"/>
      <c r="M62" s="298"/>
      <c r="N62" s="294"/>
      <c r="O62" s="553"/>
      <c r="P62" s="553"/>
      <c r="Q62" s="372"/>
      <c r="R62" s="373"/>
      <c r="S62" s="583">
        <f t="shared" si="20"/>
        <v>0</v>
      </c>
      <c r="T62" s="281"/>
      <c r="U62" s="281"/>
      <c r="V62" s="281"/>
      <c r="W62" s="281"/>
      <c r="X62" s="281"/>
      <c r="Y62" s="281"/>
      <c r="Z62" s="281"/>
      <c r="AA62" s="281"/>
      <c r="AB62" s="281"/>
      <c r="AC62" s="281"/>
      <c r="AD62" s="281"/>
      <c r="AE62" s="281"/>
      <c r="AF62" s="281"/>
      <c r="AG62" s="281"/>
      <c r="AH62" s="281"/>
      <c r="AI62" s="281"/>
      <c r="AJ62" s="281"/>
      <c r="AK62" s="281"/>
      <c r="AL62" s="281"/>
      <c r="AM62" s="281"/>
    </row>
    <row r="63">
      <c r="A63" s="31" t="s">
        <v>16</v>
      </c>
      <c r="B63" s="62" t="s">
        <v>162</v>
      </c>
      <c r="C63" s="95" t="str">
        <f>VLOOKUP($B63,'Rate card'!$A$4:$G280,2,FALSE)</f>
        <v>Carpentry</v>
      </c>
      <c r="D63" s="75" t="s">
        <v>163</v>
      </c>
      <c r="E63" s="95" t="s">
        <v>164</v>
      </c>
      <c r="F63" s="75" t="s">
        <v>165</v>
      </c>
      <c r="G63" s="95" t="str">
        <f>VLOOKUP($B63,'Rate card'!$A$4:$G280,6,FALSE)</f>
        <v>Nos</v>
      </c>
      <c r="H63" s="62">
        <v>65000.0</v>
      </c>
      <c r="I63" s="78" t="s">
        <v>16</v>
      </c>
      <c r="J63" s="79">
        <f t="shared" ref="J63:J67" si="21">H63*I63</f>
        <v>65000</v>
      </c>
      <c r="K63" s="78" t="s">
        <v>16</v>
      </c>
      <c r="L63" s="580">
        <f t="shared" ref="L63:L77" si="22">K63*H63</f>
        <v>65000</v>
      </c>
      <c r="M63" s="33">
        <f t="shared" ref="M63:M77" si="23">L63-J63</f>
        <v>0</v>
      </c>
      <c r="N63" s="75" t="s">
        <v>166</v>
      </c>
      <c r="O63" s="553"/>
      <c r="P63" s="554" t="s">
        <v>728</v>
      </c>
      <c r="Q63" s="124"/>
      <c r="R63" s="281"/>
      <c r="S63" s="583">
        <f t="shared" si="20"/>
        <v>0.006721357143</v>
      </c>
      <c r="T63" s="281"/>
      <c r="U63" s="281"/>
      <c r="V63" s="281"/>
      <c r="W63" s="281"/>
      <c r="X63" s="281"/>
      <c r="Y63" s="281"/>
      <c r="Z63" s="281"/>
      <c r="AA63" s="281"/>
      <c r="AB63" s="281"/>
      <c r="AC63" s="281"/>
      <c r="AD63" s="281"/>
      <c r="AE63" s="281"/>
      <c r="AF63" s="281"/>
      <c r="AG63" s="281"/>
      <c r="AH63" s="281"/>
      <c r="AI63" s="281"/>
      <c r="AJ63" s="281"/>
      <c r="AK63" s="281"/>
      <c r="AL63" s="281"/>
      <c r="AM63" s="281"/>
    </row>
    <row r="64">
      <c r="A64" s="31" t="s">
        <v>18</v>
      </c>
      <c r="B64" s="62" t="s">
        <v>162</v>
      </c>
      <c r="C64" s="76" t="s">
        <v>31</v>
      </c>
      <c r="D64" s="76" t="s">
        <v>167</v>
      </c>
      <c r="E64" s="76" t="s">
        <v>164</v>
      </c>
      <c r="F64" s="76" t="s">
        <v>168</v>
      </c>
      <c r="G64" s="76" t="s">
        <v>120</v>
      </c>
      <c r="H64" s="62">
        <v>750.0</v>
      </c>
      <c r="I64" s="78">
        <f>4+9+9</f>
        <v>22</v>
      </c>
      <c r="J64" s="79">
        <f t="shared" si="21"/>
        <v>16500</v>
      </c>
      <c r="K64" s="78">
        <f>4+9+9</f>
        <v>22</v>
      </c>
      <c r="L64" s="580">
        <f t="shared" si="22"/>
        <v>16500</v>
      </c>
      <c r="M64" s="33">
        <f t="shared" si="23"/>
        <v>0</v>
      </c>
      <c r="N64" s="75" t="s">
        <v>169</v>
      </c>
      <c r="O64" s="553"/>
      <c r="P64" s="554" t="s">
        <v>728</v>
      </c>
      <c r="Q64" s="124"/>
      <c r="R64" s="281"/>
      <c r="S64" s="583">
        <f t="shared" si="20"/>
        <v>0.001706190659</v>
      </c>
      <c r="T64" s="281"/>
      <c r="U64" s="281"/>
      <c r="V64" s="281"/>
      <c r="W64" s="281"/>
      <c r="X64" s="281"/>
      <c r="Y64" s="281"/>
      <c r="Z64" s="281"/>
      <c r="AA64" s="281"/>
      <c r="AB64" s="281"/>
      <c r="AC64" s="281"/>
      <c r="AD64" s="281"/>
      <c r="AE64" s="281"/>
      <c r="AF64" s="281"/>
      <c r="AG64" s="281"/>
      <c r="AH64" s="281"/>
      <c r="AI64" s="281"/>
      <c r="AJ64" s="281"/>
      <c r="AK64" s="281"/>
      <c r="AL64" s="281"/>
      <c r="AM64" s="281"/>
    </row>
    <row r="65">
      <c r="A65" s="31" t="s">
        <v>24</v>
      </c>
      <c r="B65" s="94" t="s">
        <v>238</v>
      </c>
      <c r="C65" s="95" t="s">
        <v>31</v>
      </c>
      <c r="D65" s="95" t="s">
        <v>180</v>
      </c>
      <c r="E65" s="95" t="s">
        <v>164</v>
      </c>
      <c r="F65" s="95" t="s">
        <v>672</v>
      </c>
      <c r="G65" s="94" t="str">
        <f>VLOOKUP($B65,'Rate card'!$A$4:$G280,6,FALSE)</f>
        <v>Sqft</v>
      </c>
      <c r="H65" s="94">
        <v>800.0</v>
      </c>
      <c r="I65" s="77">
        <f>7*3+9*2</f>
        <v>39</v>
      </c>
      <c r="J65" s="79">
        <f t="shared" si="21"/>
        <v>31200</v>
      </c>
      <c r="K65" s="78" t="s">
        <v>729</v>
      </c>
      <c r="L65" s="580">
        <f t="shared" si="22"/>
        <v>0</v>
      </c>
      <c r="M65" s="33">
        <f t="shared" si="23"/>
        <v>-31200</v>
      </c>
      <c r="N65" s="77" t="s">
        <v>603</v>
      </c>
      <c r="O65" s="139" t="s">
        <v>722</v>
      </c>
      <c r="P65" s="553"/>
      <c r="Q65" s="94">
        <f>VLOOKUP($B65,'Rate card'!$A$4:$J280,7,FALSE)</f>
        <v>450</v>
      </c>
      <c r="R65" s="281">
        <f t="shared" ref="R65:R66" si="24">I65*Q65</f>
        <v>17550</v>
      </c>
      <c r="S65" s="583">
        <f t="shared" si="20"/>
        <v>0</v>
      </c>
      <c r="T65" s="281"/>
      <c r="U65" s="281"/>
      <c r="V65" s="281"/>
      <c r="W65" s="281"/>
      <c r="X65" s="281"/>
      <c r="Y65" s="281"/>
      <c r="Z65" s="281"/>
      <c r="AA65" s="281"/>
      <c r="AB65" s="281"/>
      <c r="AC65" s="281"/>
      <c r="AD65" s="281"/>
      <c r="AE65" s="281"/>
      <c r="AF65" s="281"/>
      <c r="AG65" s="281"/>
      <c r="AH65" s="281"/>
      <c r="AI65" s="281"/>
      <c r="AJ65" s="281"/>
      <c r="AK65" s="281"/>
      <c r="AL65" s="281"/>
      <c r="AM65" s="281"/>
    </row>
    <row r="66">
      <c r="A66" s="31" t="s">
        <v>27</v>
      </c>
      <c r="B66" s="62" t="s">
        <v>170</v>
      </c>
      <c r="C66" s="94" t="str">
        <f>VLOOKUP($B66,'Rate card'!$A$4:$G280,2,FALSE)</f>
        <v>Carpentry</v>
      </c>
      <c r="D66" s="94" t="str">
        <f>VLOOKUP($B66,'Rate card'!$A$4:$G280,3,FALSE)</f>
        <v>Carcass Storage</v>
      </c>
      <c r="E66" s="94" t="str">
        <f>VLOOKUP($B66,'Rate card'!$A$4:$G280,4,FALSE)</f>
        <v>Laminate Finish</v>
      </c>
      <c r="F66" s="94" t="str">
        <f>VLOOKUP($B66,'Rate card'!$A$4:$G280,5,FALSE)</f>
        <v>MR ply + Inside laminate + finish laminate</v>
      </c>
      <c r="G66" s="94" t="str">
        <f>VLOOKUP($B66,'Rate card'!$A$4:$G280,6,FALSE)</f>
        <v>Sqft</v>
      </c>
      <c r="H66" s="62">
        <v>1800.0</v>
      </c>
      <c r="I66" s="78">
        <f>7.5*10</f>
        <v>75</v>
      </c>
      <c r="J66" s="79">
        <f t="shared" si="21"/>
        <v>135000</v>
      </c>
      <c r="K66" s="78">
        <f>4.75*7.5+2.75*10</f>
        <v>63.125</v>
      </c>
      <c r="L66" s="580">
        <f t="shared" si="22"/>
        <v>113625</v>
      </c>
      <c r="M66" s="33">
        <f t="shared" si="23"/>
        <v>-21375</v>
      </c>
      <c r="N66" s="31" t="s">
        <v>604</v>
      </c>
      <c r="O66" s="553"/>
      <c r="P66" s="553"/>
      <c r="Q66" s="124">
        <f>VLOOKUP($B66,'Rate card'!$A$4:$J280,7,FALSE)</f>
        <v>1350</v>
      </c>
      <c r="R66" s="281">
        <f t="shared" si="24"/>
        <v>101250</v>
      </c>
      <c r="S66" s="583">
        <f t="shared" si="20"/>
        <v>0.01174944931</v>
      </c>
      <c r="T66" s="281"/>
      <c r="U66" s="281"/>
      <c r="V66" s="281"/>
      <c r="W66" s="281"/>
      <c r="X66" s="281"/>
      <c r="Y66" s="281"/>
      <c r="Z66" s="281"/>
      <c r="AA66" s="281"/>
      <c r="AB66" s="281"/>
      <c r="AC66" s="281"/>
      <c r="AD66" s="281"/>
      <c r="AE66" s="281"/>
      <c r="AF66" s="281"/>
      <c r="AG66" s="281"/>
      <c r="AH66" s="281"/>
      <c r="AI66" s="281"/>
      <c r="AJ66" s="281"/>
      <c r="AK66" s="281"/>
      <c r="AL66" s="281"/>
      <c r="AM66" s="281"/>
    </row>
    <row r="67">
      <c r="A67" s="592" t="s">
        <v>30</v>
      </c>
      <c r="B67" s="94" t="s">
        <v>179</v>
      </c>
      <c r="C67" s="94" t="s">
        <v>31</v>
      </c>
      <c r="D67" s="77" t="s">
        <v>180</v>
      </c>
      <c r="E67" s="62" t="s">
        <v>164</v>
      </c>
      <c r="F67" s="75" t="s">
        <v>181</v>
      </c>
      <c r="G67" s="94" t="str">
        <f>VLOOKUP($B67,'Rate card'!$A$4:$G280,6,FALSE)</f>
        <v>Sqft</v>
      </c>
      <c r="H67" s="593">
        <v>2000.0</v>
      </c>
      <c r="I67" s="78" t="s">
        <v>16</v>
      </c>
      <c r="J67" s="79">
        <f t="shared" si="21"/>
        <v>2000</v>
      </c>
      <c r="K67" s="78">
        <f>(9*9*2)</f>
        <v>162</v>
      </c>
      <c r="L67" s="586">
        <f t="shared" si="22"/>
        <v>324000</v>
      </c>
      <c r="M67" s="33">
        <f t="shared" si="23"/>
        <v>322000</v>
      </c>
      <c r="N67" s="80" t="s">
        <v>730</v>
      </c>
      <c r="O67" s="139" t="s">
        <v>724</v>
      </c>
      <c r="P67" s="553"/>
      <c r="Q67" s="282"/>
      <c r="R67" s="281"/>
      <c r="S67" s="583">
        <f t="shared" si="20"/>
        <v>0.03350338022</v>
      </c>
      <c r="T67" s="281"/>
      <c r="U67" s="281"/>
      <c r="V67" s="281"/>
      <c r="W67" s="281"/>
      <c r="X67" s="281"/>
      <c r="Y67" s="281"/>
      <c r="Z67" s="281"/>
      <c r="AA67" s="281"/>
      <c r="AB67" s="281"/>
      <c r="AC67" s="281"/>
      <c r="AD67" s="281"/>
      <c r="AE67" s="281"/>
      <c r="AF67" s="281"/>
      <c r="AG67" s="281"/>
      <c r="AH67" s="281"/>
      <c r="AI67" s="281"/>
      <c r="AJ67" s="281"/>
      <c r="AK67" s="281"/>
      <c r="AL67" s="281"/>
      <c r="AM67" s="281"/>
    </row>
    <row r="68">
      <c r="A68" s="31"/>
      <c r="B68" s="62"/>
      <c r="C68" s="62" t="s">
        <v>31</v>
      </c>
      <c r="D68" s="62" t="s">
        <v>183</v>
      </c>
      <c r="E68" s="62" t="s">
        <v>184</v>
      </c>
      <c r="F68" s="75"/>
      <c r="G68" s="62" t="s">
        <v>185</v>
      </c>
      <c r="H68" s="62">
        <v>35000.0</v>
      </c>
      <c r="I68" s="78"/>
      <c r="J68" s="79"/>
      <c r="K68" s="78" t="s">
        <v>16</v>
      </c>
      <c r="L68" s="580">
        <f t="shared" si="22"/>
        <v>35000</v>
      </c>
      <c r="M68" s="33">
        <f t="shared" si="23"/>
        <v>35000</v>
      </c>
      <c r="N68" s="31"/>
      <c r="O68" s="139"/>
      <c r="P68" s="553"/>
      <c r="Q68" s="124"/>
      <c r="R68" s="281"/>
      <c r="S68" s="583">
        <f t="shared" si="20"/>
        <v>0.003619192308</v>
      </c>
      <c r="T68" s="281"/>
      <c r="U68" s="281"/>
      <c r="V68" s="281"/>
      <c r="W68" s="281"/>
      <c r="X68" s="281"/>
      <c r="Y68" s="281"/>
      <c r="Z68" s="281"/>
      <c r="AA68" s="281"/>
      <c r="AB68" s="281"/>
      <c r="AC68" s="281"/>
      <c r="AD68" s="281"/>
      <c r="AE68" s="281"/>
      <c r="AF68" s="281"/>
      <c r="AG68" s="281"/>
      <c r="AH68" s="281"/>
      <c r="AI68" s="281"/>
      <c r="AJ68" s="281"/>
      <c r="AK68" s="281"/>
      <c r="AL68" s="281"/>
      <c r="AM68" s="281"/>
    </row>
    <row r="69">
      <c r="A69" s="31" t="s">
        <v>32</v>
      </c>
      <c r="B69" s="62" t="s">
        <v>170</v>
      </c>
      <c r="C69" s="94" t="str">
        <f>VLOOKUP($B69,'Rate card'!$A$4:$G280,2,FALSE)</f>
        <v>Carpentry</v>
      </c>
      <c r="D69" s="94" t="str">
        <f>VLOOKUP($B69,'Rate card'!$A$4:$G280,3,FALSE)</f>
        <v>Carcass Storage</v>
      </c>
      <c r="E69" s="62" t="s">
        <v>178</v>
      </c>
      <c r="F69" s="75" t="s">
        <v>192</v>
      </c>
      <c r="G69" s="62" t="s">
        <v>188</v>
      </c>
      <c r="H69" s="593">
        <v>6000.0</v>
      </c>
      <c r="I69" s="78" t="s">
        <v>189</v>
      </c>
      <c r="J69" s="79">
        <f t="shared" ref="J69:J77" si="25">H69*I69</f>
        <v>45000</v>
      </c>
      <c r="K69" s="78" t="s">
        <v>189</v>
      </c>
      <c r="L69" s="580">
        <f t="shared" si="22"/>
        <v>45000</v>
      </c>
      <c r="M69" s="33">
        <f t="shared" si="23"/>
        <v>0</v>
      </c>
      <c r="N69" s="31" t="s">
        <v>190</v>
      </c>
      <c r="O69" s="139" t="s">
        <v>719</v>
      </c>
      <c r="P69" s="553"/>
      <c r="Q69" s="124">
        <f>VLOOKUP($B69,'Rate card'!$A$4:$J280,7,FALSE)</f>
        <v>1350</v>
      </c>
      <c r="R69" s="281">
        <f t="shared" ref="R69:R72" si="26">I69*Q69</f>
        <v>10125</v>
      </c>
      <c r="S69" s="583">
        <f t="shared" si="20"/>
        <v>0.004653247253</v>
      </c>
      <c r="T69" s="281"/>
      <c r="U69" s="281"/>
      <c r="V69" s="281"/>
      <c r="W69" s="281"/>
      <c r="X69" s="281"/>
      <c r="Y69" s="281"/>
      <c r="Z69" s="281"/>
      <c r="AA69" s="281"/>
      <c r="AB69" s="281"/>
      <c r="AC69" s="281"/>
      <c r="AD69" s="281"/>
      <c r="AE69" s="281"/>
      <c r="AF69" s="281"/>
      <c r="AG69" s="281"/>
      <c r="AH69" s="281"/>
      <c r="AI69" s="281"/>
      <c r="AJ69" s="281"/>
      <c r="AK69" s="281"/>
      <c r="AL69" s="281"/>
      <c r="AM69" s="281"/>
    </row>
    <row r="70">
      <c r="A70" s="31" t="s">
        <v>34</v>
      </c>
      <c r="B70" s="62" t="s">
        <v>170</v>
      </c>
      <c r="C70" s="94" t="str">
        <f>VLOOKUP($B70,'Rate card'!$A$4:$G280,2,FALSE)</f>
        <v>Carpentry</v>
      </c>
      <c r="D70" s="94" t="str">
        <f>VLOOKUP($B70,'Rate card'!$A$4:$G280,3,FALSE)</f>
        <v>Carcass Storage</v>
      </c>
      <c r="E70" s="62" t="s">
        <v>731</v>
      </c>
      <c r="F70" s="75" t="s">
        <v>192</v>
      </c>
      <c r="G70" s="94" t="str">
        <f>VLOOKUP($B70,'Rate card'!$A$4:$G280,6,FALSE)</f>
        <v>Sqft</v>
      </c>
      <c r="H70" s="593">
        <v>1000.0</v>
      </c>
      <c r="I70" s="78">
        <f>7*8</f>
        <v>56</v>
      </c>
      <c r="J70" s="79">
        <f t="shared" si="25"/>
        <v>56000</v>
      </c>
      <c r="K70" s="78">
        <f>10.9*9.5</f>
        <v>103.55</v>
      </c>
      <c r="L70" s="580">
        <f t="shared" si="22"/>
        <v>103550</v>
      </c>
      <c r="M70" s="33">
        <f t="shared" si="23"/>
        <v>47550</v>
      </c>
      <c r="N70" s="31" t="s">
        <v>193</v>
      </c>
      <c r="O70" s="139" t="s">
        <v>715</v>
      </c>
      <c r="P70" s="553"/>
      <c r="Q70" s="124">
        <f>VLOOKUP($B70,'Rate card'!$A$4:$J280,7,FALSE)</f>
        <v>1350</v>
      </c>
      <c r="R70" s="281">
        <f t="shared" si="26"/>
        <v>75600</v>
      </c>
      <c r="S70" s="583">
        <f t="shared" si="20"/>
        <v>0.01070763896</v>
      </c>
      <c r="T70" s="281"/>
      <c r="U70" s="281"/>
      <c r="V70" s="281"/>
      <c r="W70" s="281"/>
      <c r="X70" s="281"/>
      <c r="Y70" s="281"/>
      <c r="Z70" s="281"/>
      <c r="AA70" s="281"/>
      <c r="AB70" s="281"/>
      <c r="AC70" s="281"/>
      <c r="AD70" s="281"/>
      <c r="AE70" s="281"/>
      <c r="AF70" s="281"/>
      <c r="AG70" s="281"/>
      <c r="AH70" s="281"/>
      <c r="AI70" s="281"/>
      <c r="AJ70" s="281"/>
      <c r="AK70" s="281"/>
      <c r="AL70" s="281"/>
      <c r="AM70" s="281"/>
    </row>
    <row r="71">
      <c r="A71" s="31" t="s">
        <v>36</v>
      </c>
      <c r="B71" s="62" t="s">
        <v>170</v>
      </c>
      <c r="C71" s="94" t="str">
        <f>VLOOKUP($B71,'Rate card'!$A$4:$G280,2,FALSE)</f>
        <v>Carpentry</v>
      </c>
      <c r="D71" s="94" t="str">
        <f>VLOOKUP($B71,'Rate card'!$A$4:$G280,3,FALSE)</f>
        <v>Carcass Storage</v>
      </c>
      <c r="E71" s="94" t="str">
        <f>VLOOKUP($B71,'Rate card'!$A$4:$G280,4,FALSE)</f>
        <v>Laminate Finish</v>
      </c>
      <c r="F71" s="94" t="str">
        <f>VLOOKUP($B71,'Rate card'!$A$4:$G280,5,FALSE)</f>
        <v>MR ply + Inside laminate + finish laminate</v>
      </c>
      <c r="G71" s="94" t="str">
        <f>VLOOKUP($B71,'Rate card'!$A$4:$G280,6,FALSE)</f>
        <v>Sqft</v>
      </c>
      <c r="H71" s="593">
        <v>3000.0</v>
      </c>
      <c r="I71" s="78">
        <f>4*7</f>
        <v>28</v>
      </c>
      <c r="J71" s="79">
        <f t="shared" si="25"/>
        <v>84000</v>
      </c>
      <c r="K71" s="78" t="s">
        <v>616</v>
      </c>
      <c r="L71" s="580">
        <f t="shared" si="22"/>
        <v>63000</v>
      </c>
      <c r="M71" s="33">
        <f t="shared" si="23"/>
        <v>-21000</v>
      </c>
      <c r="N71" s="31" t="s">
        <v>195</v>
      </c>
      <c r="O71" s="553"/>
      <c r="P71" s="553"/>
      <c r="Q71" s="124">
        <f>VLOOKUP($B71,'Rate card'!$A$4:$J280,7,FALSE)</f>
        <v>1350</v>
      </c>
      <c r="R71" s="281">
        <f t="shared" si="26"/>
        <v>37800</v>
      </c>
      <c r="S71" s="583">
        <f t="shared" si="20"/>
        <v>0.006514546154</v>
      </c>
      <c r="T71" s="281"/>
      <c r="U71" s="281"/>
      <c r="V71" s="281"/>
      <c r="W71" s="281"/>
      <c r="X71" s="281"/>
      <c r="Y71" s="281"/>
      <c r="Z71" s="281"/>
      <c r="AA71" s="281"/>
      <c r="AB71" s="281"/>
      <c r="AC71" s="281"/>
      <c r="AD71" s="281"/>
      <c r="AE71" s="281"/>
      <c r="AF71" s="281"/>
      <c r="AG71" s="281"/>
      <c r="AH71" s="281"/>
      <c r="AI71" s="281"/>
      <c r="AJ71" s="281"/>
      <c r="AK71" s="281"/>
      <c r="AL71" s="281"/>
      <c r="AM71" s="281"/>
    </row>
    <row r="72">
      <c r="A72" s="31" t="s">
        <v>92</v>
      </c>
      <c r="B72" s="62" t="s">
        <v>170</v>
      </c>
      <c r="C72" s="94" t="str">
        <f>VLOOKUP($B72,'Rate card'!$A$4:$G280,2,FALSE)</f>
        <v>Carpentry</v>
      </c>
      <c r="D72" s="94" t="str">
        <f>VLOOKUP($B72,'Rate card'!$A$4:$G280,3,FALSE)</f>
        <v>Carcass Storage</v>
      </c>
      <c r="E72" s="62" t="s">
        <v>196</v>
      </c>
      <c r="F72" s="94" t="str">
        <f>F69</f>
        <v>MR ply + Inside laminate + finish Veneer</v>
      </c>
      <c r="G72" s="94" t="str">
        <f>VLOOKUP($B72,'Rate card'!$A$4:$G280,6,FALSE)</f>
        <v>Sqft</v>
      </c>
      <c r="H72" s="62">
        <v>2500.0</v>
      </c>
      <c r="I72" s="78">
        <f>5*3.5</f>
        <v>17.5</v>
      </c>
      <c r="J72" s="79">
        <f t="shared" si="25"/>
        <v>43750</v>
      </c>
      <c r="K72" s="78">
        <f>5*3.5</f>
        <v>17.5</v>
      </c>
      <c r="L72" s="580">
        <f t="shared" si="22"/>
        <v>43750</v>
      </c>
      <c r="M72" s="33">
        <f t="shared" si="23"/>
        <v>0</v>
      </c>
      <c r="N72" s="31" t="s">
        <v>183</v>
      </c>
      <c r="O72" s="553"/>
      <c r="P72" s="554" t="s">
        <v>732</v>
      </c>
      <c r="Q72" s="124">
        <f>VLOOKUP($B72,'Rate card'!$A$4:$J280,7,FALSE)</f>
        <v>1350</v>
      </c>
      <c r="R72" s="281">
        <f t="shared" si="26"/>
        <v>23625</v>
      </c>
      <c r="S72" s="583">
        <f t="shared" si="20"/>
        <v>0.004523990385</v>
      </c>
      <c r="T72" s="281"/>
      <c r="U72" s="281"/>
      <c r="V72" s="281"/>
      <c r="W72" s="281"/>
      <c r="X72" s="281"/>
      <c r="Y72" s="281"/>
      <c r="Z72" s="281"/>
      <c r="AA72" s="281"/>
      <c r="AB72" s="281"/>
      <c r="AC72" s="281"/>
      <c r="AD72" s="281"/>
      <c r="AE72" s="281"/>
      <c r="AF72" s="281"/>
      <c r="AG72" s="281"/>
      <c r="AH72" s="281"/>
      <c r="AI72" s="281"/>
      <c r="AJ72" s="281"/>
      <c r="AK72" s="281"/>
      <c r="AL72" s="281"/>
      <c r="AM72" s="281"/>
    </row>
    <row r="73">
      <c r="A73" s="31" t="s">
        <v>95</v>
      </c>
      <c r="B73" s="62" t="s">
        <v>179</v>
      </c>
      <c r="C73" s="95" t="str">
        <f>VLOOKUP($B73,'Rate card'!$A$4:$G280,2,FALSE)</f>
        <v>Carpentry</v>
      </c>
      <c r="D73" s="95" t="str">
        <f>VLOOKUP($B73,'Rate card'!$A$4:$G280,3,FALSE)</f>
        <v>Panelling with framing</v>
      </c>
      <c r="E73" s="75" t="s">
        <v>733</v>
      </c>
      <c r="F73" s="75" t="s">
        <v>734</v>
      </c>
      <c r="G73" s="95" t="str">
        <f>VLOOKUP($B73,'Rate card'!$A$4:$G280,6,FALSE)</f>
        <v>Sqft</v>
      </c>
      <c r="H73" s="62">
        <v>600.0</v>
      </c>
      <c r="I73" s="78">
        <f>12*2.5</f>
        <v>30</v>
      </c>
      <c r="J73" s="79">
        <f t="shared" si="25"/>
        <v>18000</v>
      </c>
      <c r="K73" s="78">
        <f>12*2.5</f>
        <v>30</v>
      </c>
      <c r="L73" s="580">
        <f t="shared" si="22"/>
        <v>18000</v>
      </c>
      <c r="M73" s="33">
        <f t="shared" si="23"/>
        <v>0</v>
      </c>
      <c r="N73" s="75" t="s">
        <v>605</v>
      </c>
      <c r="O73" s="553"/>
      <c r="P73" s="553"/>
      <c r="Q73" s="124"/>
      <c r="R73" s="281"/>
      <c r="S73" s="583">
        <f t="shared" si="20"/>
        <v>0.001861298901</v>
      </c>
      <c r="T73" s="281"/>
      <c r="U73" s="281"/>
      <c r="V73" s="281"/>
      <c r="W73" s="281"/>
      <c r="X73" s="281"/>
      <c r="Y73" s="281"/>
      <c r="Z73" s="281"/>
      <c r="AA73" s="281"/>
      <c r="AB73" s="281"/>
      <c r="AC73" s="281"/>
      <c r="AD73" s="281"/>
      <c r="AE73" s="281"/>
      <c r="AF73" s="281"/>
      <c r="AG73" s="281"/>
      <c r="AH73" s="281"/>
      <c r="AI73" s="281"/>
      <c r="AJ73" s="281"/>
      <c r="AK73" s="281"/>
      <c r="AL73" s="281"/>
      <c r="AM73" s="281"/>
    </row>
    <row r="74">
      <c r="A74" s="592" t="s">
        <v>97</v>
      </c>
      <c r="B74" s="94" t="s">
        <v>179</v>
      </c>
      <c r="C74" s="94" t="s">
        <v>31</v>
      </c>
      <c r="D74" s="77" t="s">
        <v>180</v>
      </c>
      <c r="E74" s="62" t="s">
        <v>735</v>
      </c>
      <c r="F74" s="75" t="s">
        <v>734</v>
      </c>
      <c r="G74" s="75" t="s">
        <v>175</v>
      </c>
      <c r="H74" s="62">
        <v>600.0</v>
      </c>
      <c r="I74" s="78" t="s">
        <v>16</v>
      </c>
      <c r="J74" s="79">
        <f t="shared" si="25"/>
        <v>600</v>
      </c>
      <c r="K74" s="78" t="s">
        <v>736</v>
      </c>
      <c r="L74" s="580">
        <f t="shared" si="22"/>
        <v>72000</v>
      </c>
      <c r="M74" s="33">
        <f t="shared" si="23"/>
        <v>71400</v>
      </c>
      <c r="N74" s="80" t="s">
        <v>608</v>
      </c>
      <c r="O74" s="553"/>
      <c r="P74" s="553"/>
      <c r="Q74" s="282"/>
      <c r="R74" s="281"/>
      <c r="S74" s="583">
        <f t="shared" si="20"/>
        <v>0.007445195605</v>
      </c>
      <c r="T74" s="281"/>
      <c r="U74" s="281"/>
      <c r="V74" s="281"/>
      <c r="W74" s="281"/>
      <c r="X74" s="281"/>
      <c r="Y74" s="281"/>
      <c r="Z74" s="281"/>
      <c r="AA74" s="281"/>
      <c r="AB74" s="281"/>
      <c r="AC74" s="281"/>
      <c r="AD74" s="281"/>
      <c r="AE74" s="281"/>
      <c r="AF74" s="281"/>
      <c r="AG74" s="281"/>
      <c r="AH74" s="281"/>
      <c r="AI74" s="281"/>
      <c r="AJ74" s="281"/>
      <c r="AK74" s="281"/>
      <c r="AL74" s="281"/>
      <c r="AM74" s="281"/>
    </row>
    <row r="75">
      <c r="A75" s="592" t="s">
        <v>100</v>
      </c>
      <c r="B75" s="94" t="s">
        <v>179</v>
      </c>
      <c r="C75" s="94" t="s">
        <v>31</v>
      </c>
      <c r="D75" s="77" t="s">
        <v>180</v>
      </c>
      <c r="E75" s="62" t="s">
        <v>198</v>
      </c>
      <c r="F75" s="75" t="s">
        <v>181</v>
      </c>
      <c r="G75" s="95" t="str">
        <f>VLOOKUP($B75,'Rate card'!$A$4:$G280,6,FALSE)</f>
        <v>Sqft</v>
      </c>
      <c r="H75" s="62">
        <v>1500.0</v>
      </c>
      <c r="I75" s="78">
        <f>12*10</f>
        <v>120</v>
      </c>
      <c r="J75" s="79">
        <f t="shared" si="25"/>
        <v>180000</v>
      </c>
      <c r="K75" s="78" t="s">
        <v>737</v>
      </c>
      <c r="L75" s="580">
        <f t="shared" si="22"/>
        <v>162000</v>
      </c>
      <c r="M75" s="33">
        <f t="shared" si="23"/>
        <v>-18000</v>
      </c>
      <c r="N75" s="80" t="s">
        <v>199</v>
      </c>
      <c r="O75" s="553"/>
      <c r="P75" s="553"/>
      <c r="Q75" s="282"/>
      <c r="R75" s="281"/>
      <c r="S75" s="583">
        <f t="shared" si="20"/>
        <v>0.01675169011</v>
      </c>
      <c r="T75" s="281"/>
      <c r="U75" s="281"/>
      <c r="V75" s="281"/>
      <c r="W75" s="281"/>
      <c r="X75" s="281"/>
      <c r="Y75" s="281"/>
      <c r="Z75" s="281"/>
      <c r="AA75" s="281"/>
      <c r="AB75" s="281"/>
      <c r="AC75" s="281"/>
      <c r="AD75" s="281"/>
      <c r="AE75" s="281"/>
      <c r="AF75" s="281"/>
      <c r="AG75" s="281"/>
      <c r="AH75" s="281"/>
      <c r="AI75" s="281"/>
      <c r="AJ75" s="281"/>
      <c r="AK75" s="281"/>
      <c r="AL75" s="281"/>
      <c r="AM75" s="281"/>
    </row>
    <row r="76">
      <c r="A76" s="31" t="s">
        <v>103</v>
      </c>
      <c r="B76" s="94" t="s">
        <v>179</v>
      </c>
      <c r="C76" s="94" t="s">
        <v>31</v>
      </c>
      <c r="D76" s="77" t="s">
        <v>180</v>
      </c>
      <c r="E76" s="62" t="s">
        <v>731</v>
      </c>
      <c r="F76" s="75" t="s">
        <v>192</v>
      </c>
      <c r="G76" s="95" t="str">
        <f>VLOOKUP($B76,'Rate card'!$A$4:$G280,6,FALSE)</f>
        <v>Sqft</v>
      </c>
      <c r="H76" s="62">
        <v>1000.0</v>
      </c>
      <c r="I76" s="78">
        <f>29*10</f>
        <v>290</v>
      </c>
      <c r="J76" s="79">
        <f t="shared" si="25"/>
        <v>290000</v>
      </c>
      <c r="K76" s="78" t="s">
        <v>738</v>
      </c>
      <c r="L76" s="580">
        <f t="shared" si="22"/>
        <v>220000</v>
      </c>
      <c r="M76" s="33">
        <f t="shared" si="23"/>
        <v>-70000</v>
      </c>
      <c r="N76" s="80" t="s">
        <v>202</v>
      </c>
      <c r="O76" s="139" t="s">
        <v>719</v>
      </c>
      <c r="P76" s="553"/>
      <c r="Q76" s="282"/>
      <c r="R76" s="281"/>
      <c r="S76" s="583">
        <f t="shared" si="20"/>
        <v>0.02274920879</v>
      </c>
      <c r="T76" s="281"/>
      <c r="U76" s="281"/>
      <c r="V76" s="281"/>
      <c r="W76" s="281"/>
      <c r="X76" s="281"/>
      <c r="Y76" s="281"/>
      <c r="Z76" s="281"/>
      <c r="AA76" s="281"/>
      <c r="AB76" s="281"/>
      <c r="AC76" s="281"/>
      <c r="AD76" s="281"/>
      <c r="AE76" s="281"/>
      <c r="AF76" s="281"/>
      <c r="AG76" s="281"/>
      <c r="AH76" s="281"/>
      <c r="AI76" s="281"/>
      <c r="AJ76" s="281"/>
      <c r="AK76" s="281"/>
      <c r="AL76" s="281"/>
      <c r="AM76" s="281"/>
    </row>
    <row r="77">
      <c r="A77" s="31" t="s">
        <v>103</v>
      </c>
      <c r="B77" s="94" t="s">
        <v>179</v>
      </c>
      <c r="C77" s="94" t="s">
        <v>31</v>
      </c>
      <c r="D77" s="77" t="s">
        <v>180</v>
      </c>
      <c r="E77" s="62" t="s">
        <v>733</v>
      </c>
      <c r="F77" s="75" t="s">
        <v>739</v>
      </c>
      <c r="G77" s="95" t="str">
        <f>VLOOKUP($B77,'Rate card'!$A$4:$G280,6,FALSE)</f>
        <v>Sqft</v>
      </c>
      <c r="H77" s="62">
        <v>600.0</v>
      </c>
      <c r="I77" s="78">
        <f>5*2.5</f>
        <v>12.5</v>
      </c>
      <c r="J77" s="79">
        <f t="shared" si="25"/>
        <v>7500</v>
      </c>
      <c r="K77" s="78" t="s">
        <v>729</v>
      </c>
      <c r="L77" s="580">
        <f t="shared" si="22"/>
        <v>0</v>
      </c>
      <c r="M77" s="33">
        <f t="shared" si="23"/>
        <v>-7500</v>
      </c>
      <c r="N77" s="80" t="s">
        <v>675</v>
      </c>
      <c r="O77" s="553"/>
      <c r="P77" s="554" t="s">
        <v>740</v>
      </c>
      <c r="Q77" s="282"/>
      <c r="R77" s="281"/>
      <c r="S77" s="583">
        <f t="shared" si="20"/>
        <v>0</v>
      </c>
      <c r="T77" s="281"/>
      <c r="U77" s="281"/>
      <c r="V77" s="281"/>
      <c r="W77" s="281"/>
      <c r="X77" s="281"/>
      <c r="Y77" s="281"/>
      <c r="Z77" s="281"/>
      <c r="AA77" s="281"/>
      <c r="AB77" s="281"/>
      <c r="AC77" s="281"/>
      <c r="AD77" s="281"/>
      <c r="AE77" s="281"/>
      <c r="AF77" s="281"/>
      <c r="AG77" s="281"/>
      <c r="AH77" s="281"/>
      <c r="AI77" s="281"/>
      <c r="AJ77" s="281"/>
      <c r="AK77" s="281"/>
      <c r="AL77" s="281"/>
      <c r="AM77" s="281"/>
    </row>
    <row r="78">
      <c r="A78" s="24" t="s">
        <v>205</v>
      </c>
      <c r="B78" s="294"/>
      <c r="C78" s="294"/>
      <c r="D78" s="294"/>
      <c r="E78" s="294"/>
      <c r="F78" s="294"/>
      <c r="G78" s="294"/>
      <c r="H78" s="426"/>
      <c r="I78" s="594"/>
      <c r="J78" s="294"/>
      <c r="K78" s="594"/>
      <c r="L78" s="294"/>
      <c r="M78" s="426"/>
      <c r="N78" s="426"/>
      <c r="O78" s="553"/>
      <c r="P78" s="581"/>
      <c r="Q78" s="297"/>
      <c r="R78" s="299"/>
      <c r="S78" s="583">
        <f t="shared" si="20"/>
        <v>0</v>
      </c>
      <c r="T78" s="281"/>
      <c r="U78" s="281"/>
      <c r="V78" s="281"/>
      <c r="W78" s="281"/>
      <c r="X78" s="281"/>
      <c r="Y78" s="281"/>
      <c r="Z78" s="281"/>
      <c r="AA78" s="281"/>
      <c r="AB78" s="281"/>
      <c r="AC78" s="281"/>
      <c r="AD78" s="281"/>
      <c r="AE78" s="281"/>
      <c r="AF78" s="281"/>
      <c r="AG78" s="281"/>
      <c r="AH78" s="281"/>
      <c r="AI78" s="281"/>
      <c r="AJ78" s="281"/>
      <c r="AK78" s="281"/>
      <c r="AL78" s="281"/>
      <c r="AM78" s="281"/>
    </row>
    <row r="79">
      <c r="A79" s="31" t="s">
        <v>16</v>
      </c>
      <c r="B79" s="62" t="s">
        <v>170</v>
      </c>
      <c r="C79" s="94" t="str">
        <f>VLOOKUP($B79,'Rate card'!$A$4:$G280,2,FALSE)</f>
        <v>Carpentry</v>
      </c>
      <c r="D79" s="94" t="str">
        <f>VLOOKUP($B79,'Rate card'!$A$4:$G280,3,FALSE)</f>
        <v>Carcass Storage</v>
      </c>
      <c r="E79" s="62" t="s">
        <v>206</v>
      </c>
      <c r="F79" s="62" t="s">
        <v>207</v>
      </c>
      <c r="G79" s="94" t="str">
        <f>VLOOKUP($B79,'Rate card'!$A$4:$G280,6,FALSE)</f>
        <v>Sqft</v>
      </c>
      <c r="H79" s="62">
        <v>2700.0</v>
      </c>
      <c r="I79" s="31">
        <f>18.5*2.5</f>
        <v>46.25</v>
      </c>
      <c r="J79" s="79">
        <f t="shared" ref="J79:J84" si="27">H79*I79</f>
        <v>124875</v>
      </c>
      <c r="K79" s="31" t="s">
        <v>270</v>
      </c>
      <c r="L79" s="79">
        <f t="shared" ref="L79:L84" si="28">K79*H79</f>
        <v>135000</v>
      </c>
      <c r="M79" s="33">
        <f t="shared" ref="M79:M84" si="29">L79-J79</f>
        <v>10125</v>
      </c>
      <c r="N79" s="62" t="s">
        <v>208</v>
      </c>
      <c r="O79" s="139" t="s">
        <v>719</v>
      </c>
      <c r="P79" s="581"/>
      <c r="Q79" s="297"/>
      <c r="R79" s="595"/>
      <c r="S79" s="583">
        <f t="shared" si="20"/>
        <v>0.01395974176</v>
      </c>
      <c r="T79" s="281"/>
      <c r="U79" s="281"/>
      <c r="V79" s="281"/>
      <c r="W79" s="281"/>
      <c r="X79" s="281"/>
      <c r="Y79" s="281"/>
      <c r="Z79" s="281"/>
      <c r="AA79" s="281"/>
      <c r="AB79" s="281"/>
      <c r="AC79" s="281"/>
      <c r="AD79" s="281"/>
      <c r="AE79" s="281"/>
      <c r="AF79" s="281"/>
      <c r="AG79" s="281"/>
      <c r="AH79" s="281"/>
      <c r="AI79" s="281"/>
      <c r="AJ79" s="281"/>
      <c r="AK79" s="281"/>
      <c r="AL79" s="281"/>
      <c r="AM79" s="281"/>
    </row>
    <row r="80">
      <c r="A80" s="31" t="s">
        <v>18</v>
      </c>
      <c r="B80" s="62" t="s">
        <v>170</v>
      </c>
      <c r="C80" s="94" t="str">
        <f>VLOOKUP($B80,'Rate card'!$A$4:$G280,2,FALSE)</f>
        <v>Carpentry</v>
      </c>
      <c r="D80" s="94" t="str">
        <f>VLOOKUP($B80,'Rate card'!$A$4:$G280,3,FALSE)</f>
        <v>Carcass Storage</v>
      </c>
      <c r="E80" s="62" t="s">
        <v>206</v>
      </c>
      <c r="F80" s="62" t="s">
        <v>207</v>
      </c>
      <c r="G80" s="94" t="str">
        <f>VLOOKUP($B80,'Rate card'!$A$4:$G280,6,FALSE)</f>
        <v>Sqft</v>
      </c>
      <c r="H80" s="62">
        <v>2700.0</v>
      </c>
      <c r="I80" s="31">
        <f>28+11.25*2.5+4*2.5</f>
        <v>66.125</v>
      </c>
      <c r="J80" s="79">
        <f t="shared" si="27"/>
        <v>178537.5</v>
      </c>
      <c r="K80" s="31">
        <f>25*4.5</f>
        <v>112.5</v>
      </c>
      <c r="L80" s="79">
        <f t="shared" si="28"/>
        <v>303750</v>
      </c>
      <c r="M80" s="33">
        <f t="shared" si="29"/>
        <v>125212.5</v>
      </c>
      <c r="N80" s="62" t="s">
        <v>209</v>
      </c>
      <c r="O80" s="139" t="s">
        <v>715</v>
      </c>
      <c r="P80" s="581"/>
      <c r="Q80" s="297"/>
      <c r="R80" s="595"/>
      <c r="S80" s="583">
        <f t="shared" si="20"/>
        <v>0.03140941896</v>
      </c>
      <c r="T80" s="281"/>
      <c r="U80" s="281"/>
      <c r="V80" s="281"/>
      <c r="W80" s="281"/>
      <c r="X80" s="281"/>
      <c r="Y80" s="281"/>
      <c r="Z80" s="281"/>
      <c r="AA80" s="281"/>
      <c r="AB80" s="281"/>
      <c r="AC80" s="281"/>
      <c r="AD80" s="281"/>
      <c r="AE80" s="281"/>
      <c r="AF80" s="281"/>
      <c r="AG80" s="281"/>
      <c r="AH80" s="281"/>
      <c r="AI80" s="281"/>
      <c r="AJ80" s="281"/>
      <c r="AK80" s="281"/>
      <c r="AL80" s="281"/>
      <c r="AM80" s="281"/>
    </row>
    <row r="81">
      <c r="A81" s="31" t="s">
        <v>24</v>
      </c>
      <c r="B81" s="62" t="s">
        <v>170</v>
      </c>
      <c r="C81" s="94" t="str">
        <f>VLOOKUP($B81,'Rate card'!$A$4:$G280,2,FALSE)</f>
        <v>Carpentry</v>
      </c>
      <c r="D81" s="94" t="str">
        <f>VLOOKUP($B81,'Rate card'!$A$4:$G280,3,FALSE)</f>
        <v>Carcass Storage</v>
      </c>
      <c r="E81" s="62" t="s">
        <v>206</v>
      </c>
      <c r="F81" s="62" t="s">
        <v>207</v>
      </c>
      <c r="G81" s="94" t="str">
        <f>VLOOKUP($B81,'Rate card'!$A$4:$G280,6,FALSE)</f>
        <v>Sqft</v>
      </c>
      <c r="H81" s="62">
        <v>2700.0</v>
      </c>
      <c r="I81" s="31">
        <f>4*10</f>
        <v>40</v>
      </c>
      <c r="J81" s="79">
        <f t="shared" si="27"/>
        <v>108000</v>
      </c>
      <c r="K81" s="31" t="s">
        <v>729</v>
      </c>
      <c r="L81" s="79">
        <f t="shared" si="28"/>
        <v>0</v>
      </c>
      <c r="M81" s="33">
        <f t="shared" si="29"/>
        <v>-108000</v>
      </c>
      <c r="N81" s="62" t="s">
        <v>614</v>
      </c>
      <c r="O81" s="139" t="s">
        <v>719</v>
      </c>
      <c r="P81" s="581"/>
      <c r="Q81" s="297"/>
      <c r="R81" s="595"/>
      <c r="S81" s="583">
        <f t="shared" si="20"/>
        <v>0</v>
      </c>
      <c r="T81" s="281"/>
      <c r="U81" s="281"/>
      <c r="V81" s="281"/>
      <c r="W81" s="281"/>
      <c r="X81" s="281"/>
      <c r="Y81" s="281"/>
      <c r="Z81" s="281"/>
      <c r="AA81" s="281"/>
      <c r="AB81" s="281"/>
      <c r="AC81" s="281"/>
      <c r="AD81" s="281"/>
      <c r="AE81" s="281"/>
      <c r="AF81" s="281"/>
      <c r="AG81" s="281"/>
      <c r="AH81" s="281"/>
      <c r="AI81" s="281"/>
      <c r="AJ81" s="281"/>
      <c r="AK81" s="281"/>
      <c r="AL81" s="281"/>
      <c r="AM81" s="281"/>
    </row>
    <row r="82">
      <c r="A82" s="31" t="s">
        <v>27</v>
      </c>
      <c r="B82" s="62" t="s">
        <v>211</v>
      </c>
      <c r="C82" s="94" t="str">
        <f>VLOOKUP($B82,'Rate card'!$A$4:$G280,2,FALSE)</f>
        <v>Carpentry</v>
      </c>
      <c r="D82" s="94" t="str">
        <f>VLOOKUP($B82,'Rate card'!$A$4:$G280,3,FALSE)</f>
        <v>Kitchen Basket </v>
      </c>
      <c r="E82" s="62" t="s">
        <v>212</v>
      </c>
      <c r="F82" s="94" t="str">
        <f>VLOOKUP($B82,'Rate card'!$A$4:$G280,5,FALSE)</f>
        <v>Basket + Channel+Fitting charges</v>
      </c>
      <c r="G82" s="94" t="str">
        <f>VLOOKUP($B82,'Rate card'!$A$4:$G280,6,FALSE)</f>
        <v>Nos</v>
      </c>
      <c r="H82" s="62">
        <v>8000.0</v>
      </c>
      <c r="I82" s="78" t="s">
        <v>30</v>
      </c>
      <c r="J82" s="79">
        <f t="shared" si="27"/>
        <v>40000</v>
      </c>
      <c r="K82" s="78" t="s">
        <v>103</v>
      </c>
      <c r="L82" s="79">
        <f t="shared" si="28"/>
        <v>104000</v>
      </c>
      <c r="M82" s="33">
        <f t="shared" si="29"/>
        <v>64000</v>
      </c>
      <c r="N82" s="62" t="s">
        <v>213</v>
      </c>
      <c r="O82" s="139" t="s">
        <v>715</v>
      </c>
      <c r="P82" s="581"/>
      <c r="Q82" s="297"/>
      <c r="R82" s="595"/>
      <c r="S82" s="583">
        <f t="shared" si="20"/>
        <v>0.01075417143</v>
      </c>
      <c r="T82" s="281"/>
      <c r="U82" s="281"/>
      <c r="V82" s="281"/>
      <c r="W82" s="281"/>
      <c r="X82" s="281"/>
      <c r="Y82" s="281"/>
      <c r="Z82" s="281"/>
      <c r="AA82" s="281"/>
      <c r="AB82" s="281"/>
      <c r="AC82" s="281"/>
      <c r="AD82" s="281"/>
      <c r="AE82" s="281"/>
      <c r="AF82" s="281"/>
      <c r="AG82" s="281"/>
      <c r="AH82" s="281"/>
      <c r="AI82" s="281"/>
      <c r="AJ82" s="281"/>
      <c r="AK82" s="281"/>
      <c r="AL82" s="281"/>
      <c r="AM82" s="281"/>
    </row>
    <row r="83">
      <c r="A83" s="31" t="s">
        <v>30</v>
      </c>
      <c r="B83" s="62" t="s">
        <v>214</v>
      </c>
      <c r="C83" s="94" t="str">
        <f>VLOOKUP($B83,'Rate card'!$A$4:$G280,2,FALSE)</f>
        <v>Carpentry</v>
      </c>
      <c r="D83" s="94" t="str">
        <f>VLOOKUP($B83,'Rate card'!$A$4:$G280,3,FALSE)</f>
        <v>Wicker basket</v>
      </c>
      <c r="E83" s="94" t="str">
        <f>VLOOKUP($B83,'Rate card'!$A$4:$G280,4,FALSE)</f>
        <v>Wicker basket</v>
      </c>
      <c r="F83" s="94" t="str">
        <f>VLOOKUP($B83,'Rate card'!$A$4:$G280,5,FALSE)</f>
        <v>Basket + Channel+Fitting charges</v>
      </c>
      <c r="G83" s="94" t="str">
        <f>VLOOKUP($B83,'Rate card'!$A$4:$G280,6,FALSE)</f>
        <v>Nos</v>
      </c>
      <c r="H83" s="62">
        <v>6000.0</v>
      </c>
      <c r="I83" s="78" t="s">
        <v>18</v>
      </c>
      <c r="J83" s="79">
        <f t="shared" si="27"/>
        <v>12000</v>
      </c>
      <c r="K83" s="78" t="s">
        <v>18</v>
      </c>
      <c r="L83" s="79">
        <f t="shared" si="28"/>
        <v>12000</v>
      </c>
      <c r="M83" s="33">
        <f t="shared" si="29"/>
        <v>0</v>
      </c>
      <c r="N83" s="62" t="s">
        <v>213</v>
      </c>
      <c r="O83" s="553"/>
      <c r="P83" s="581"/>
      <c r="Q83" s="297"/>
      <c r="R83" s="595"/>
      <c r="S83" s="583">
        <f t="shared" si="20"/>
        <v>0.001240865934</v>
      </c>
      <c r="T83" s="281"/>
      <c r="U83" s="281"/>
      <c r="V83" s="281"/>
      <c r="W83" s="281"/>
      <c r="X83" s="281"/>
      <c r="Y83" s="281"/>
      <c r="Z83" s="281"/>
      <c r="AA83" s="281"/>
      <c r="AB83" s="281"/>
      <c r="AC83" s="281"/>
      <c r="AD83" s="281"/>
      <c r="AE83" s="281"/>
      <c r="AF83" s="281"/>
      <c r="AG83" s="281"/>
      <c r="AH83" s="281"/>
      <c r="AI83" s="281"/>
      <c r="AJ83" s="281"/>
      <c r="AK83" s="281"/>
      <c r="AL83" s="281"/>
      <c r="AM83" s="281"/>
    </row>
    <row r="84">
      <c r="A84" s="31" t="s">
        <v>32</v>
      </c>
      <c r="B84" s="62"/>
      <c r="C84" s="94" t="s">
        <v>31</v>
      </c>
      <c r="D84" s="94" t="s">
        <v>217</v>
      </c>
      <c r="E84" s="94" t="s">
        <v>218</v>
      </c>
      <c r="F84" s="94" t="s">
        <v>205</v>
      </c>
      <c r="G84" s="94" t="s">
        <v>175</v>
      </c>
      <c r="H84" s="62">
        <v>1650.0</v>
      </c>
      <c r="I84" s="78">
        <f>3*7</f>
        <v>21</v>
      </c>
      <c r="J84" s="79">
        <f t="shared" si="27"/>
        <v>34650</v>
      </c>
      <c r="K84" s="78">
        <f>3*7</f>
        <v>21</v>
      </c>
      <c r="L84" s="79">
        <f t="shared" si="28"/>
        <v>34650</v>
      </c>
      <c r="M84" s="33">
        <f t="shared" si="29"/>
        <v>0</v>
      </c>
      <c r="N84" s="62" t="s">
        <v>219</v>
      </c>
      <c r="O84" s="553"/>
      <c r="P84" s="69"/>
      <c r="Q84" s="596" t="s">
        <v>615</v>
      </c>
      <c r="R84" s="297"/>
      <c r="S84" s="583">
        <f t="shared" si="20"/>
        <v>0.003583000385</v>
      </c>
      <c r="T84" s="297"/>
      <c r="U84" s="281"/>
      <c r="V84" s="281"/>
      <c r="W84" s="281"/>
      <c r="X84" s="281"/>
      <c r="Y84" s="281"/>
      <c r="Z84" s="281"/>
      <c r="AA84" s="281"/>
      <c r="AB84" s="281"/>
      <c r="AC84" s="281"/>
      <c r="AD84" s="281"/>
      <c r="AE84" s="281"/>
      <c r="AF84" s="281"/>
      <c r="AG84" s="281"/>
      <c r="AH84" s="281"/>
      <c r="AI84" s="281"/>
      <c r="AJ84" s="281"/>
      <c r="AK84" s="281"/>
      <c r="AL84" s="281"/>
      <c r="AM84" s="281"/>
    </row>
    <row r="85">
      <c r="A85" s="30" t="s">
        <v>220</v>
      </c>
      <c r="B85" s="294"/>
      <c r="C85" s="294"/>
      <c r="D85" s="294"/>
      <c r="E85" s="294"/>
      <c r="F85" s="294"/>
      <c r="G85" s="294"/>
      <c r="H85" s="426"/>
      <c r="I85" s="594"/>
      <c r="J85" s="294"/>
      <c r="K85" s="594"/>
      <c r="L85" s="294"/>
      <c r="M85" s="426"/>
      <c r="N85" s="426"/>
      <c r="O85" s="553"/>
      <c r="P85" s="581"/>
      <c r="Q85" s="297"/>
      <c r="R85" s="299"/>
      <c r="S85" s="583">
        <f t="shared" si="20"/>
        <v>0</v>
      </c>
      <c r="T85" s="281"/>
      <c r="U85" s="281"/>
      <c r="V85" s="281"/>
      <c r="W85" s="281"/>
      <c r="X85" s="281"/>
      <c r="Y85" s="281"/>
      <c r="Z85" s="281"/>
      <c r="AA85" s="281"/>
      <c r="AB85" s="281"/>
      <c r="AC85" s="281"/>
      <c r="AD85" s="281"/>
      <c r="AE85" s="281"/>
      <c r="AF85" s="281"/>
      <c r="AG85" s="281"/>
      <c r="AH85" s="281"/>
      <c r="AI85" s="281"/>
      <c r="AJ85" s="281"/>
      <c r="AK85" s="281"/>
      <c r="AL85" s="281"/>
      <c r="AM85" s="281"/>
    </row>
    <row r="86">
      <c r="A86" s="31" t="s">
        <v>16</v>
      </c>
      <c r="B86" s="62" t="s">
        <v>170</v>
      </c>
      <c r="C86" s="94" t="str">
        <f>VLOOKUP($B86,'Rate card'!$A$4:$G280,2,FALSE)</f>
        <v>Carpentry</v>
      </c>
      <c r="D86" s="94" t="str">
        <f>VLOOKUP($B86,'Rate card'!$A$4:$G280,3,FALSE)</f>
        <v>Carcass Storage</v>
      </c>
      <c r="E86" s="94" t="str">
        <f>VLOOKUP($B86,'Rate card'!$A$4:$G280,4,FALSE)</f>
        <v>Laminate Finish</v>
      </c>
      <c r="F86" s="62" t="s">
        <v>221</v>
      </c>
      <c r="G86" s="94" t="str">
        <f>VLOOKUP($B86,'Rate card'!$A$4:$G280,6,FALSE)</f>
        <v>Sqft</v>
      </c>
      <c r="H86" s="62">
        <v>1800.0</v>
      </c>
      <c r="I86" s="31">
        <f>5.5*2.5</f>
        <v>13.75</v>
      </c>
      <c r="J86" s="79">
        <f t="shared" ref="J86:J88" si="30">H86*I86</f>
        <v>24750</v>
      </c>
      <c r="K86" s="31">
        <f>8*2.5</f>
        <v>20</v>
      </c>
      <c r="L86" s="79">
        <f t="shared" ref="L86:L88" si="31">K86*H86</f>
        <v>36000</v>
      </c>
      <c r="M86" s="33">
        <f t="shared" ref="M86:M88" si="32">L86-J86</f>
        <v>11250</v>
      </c>
      <c r="N86" s="62" t="s">
        <v>208</v>
      </c>
      <c r="O86" s="139" t="s">
        <v>715</v>
      </c>
      <c r="P86" s="581"/>
      <c r="Q86" s="297"/>
      <c r="R86" s="595"/>
      <c r="S86" s="583">
        <f t="shared" si="20"/>
        <v>0.003722597802</v>
      </c>
      <c r="T86" s="281"/>
      <c r="U86" s="281"/>
      <c r="V86" s="281"/>
      <c r="W86" s="281"/>
      <c r="X86" s="281"/>
      <c r="Y86" s="281"/>
      <c r="Z86" s="281"/>
      <c r="AA86" s="281"/>
      <c r="AB86" s="281"/>
      <c r="AC86" s="281"/>
      <c r="AD86" s="281"/>
      <c r="AE86" s="281"/>
      <c r="AF86" s="281"/>
      <c r="AG86" s="281"/>
      <c r="AH86" s="281"/>
      <c r="AI86" s="281"/>
      <c r="AJ86" s="281"/>
      <c r="AK86" s="281"/>
      <c r="AL86" s="281"/>
      <c r="AM86" s="281"/>
    </row>
    <row r="87">
      <c r="A87" s="31" t="s">
        <v>18</v>
      </c>
      <c r="B87" s="62" t="s">
        <v>170</v>
      </c>
      <c r="C87" s="94" t="str">
        <f>VLOOKUP($B87,'Rate card'!$A$4:$G280,2,FALSE)</f>
        <v>Carpentry</v>
      </c>
      <c r="D87" s="94" t="str">
        <f>VLOOKUP($B87,'Rate card'!$A$4:$G280,3,FALSE)</f>
        <v>Carcass Storage</v>
      </c>
      <c r="E87" s="94" t="str">
        <f>VLOOKUP($B87,'Rate card'!$A$4:$G280,4,FALSE)</f>
        <v>Laminate Finish</v>
      </c>
      <c r="F87" s="62" t="s">
        <v>221</v>
      </c>
      <c r="G87" s="94" t="str">
        <f>VLOOKUP($B87,'Rate card'!$A$4:$G280,6,FALSE)</f>
        <v>Sqft</v>
      </c>
      <c r="H87" s="62">
        <v>1800.0</v>
      </c>
      <c r="I87" s="31">
        <f>10*10</f>
        <v>100</v>
      </c>
      <c r="J87" s="79">
        <f t="shared" si="30"/>
        <v>180000</v>
      </c>
      <c r="K87" s="31" t="s">
        <v>741</v>
      </c>
      <c r="L87" s="79">
        <f t="shared" si="31"/>
        <v>315000</v>
      </c>
      <c r="M87" s="33">
        <f t="shared" si="32"/>
        <v>135000</v>
      </c>
      <c r="N87" s="62" t="s">
        <v>618</v>
      </c>
      <c r="O87" s="139" t="s">
        <v>715</v>
      </c>
      <c r="P87" s="451"/>
      <c r="Q87" s="281"/>
      <c r="R87" s="124"/>
      <c r="S87" s="583">
        <f t="shared" si="20"/>
        <v>0.03257273077</v>
      </c>
      <c r="T87" s="281"/>
      <c r="U87" s="281"/>
      <c r="V87" s="281"/>
      <c r="W87" s="281"/>
      <c r="X87" s="281"/>
      <c r="Y87" s="281"/>
      <c r="Z87" s="281"/>
      <c r="AA87" s="281"/>
      <c r="AB87" s="281"/>
      <c r="AC87" s="281"/>
      <c r="AD87" s="281"/>
      <c r="AE87" s="281"/>
      <c r="AF87" s="281"/>
      <c r="AG87" s="281"/>
      <c r="AH87" s="281"/>
      <c r="AI87" s="281"/>
      <c r="AJ87" s="281"/>
      <c r="AK87" s="281"/>
      <c r="AL87" s="281"/>
      <c r="AM87" s="281"/>
    </row>
    <row r="88">
      <c r="A88" s="31" t="s">
        <v>24</v>
      </c>
      <c r="B88" s="62" t="s">
        <v>223</v>
      </c>
      <c r="C88" s="94" t="str">
        <f>VLOOKUP($B88,'Rate card'!$A$4:$G280,2,FALSE)</f>
        <v>Carpentry</v>
      </c>
      <c r="D88" s="77" t="str">
        <f>VLOOKUP($B88,'Rate card'!$A$4:$G280,3,FALSE)</f>
        <v>Carcass Storage</v>
      </c>
      <c r="E88" s="77" t="str">
        <f>VLOOKUP($B88,'Rate card'!$A$4:$G280,4,FALSE)</f>
        <v>Laminate Finish</v>
      </c>
      <c r="F88" s="62" t="s">
        <v>221</v>
      </c>
      <c r="G88" s="94" t="str">
        <f>VLOOKUP($B88,'Rate card'!$A$4:$G280,6,FALSE)</f>
        <v>Sqft</v>
      </c>
      <c r="H88" s="62">
        <v>1800.0</v>
      </c>
      <c r="I88" s="31" t="s">
        <v>224</v>
      </c>
      <c r="J88" s="79">
        <f t="shared" si="30"/>
        <v>39600</v>
      </c>
      <c r="K88" s="31" t="s">
        <v>729</v>
      </c>
      <c r="L88" s="79">
        <f t="shared" si="31"/>
        <v>0</v>
      </c>
      <c r="M88" s="33">
        <f t="shared" si="32"/>
        <v>-39600</v>
      </c>
      <c r="N88" s="31" t="s">
        <v>225</v>
      </c>
      <c r="O88" s="139" t="s">
        <v>719</v>
      </c>
      <c r="P88" s="553"/>
      <c r="Q88" s="2">
        <f>VLOOKUP($B88,'Rate card'!$A$4:$J280,7,FALSE)</f>
        <v>2000</v>
      </c>
      <c r="R88" s="282">
        <f>I88*Q88</f>
        <v>44000</v>
      </c>
      <c r="S88" s="583">
        <f t="shared" si="20"/>
        <v>0</v>
      </c>
      <c r="T88" s="281"/>
      <c r="U88" s="281"/>
      <c r="V88" s="281"/>
      <c r="W88" s="281"/>
      <c r="X88" s="281"/>
      <c r="Y88" s="281"/>
      <c r="Z88" s="281"/>
      <c r="AA88" s="281"/>
      <c r="AB88" s="281"/>
      <c r="AC88" s="281"/>
      <c r="AD88" s="281"/>
      <c r="AE88" s="281"/>
      <c r="AF88" s="281"/>
      <c r="AG88" s="281"/>
      <c r="AH88" s="281"/>
      <c r="AI88" s="281"/>
      <c r="AJ88" s="281"/>
      <c r="AK88" s="281"/>
      <c r="AL88" s="281"/>
      <c r="AM88" s="281"/>
    </row>
    <row r="89">
      <c r="A89" s="30" t="s">
        <v>226</v>
      </c>
      <c r="B89" s="294"/>
      <c r="C89" s="294"/>
      <c r="D89" s="294"/>
      <c r="E89" s="294"/>
      <c r="F89" s="294"/>
      <c r="G89" s="294"/>
      <c r="H89" s="426"/>
      <c r="I89" s="298"/>
      <c r="J89" s="426"/>
      <c r="K89" s="298"/>
      <c r="L89" s="426"/>
      <c r="M89" s="298"/>
      <c r="N89" s="294"/>
      <c r="O89" s="553"/>
      <c r="P89" s="553"/>
      <c r="Q89" s="124"/>
      <c r="R89" s="281"/>
      <c r="S89" s="583">
        <f t="shared" si="20"/>
        <v>0</v>
      </c>
      <c r="T89" s="281"/>
      <c r="U89" s="281"/>
      <c r="V89" s="281"/>
      <c r="W89" s="281"/>
      <c r="X89" s="281"/>
      <c r="Y89" s="281"/>
      <c r="Z89" s="281"/>
      <c r="AA89" s="281"/>
      <c r="AB89" s="281"/>
      <c r="AC89" s="281"/>
      <c r="AD89" s="281"/>
      <c r="AE89" s="281"/>
      <c r="AF89" s="281"/>
      <c r="AG89" s="281"/>
      <c r="AH89" s="281"/>
      <c r="AI89" s="281"/>
      <c r="AJ89" s="281"/>
      <c r="AK89" s="281"/>
      <c r="AL89" s="281"/>
      <c r="AM89" s="281"/>
    </row>
    <row r="90">
      <c r="A90" s="33" t="s">
        <v>16</v>
      </c>
      <c r="B90" s="94" t="s">
        <v>227</v>
      </c>
      <c r="C90" s="94" t="str">
        <f>VLOOKUP($B90,'Rate card'!$A$4:$G280,2,FALSE)</f>
        <v>Carpentry</v>
      </c>
      <c r="D90" s="94" t="str">
        <f>VLOOKUP($B90,'Rate card'!$A$4:$G280,3,FALSE)</f>
        <v>Bed</v>
      </c>
      <c r="E90" s="94" t="str">
        <f>VLOOKUP($B90,'Rate card'!$A$4:$G280,4,FALSE)</f>
        <v>Laminate Finish</v>
      </c>
      <c r="F90" s="94" t="s">
        <v>228</v>
      </c>
      <c r="G90" s="94" t="str">
        <f>VLOOKUP($B90,'Rate card'!$A$4:$G280,6,FALSE)</f>
        <v>Sqft</v>
      </c>
      <c r="H90" s="62">
        <v>1800.0</v>
      </c>
      <c r="I90" s="78">
        <f>5.5*6.5</f>
        <v>35.75</v>
      </c>
      <c r="J90" s="79">
        <f t="shared" ref="J90:J98" si="33">H90*I90</f>
        <v>64350</v>
      </c>
      <c r="K90" s="78">
        <f>6.6*6</f>
        <v>39.6</v>
      </c>
      <c r="L90" s="79">
        <f t="shared" ref="L90:L98" si="34">K90*H90</f>
        <v>71280</v>
      </c>
      <c r="M90" s="33">
        <f t="shared" ref="M90:M98" si="35">L90-J90</f>
        <v>6930</v>
      </c>
      <c r="N90" s="75" t="s">
        <v>229</v>
      </c>
      <c r="O90" s="139" t="s">
        <v>715</v>
      </c>
      <c r="P90" s="553"/>
      <c r="Q90" s="124">
        <f>VLOOKUP($B90,'Rate card'!$A$4:$J280,7,FALSE)</f>
        <v>1400</v>
      </c>
      <c r="R90" s="281">
        <f t="shared" ref="R90:R91" si="36">I90*Q90</f>
        <v>50050</v>
      </c>
      <c r="S90" s="583">
        <f t="shared" si="20"/>
        <v>0.007370743649</v>
      </c>
      <c r="T90" s="283"/>
      <c r="U90" s="282"/>
      <c r="V90" s="281"/>
      <c r="W90" s="281"/>
      <c r="X90" s="281"/>
      <c r="Y90" s="281"/>
      <c r="Z90" s="281"/>
      <c r="AA90" s="281"/>
      <c r="AB90" s="281"/>
      <c r="AC90" s="281"/>
      <c r="AD90" s="281"/>
      <c r="AE90" s="281"/>
      <c r="AF90" s="281"/>
      <c r="AG90" s="281"/>
      <c r="AH90" s="281"/>
      <c r="AI90" s="281"/>
      <c r="AJ90" s="281"/>
      <c r="AK90" s="281"/>
      <c r="AL90" s="281"/>
      <c r="AM90" s="281"/>
    </row>
    <row r="91">
      <c r="A91" s="33" t="s">
        <v>18</v>
      </c>
      <c r="B91" s="94" t="s">
        <v>230</v>
      </c>
      <c r="C91" s="94" t="str">
        <f>VLOOKUP($B91,'Rate card'!$A$4:$G280,2,FALSE)</f>
        <v>Carpentry</v>
      </c>
      <c r="D91" s="94" t="str">
        <f>VLOOKUP($B91,'Rate card'!$A$4:$G280,3,FALSE)</f>
        <v>Headboard</v>
      </c>
      <c r="E91" s="94" t="str">
        <f>VLOOKUP($B91,'Rate card'!$A$4:$G280,4,FALSE)</f>
        <v>Fabric Finish</v>
      </c>
      <c r="F91" s="94" t="str">
        <f>VLOOKUP($B91,'Rate card'!$A$4:$G280,5,FALSE)</f>
        <v>MR ply panelling + Foam material and labour. Excludes Fabric cost</v>
      </c>
      <c r="G91" s="94" t="str">
        <f>VLOOKUP($B91,'Rate card'!$A$4:$G280,6,FALSE)</f>
        <v>Sqft</v>
      </c>
      <c r="H91" s="94">
        <v>1300.0</v>
      </c>
      <c r="I91" s="78">
        <f>5.5*3</f>
        <v>16.5</v>
      </c>
      <c r="J91" s="79">
        <f t="shared" si="33"/>
        <v>21450</v>
      </c>
      <c r="K91" s="78">
        <f>9*2.8</f>
        <v>25.2</v>
      </c>
      <c r="L91" s="79">
        <f t="shared" si="34"/>
        <v>32760</v>
      </c>
      <c r="M91" s="33">
        <f t="shared" si="35"/>
        <v>11310</v>
      </c>
      <c r="N91" s="95" t="s">
        <v>231</v>
      </c>
      <c r="O91" s="139" t="s">
        <v>715</v>
      </c>
      <c r="P91" s="553"/>
      <c r="Q91" s="124">
        <f>VLOOKUP($B91,'Rate card'!$A$4:$J280,7,FALSE)</f>
        <v>950</v>
      </c>
      <c r="R91" s="281">
        <f t="shared" si="36"/>
        <v>15675</v>
      </c>
      <c r="S91" s="583">
        <f t="shared" si="20"/>
        <v>0.003387564</v>
      </c>
      <c r="T91" s="283"/>
      <c r="U91" s="282"/>
      <c r="V91" s="281"/>
      <c r="W91" s="281"/>
      <c r="X91" s="281"/>
      <c r="Y91" s="281"/>
      <c r="Z91" s="281"/>
      <c r="AA91" s="281"/>
      <c r="AB91" s="281"/>
      <c r="AC91" s="281"/>
      <c r="AD91" s="281"/>
      <c r="AE91" s="281"/>
      <c r="AF91" s="281"/>
      <c r="AG91" s="281"/>
      <c r="AH91" s="281"/>
      <c r="AI91" s="281"/>
      <c r="AJ91" s="281"/>
      <c r="AK91" s="281"/>
      <c r="AL91" s="281"/>
      <c r="AM91" s="281"/>
    </row>
    <row r="92">
      <c r="A92" s="33" t="s">
        <v>24</v>
      </c>
      <c r="B92" s="62" t="s">
        <v>232</v>
      </c>
      <c r="C92" s="94" t="str">
        <f>VLOOKUP($B92,'Rate card'!$A$4:$G280,2,FALSE)</f>
        <v>Carpentry</v>
      </c>
      <c r="D92" s="62" t="s">
        <v>233</v>
      </c>
      <c r="E92" s="94" t="str">
        <f>VLOOKUP($B92,'Rate card'!$A$4:$G280,4,FALSE)</f>
        <v>Laminate Finish</v>
      </c>
      <c r="F92" s="94" t="str">
        <f>VLOOKUP($B92,'Rate card'!$A$4:$G280,5,FALSE)</f>
        <v>MR ply + Inside laminate + finish laminate (1 Drawer)</v>
      </c>
      <c r="G92" s="94" t="str">
        <f>VLOOKUP($B92,'Rate card'!$A$4:$G280,6,FALSE)</f>
        <v>Nos</v>
      </c>
      <c r="H92" s="62">
        <v>20000.0</v>
      </c>
      <c r="I92" s="78" t="s">
        <v>18</v>
      </c>
      <c r="J92" s="79">
        <f t="shared" si="33"/>
        <v>40000</v>
      </c>
      <c r="K92" s="78" t="s">
        <v>18</v>
      </c>
      <c r="L92" s="79">
        <f t="shared" si="34"/>
        <v>40000</v>
      </c>
      <c r="M92" s="33">
        <f t="shared" si="35"/>
        <v>0</v>
      </c>
      <c r="N92" s="75" t="s">
        <v>233</v>
      </c>
      <c r="O92" s="553"/>
      <c r="P92" s="553"/>
      <c r="Q92" s="124"/>
      <c r="R92" s="281"/>
      <c r="S92" s="583">
        <f t="shared" si="20"/>
        <v>0.004136219781</v>
      </c>
      <c r="T92" s="281"/>
      <c r="U92" s="281"/>
      <c r="V92" s="281"/>
      <c r="W92" s="281"/>
      <c r="X92" s="281"/>
      <c r="Y92" s="281"/>
      <c r="Z92" s="281"/>
      <c r="AA92" s="281"/>
      <c r="AB92" s="281"/>
      <c r="AC92" s="281"/>
      <c r="AD92" s="281"/>
      <c r="AE92" s="281"/>
      <c r="AF92" s="281"/>
      <c r="AG92" s="281"/>
      <c r="AH92" s="281"/>
      <c r="AI92" s="281"/>
      <c r="AJ92" s="281"/>
      <c r="AK92" s="281"/>
      <c r="AL92" s="281"/>
      <c r="AM92" s="281"/>
    </row>
    <row r="93">
      <c r="A93" s="33" t="s">
        <v>27</v>
      </c>
      <c r="B93" s="62" t="s">
        <v>170</v>
      </c>
      <c r="C93" s="94" t="str">
        <f>VLOOKUP($B93,'Rate card'!$A$4:$G280,2,FALSE)</f>
        <v>Carpentry</v>
      </c>
      <c r="D93" s="94" t="str">
        <f>VLOOKUP($B93,'Rate card'!$A$4:$G280,3,FALSE)</f>
        <v>Carcass Storage</v>
      </c>
      <c r="E93" s="94" t="str">
        <f>VLOOKUP($B93,'Rate card'!$A$4:$G280,4,FALSE)</f>
        <v>Laminate Finish</v>
      </c>
      <c r="F93" s="94" t="str">
        <f>VLOOKUP($B93,'Rate card'!$A$4:$G280,5,FALSE)</f>
        <v>MR ply + Inside laminate + finish laminate</v>
      </c>
      <c r="G93" s="62" t="s">
        <v>175</v>
      </c>
      <c r="H93" s="62">
        <v>1800.0</v>
      </c>
      <c r="I93" s="78" t="s">
        <v>34</v>
      </c>
      <c r="J93" s="79">
        <f t="shared" si="33"/>
        <v>12600</v>
      </c>
      <c r="K93" s="78" t="s">
        <v>95</v>
      </c>
      <c r="L93" s="79">
        <f t="shared" si="34"/>
        <v>18000</v>
      </c>
      <c r="M93" s="33">
        <f t="shared" si="35"/>
        <v>5400</v>
      </c>
      <c r="N93" s="31" t="s">
        <v>234</v>
      </c>
      <c r="O93" s="553"/>
      <c r="P93" s="553"/>
      <c r="Q93" s="124">
        <f>VLOOKUP($B93,'Rate card'!$A$4:$J280,7,FALSE)</f>
        <v>1350</v>
      </c>
      <c r="R93" s="281">
        <f>I93*Q93</f>
        <v>9450</v>
      </c>
      <c r="S93" s="583">
        <f t="shared" si="20"/>
        <v>0.001861298901</v>
      </c>
      <c r="T93" s="281"/>
      <c r="U93" s="281"/>
      <c r="V93" s="281"/>
      <c r="W93" s="281"/>
      <c r="X93" s="281"/>
      <c r="Y93" s="281"/>
      <c r="Z93" s="281"/>
      <c r="AA93" s="281"/>
      <c r="AB93" s="281"/>
      <c r="AC93" s="281"/>
      <c r="AD93" s="281"/>
      <c r="AE93" s="281"/>
      <c r="AF93" s="281"/>
      <c r="AG93" s="281"/>
      <c r="AH93" s="281"/>
      <c r="AI93" s="281"/>
      <c r="AJ93" s="281"/>
      <c r="AK93" s="281"/>
      <c r="AL93" s="281"/>
      <c r="AM93" s="281"/>
    </row>
    <row r="94">
      <c r="A94" s="33" t="s">
        <v>30</v>
      </c>
      <c r="B94" s="62" t="s">
        <v>170</v>
      </c>
      <c r="C94" s="94" t="str">
        <f>VLOOKUP($B94,'Rate card'!$A$4:$G280,2,FALSE)</f>
        <v>Carpentry</v>
      </c>
      <c r="D94" s="94" t="str">
        <f>VLOOKUP($B94,'Rate card'!$A$4:$G280,3,FALSE)</f>
        <v>Carcass Storage</v>
      </c>
      <c r="E94" s="94" t="str">
        <f>VLOOKUP($B94,'Rate card'!$A$4:$G280,4,FALSE)</f>
        <v>Laminate Finish</v>
      </c>
      <c r="F94" s="94" t="str">
        <f>VLOOKUP($B94,'Rate card'!$A$4:$G280,5,FALSE)</f>
        <v>MR ply + Inside laminate + finish laminate</v>
      </c>
      <c r="G94" s="94" t="str">
        <f>VLOOKUP($B94,'Rate card'!$A$4:$G280,6,FALSE)</f>
        <v>Sqft</v>
      </c>
      <c r="H94" s="94">
        <f>VLOOKUP($B94,'Rate card'!$A$4:$J280,8,FALSE)</f>
        <v>1800</v>
      </c>
      <c r="I94" s="78">
        <f>5*10</f>
        <v>50</v>
      </c>
      <c r="J94" s="79">
        <f t="shared" si="33"/>
        <v>90000</v>
      </c>
      <c r="K94" s="78">
        <f>5*10</f>
        <v>50</v>
      </c>
      <c r="L94" s="79">
        <f t="shared" si="34"/>
        <v>90000</v>
      </c>
      <c r="M94" s="33">
        <f t="shared" si="35"/>
        <v>0</v>
      </c>
      <c r="N94" s="75" t="s">
        <v>235</v>
      </c>
      <c r="O94" s="553"/>
      <c r="P94" s="553"/>
      <c r="Q94" s="124"/>
      <c r="R94" s="281"/>
      <c r="S94" s="583">
        <f t="shared" si="20"/>
        <v>0.009306494506</v>
      </c>
      <c r="T94" s="597"/>
      <c r="U94" s="2"/>
      <c r="V94" s="281"/>
      <c r="W94" s="281"/>
      <c r="X94" s="281"/>
      <c r="Y94" s="281"/>
      <c r="Z94" s="281"/>
      <c r="AA94" s="281"/>
      <c r="AB94" s="281"/>
      <c r="AC94" s="281"/>
      <c r="AD94" s="281"/>
      <c r="AE94" s="281"/>
      <c r="AF94" s="281"/>
      <c r="AG94" s="281"/>
      <c r="AH94" s="281"/>
      <c r="AI94" s="281"/>
      <c r="AJ94" s="281"/>
      <c r="AK94" s="281"/>
      <c r="AL94" s="281"/>
      <c r="AM94" s="281"/>
    </row>
    <row r="95">
      <c r="A95" s="33" t="s">
        <v>32</v>
      </c>
      <c r="B95" s="62" t="s">
        <v>236</v>
      </c>
      <c r="C95" s="94" t="str">
        <f>VLOOKUP($B95,'Rate card'!$A$4:$G280,2,FALSE)</f>
        <v>Carpentry</v>
      </c>
      <c r="D95" s="94" t="str">
        <f>VLOOKUP($B95,'Rate card'!$A$4:$G280,3,FALSE)</f>
        <v>Panelling with framing</v>
      </c>
      <c r="E95" s="94" t="str">
        <f>VLOOKUP($B95,'Rate card'!$A$4:$G280,4,FALSE)</f>
        <v>Mirror Finish</v>
      </c>
      <c r="F95" s="94" t="str">
        <f>VLOOKUP($B95,'Rate card'!$A$4:$G280,5,FALSE)</f>
        <v>MR ply + ply framing + 5mm clear mirror</v>
      </c>
      <c r="G95" s="94" t="str">
        <f>VLOOKUP($B95,'Rate card'!$A$4:$G280,6,FALSE)</f>
        <v>Sqft</v>
      </c>
      <c r="H95" s="94">
        <f>VLOOKUP($B95,'Rate card'!$A$4:$J280,8,FALSE)</f>
        <v>750</v>
      </c>
      <c r="I95" s="78">
        <f>2.5*7</f>
        <v>17.5</v>
      </c>
      <c r="J95" s="79">
        <f t="shared" si="33"/>
        <v>13125</v>
      </c>
      <c r="K95" s="78">
        <f>2.5*7</f>
        <v>17.5</v>
      </c>
      <c r="L95" s="79">
        <f t="shared" si="34"/>
        <v>13125</v>
      </c>
      <c r="M95" s="33">
        <f t="shared" si="35"/>
        <v>0</v>
      </c>
      <c r="N95" s="75" t="s">
        <v>237</v>
      </c>
      <c r="O95" s="553"/>
      <c r="P95" s="553"/>
      <c r="Q95" s="124"/>
      <c r="R95" s="281"/>
      <c r="S95" s="583">
        <f t="shared" si="20"/>
        <v>0.001357197115</v>
      </c>
      <c r="T95" s="281"/>
      <c r="U95" s="281"/>
      <c r="V95" s="281"/>
      <c r="W95" s="281"/>
      <c r="X95" s="281"/>
      <c r="Y95" s="281"/>
      <c r="Z95" s="281"/>
      <c r="AA95" s="281"/>
      <c r="AB95" s="281"/>
      <c r="AC95" s="281"/>
      <c r="AD95" s="281"/>
      <c r="AE95" s="281"/>
      <c r="AF95" s="281"/>
      <c r="AG95" s="281"/>
      <c r="AH95" s="281"/>
      <c r="AI95" s="281"/>
      <c r="AJ95" s="281"/>
      <c r="AK95" s="281"/>
      <c r="AL95" s="281"/>
      <c r="AM95" s="281"/>
    </row>
    <row r="96" ht="26.25" customHeight="1">
      <c r="A96" s="598" t="s">
        <v>34</v>
      </c>
      <c r="B96" s="599" t="s">
        <v>238</v>
      </c>
      <c r="C96" s="600" t="s">
        <v>31</v>
      </c>
      <c r="D96" s="598" t="s">
        <v>180</v>
      </c>
      <c r="E96" s="600" t="str">
        <f>VLOOKUP($B96,'Rate card'!$A$4:$G280,4,FALSE)</f>
        <v>Laminate Finish</v>
      </c>
      <c r="F96" s="571" t="s">
        <v>239</v>
      </c>
      <c r="G96" s="600" t="str">
        <f>VLOOKUP($B96,'Rate card'!$A$4:$G280,6,FALSE)</f>
        <v>Sqft</v>
      </c>
      <c r="H96" s="599">
        <v>850.0</v>
      </c>
      <c r="I96" s="592" t="s">
        <v>240</v>
      </c>
      <c r="J96" s="572">
        <f t="shared" si="33"/>
        <v>68000</v>
      </c>
      <c r="K96" s="592" t="s">
        <v>240</v>
      </c>
      <c r="L96" s="572">
        <f t="shared" si="34"/>
        <v>68000</v>
      </c>
      <c r="M96" s="598">
        <f t="shared" si="35"/>
        <v>0</v>
      </c>
      <c r="N96" s="601" t="s">
        <v>241</v>
      </c>
      <c r="O96" s="602" t="s">
        <v>724</v>
      </c>
      <c r="P96" s="602" t="s">
        <v>742</v>
      </c>
      <c r="Q96" s="603"/>
      <c r="R96" s="604"/>
      <c r="S96" s="583">
        <f t="shared" si="20"/>
        <v>0.007031573627</v>
      </c>
      <c r="T96" s="604"/>
      <c r="U96" s="604"/>
      <c r="V96" s="604"/>
      <c r="W96" s="604"/>
      <c r="X96" s="604"/>
      <c r="Y96" s="604"/>
      <c r="Z96" s="604"/>
      <c r="AA96" s="604"/>
      <c r="AB96" s="604"/>
      <c r="AC96" s="604"/>
      <c r="AD96" s="604"/>
      <c r="AE96" s="604"/>
      <c r="AF96" s="604"/>
      <c r="AG96" s="604"/>
      <c r="AH96" s="604"/>
      <c r="AI96" s="604"/>
      <c r="AJ96" s="604"/>
      <c r="AK96" s="604"/>
      <c r="AL96" s="604"/>
      <c r="AM96" s="604"/>
    </row>
    <row r="97">
      <c r="A97" s="33" t="s">
        <v>36</v>
      </c>
      <c r="B97" s="62" t="s">
        <v>243</v>
      </c>
      <c r="C97" s="94" t="str">
        <f>VLOOKUP($B97,'Rate card'!$A$4:$G280,2,FALSE)</f>
        <v>Carpentry</v>
      </c>
      <c r="D97" s="94" t="str">
        <f>VLOOKUP($B97,'Rate card'!$A$4:$G280,3,FALSE)</f>
        <v>Wardrobe</v>
      </c>
      <c r="E97" s="94" t="str">
        <f>VLOOKUP($B97,'Rate card'!$A$4:$G280,4,FALSE)</f>
        <v>Laminate Finish</v>
      </c>
      <c r="F97" s="94" t="str">
        <f>VLOOKUP($B97,'Rate card'!$A$4:$G280,5,FALSE)</f>
        <v>MR ply + Inside laminate + finish laminate. (Includes 4 pencil drawers, Handles of base rate Rs.1000/pc)</v>
      </c>
      <c r="G97" s="94" t="str">
        <f>VLOOKUP($B97,'Rate card'!$A$4:$G280,6,FALSE)</f>
        <v>Sqft</v>
      </c>
      <c r="H97" s="62">
        <v>1800.0</v>
      </c>
      <c r="I97" s="78">
        <f>7.5*10</f>
        <v>75</v>
      </c>
      <c r="J97" s="79">
        <f t="shared" si="33"/>
        <v>135000</v>
      </c>
      <c r="K97" s="78" t="s">
        <v>743</v>
      </c>
      <c r="L97" s="79">
        <f t="shared" si="34"/>
        <v>147600</v>
      </c>
      <c r="M97" s="33">
        <f t="shared" si="35"/>
        <v>12600</v>
      </c>
      <c r="N97" s="75" t="s">
        <v>244</v>
      </c>
      <c r="O97" s="139" t="s">
        <v>719</v>
      </c>
      <c r="P97" s="553"/>
      <c r="Q97" s="124"/>
      <c r="R97" s="281"/>
      <c r="S97" s="583">
        <f t="shared" si="20"/>
        <v>0.01526265099</v>
      </c>
      <c r="T97" s="50"/>
      <c r="U97" s="2"/>
      <c r="V97" s="281"/>
      <c r="W97" s="281"/>
      <c r="X97" s="281"/>
      <c r="Y97" s="281"/>
      <c r="Z97" s="281"/>
      <c r="AA97" s="281"/>
      <c r="AB97" s="281"/>
      <c r="AC97" s="281"/>
      <c r="AD97" s="281"/>
      <c r="AE97" s="281"/>
      <c r="AF97" s="281"/>
      <c r="AG97" s="281"/>
      <c r="AH97" s="281"/>
      <c r="AI97" s="281"/>
      <c r="AJ97" s="281"/>
      <c r="AK97" s="281"/>
      <c r="AL97" s="281"/>
      <c r="AM97" s="281"/>
    </row>
    <row r="98">
      <c r="A98" s="33" t="s">
        <v>92</v>
      </c>
      <c r="B98" s="62" t="s">
        <v>179</v>
      </c>
      <c r="C98" s="94" t="str">
        <f>VLOOKUP($B98,'Rate card'!$A$4:$G280,2,FALSE)</f>
        <v>Carpentry</v>
      </c>
      <c r="D98" s="94" t="str">
        <f>VLOOKUP($B98,'Rate card'!$A$4:$G280,3,FALSE)</f>
        <v>Panelling with framing</v>
      </c>
      <c r="E98" s="94" t="str">
        <f>VLOOKUP($B98,'Rate card'!$A$4:$G280,4,FALSE)</f>
        <v>MDF</v>
      </c>
      <c r="F98" s="94" t="str">
        <f>VLOOKUP($B98,'Rate card'!$A$4:$G280,5,FALSE)</f>
        <v>MR ply + ply framing + 12mm MDF</v>
      </c>
      <c r="G98" s="94" t="str">
        <f>VLOOKUP($B98,'Rate card'!$A$4:$G280,6,FALSE)</f>
        <v>Sqft</v>
      </c>
      <c r="H98" s="62">
        <v>600.0</v>
      </c>
      <c r="I98" s="78">
        <f>12*2.5</f>
        <v>30</v>
      </c>
      <c r="J98" s="79">
        <f t="shared" si="33"/>
        <v>18000</v>
      </c>
      <c r="K98" s="78">
        <f>12*2.5</f>
        <v>30</v>
      </c>
      <c r="L98" s="79">
        <f t="shared" si="34"/>
        <v>18000</v>
      </c>
      <c r="M98" s="33">
        <f t="shared" si="35"/>
        <v>0</v>
      </c>
      <c r="N98" s="75" t="s">
        <v>245</v>
      </c>
      <c r="O98" s="553"/>
      <c r="P98" s="553"/>
      <c r="Q98" s="124"/>
      <c r="R98" s="281"/>
      <c r="S98" s="583">
        <f t="shared" si="20"/>
        <v>0.001861298901</v>
      </c>
      <c r="T98" s="281"/>
      <c r="U98" s="281"/>
      <c r="V98" s="281"/>
      <c r="W98" s="281"/>
      <c r="X98" s="281"/>
      <c r="Y98" s="281"/>
      <c r="Z98" s="281"/>
      <c r="AA98" s="281"/>
      <c r="AB98" s="281"/>
      <c r="AC98" s="281"/>
      <c r="AD98" s="281"/>
      <c r="AE98" s="281"/>
      <c r="AF98" s="281"/>
      <c r="AG98" s="281"/>
      <c r="AH98" s="281"/>
      <c r="AI98" s="281"/>
      <c r="AJ98" s="281"/>
      <c r="AK98" s="281"/>
      <c r="AL98" s="281"/>
      <c r="AM98" s="281"/>
    </row>
    <row r="99">
      <c r="A99" s="30" t="s">
        <v>246</v>
      </c>
      <c r="B99" s="294"/>
      <c r="C99" s="294"/>
      <c r="D99" s="294"/>
      <c r="E99" s="294"/>
      <c r="F99" s="294"/>
      <c r="G99" s="294"/>
      <c r="H99" s="426"/>
      <c r="I99" s="298"/>
      <c r="J99" s="426"/>
      <c r="K99" s="298"/>
      <c r="L99" s="426"/>
      <c r="M99" s="298"/>
      <c r="N99" s="294"/>
      <c r="O99" s="553"/>
      <c r="P99" s="553"/>
      <c r="Q99" s="124"/>
      <c r="R99" s="281"/>
      <c r="S99" s="583">
        <f t="shared" si="20"/>
        <v>0</v>
      </c>
      <c r="T99" s="281"/>
      <c r="U99" s="281"/>
      <c r="V99" s="281"/>
      <c r="W99" s="281"/>
      <c r="X99" s="281"/>
      <c r="Y99" s="281"/>
      <c r="Z99" s="281"/>
      <c r="AA99" s="281"/>
      <c r="AB99" s="281"/>
      <c r="AC99" s="281"/>
      <c r="AD99" s="281"/>
      <c r="AE99" s="281"/>
      <c r="AF99" s="281"/>
      <c r="AG99" s="281"/>
      <c r="AH99" s="281"/>
      <c r="AI99" s="281"/>
      <c r="AJ99" s="281"/>
      <c r="AK99" s="281"/>
      <c r="AL99" s="281"/>
      <c r="AM99" s="281"/>
    </row>
    <row r="100">
      <c r="A100" s="33" t="s">
        <v>16</v>
      </c>
      <c r="B100" s="94" t="s">
        <v>227</v>
      </c>
      <c r="C100" s="94" t="str">
        <f>VLOOKUP($B100,'Rate card'!$A$4:$G280,2,FALSE)</f>
        <v>Carpentry</v>
      </c>
      <c r="D100" s="94" t="str">
        <f>VLOOKUP($B100,'Rate card'!$A$4:$G280,3,FALSE)</f>
        <v>Bed</v>
      </c>
      <c r="E100" s="94" t="str">
        <f>VLOOKUP($B100,'Rate card'!$A$4:$G280,4,FALSE)</f>
        <v>Laminate Finish</v>
      </c>
      <c r="F100" s="94" t="str">
        <f>VLOOKUP($B100,'Rate card'!$A$4:$G280,5,FALSE)</f>
        <v>MR ply + Inside laminate + finish laminate</v>
      </c>
      <c r="G100" s="94" t="str">
        <f>VLOOKUP($B100,'Rate card'!$A$4:$G280,6,FALSE)</f>
        <v>Sqft</v>
      </c>
      <c r="H100" s="94">
        <v>2200.0</v>
      </c>
      <c r="I100" s="77">
        <f>6*6.5</f>
        <v>39</v>
      </c>
      <c r="J100" s="79">
        <f t="shared" ref="J100:J111" si="37">H100*I100</f>
        <v>85800</v>
      </c>
      <c r="K100" s="77">
        <f>6*6.5</f>
        <v>39</v>
      </c>
      <c r="L100" s="79">
        <f t="shared" ref="L100:L111" si="38">K100*H100</f>
        <v>85800</v>
      </c>
      <c r="M100" s="77">
        <f>6*6.5</f>
        <v>39</v>
      </c>
      <c r="N100" s="95" t="s">
        <v>247</v>
      </c>
      <c r="O100" s="553"/>
      <c r="P100" s="553"/>
      <c r="Q100" s="124">
        <f>VLOOKUP($B100,'Rate card'!$A$4:$J280,7,FALSE)</f>
        <v>1400</v>
      </c>
      <c r="R100" s="281">
        <f t="shared" ref="R100:R101" si="39">I100*Q100</f>
        <v>54600</v>
      </c>
      <c r="S100" s="583">
        <f t="shared" si="20"/>
        <v>0.008872191429</v>
      </c>
      <c r="T100" s="283"/>
      <c r="U100" s="282"/>
      <c r="V100" s="281"/>
      <c r="W100" s="281"/>
      <c r="X100" s="281"/>
      <c r="Y100" s="281"/>
      <c r="Z100" s="281"/>
      <c r="AA100" s="281"/>
      <c r="AB100" s="281"/>
      <c r="AC100" s="281"/>
      <c r="AD100" s="281"/>
      <c r="AE100" s="281"/>
      <c r="AF100" s="281"/>
      <c r="AG100" s="281"/>
      <c r="AH100" s="281"/>
      <c r="AI100" s="281"/>
      <c r="AJ100" s="281"/>
      <c r="AK100" s="281"/>
      <c r="AL100" s="281"/>
      <c r="AM100" s="281"/>
    </row>
    <row r="101">
      <c r="A101" s="33" t="s">
        <v>18</v>
      </c>
      <c r="B101" s="94" t="s">
        <v>230</v>
      </c>
      <c r="C101" s="94" t="str">
        <f>VLOOKUP($B101,'Rate card'!$A$4:$G280,2,FALSE)</f>
        <v>Carpentry</v>
      </c>
      <c r="D101" s="94" t="str">
        <f>VLOOKUP($B101,'Rate card'!$A$4:$G280,3,FALSE)</f>
        <v>Headboard</v>
      </c>
      <c r="E101" s="94" t="str">
        <f>VLOOKUP($B101,'Rate card'!$A$4:$G280,4,FALSE)</f>
        <v>Fabric Finish</v>
      </c>
      <c r="F101" s="94" t="str">
        <f>VLOOKUP($B101,'Rate card'!$A$4:$G280,5,FALSE)</f>
        <v>MR ply panelling + Foam material and labour. Excludes Fabric cost</v>
      </c>
      <c r="G101" s="94" t="str">
        <f>VLOOKUP($B101,'Rate card'!$A$4:$G280,6,FALSE)</f>
        <v>Sqft</v>
      </c>
      <c r="H101" s="94">
        <v>1300.0</v>
      </c>
      <c r="I101" s="77">
        <f>6*3.5</f>
        <v>21</v>
      </c>
      <c r="J101" s="79">
        <f t="shared" si="37"/>
        <v>27300</v>
      </c>
      <c r="K101" s="77">
        <f>6*3.5</f>
        <v>21</v>
      </c>
      <c r="L101" s="79">
        <f t="shared" si="38"/>
        <v>27300</v>
      </c>
      <c r="M101" s="77">
        <f>6*3.5</f>
        <v>21</v>
      </c>
      <c r="N101" s="95" t="s">
        <v>231</v>
      </c>
      <c r="O101" s="553"/>
      <c r="P101" s="553"/>
      <c r="Q101" s="124">
        <f>VLOOKUP($B101,'Rate card'!$A$4:$J280,7,FALSE)</f>
        <v>950</v>
      </c>
      <c r="R101" s="281">
        <f t="shared" si="39"/>
        <v>19950</v>
      </c>
      <c r="S101" s="583">
        <f t="shared" si="20"/>
        <v>0.00282297</v>
      </c>
      <c r="T101" s="283"/>
      <c r="U101" s="282"/>
      <c r="V101" s="281"/>
      <c r="W101" s="281"/>
      <c r="X101" s="281"/>
      <c r="Y101" s="281"/>
      <c r="Z101" s="281"/>
      <c r="AA101" s="281"/>
      <c r="AB101" s="281"/>
      <c r="AC101" s="281"/>
      <c r="AD101" s="281"/>
      <c r="AE101" s="281"/>
      <c r="AF101" s="281"/>
      <c r="AG101" s="281"/>
      <c r="AH101" s="281"/>
      <c r="AI101" s="281"/>
      <c r="AJ101" s="281"/>
      <c r="AK101" s="281"/>
      <c r="AL101" s="281"/>
      <c r="AM101" s="281"/>
    </row>
    <row r="102">
      <c r="A102" s="33" t="s">
        <v>24</v>
      </c>
      <c r="B102" s="62" t="s">
        <v>232</v>
      </c>
      <c r="C102" s="94" t="str">
        <f>VLOOKUP($B102,'Rate card'!$A$4:$G280,2,FALSE)</f>
        <v>Carpentry</v>
      </c>
      <c r="D102" s="62" t="s">
        <v>233</v>
      </c>
      <c r="E102" s="94" t="str">
        <f>VLOOKUP($B102,'Rate card'!$A$4:$G280,4,FALSE)</f>
        <v>Laminate Finish</v>
      </c>
      <c r="F102" s="94" t="str">
        <f>VLOOKUP($B102,'Rate card'!$A$4:$G280,5,FALSE)</f>
        <v>MR ply + Inside laminate + finish laminate (1 Drawer)</v>
      </c>
      <c r="G102" s="94" t="str">
        <f>VLOOKUP($B102,'Rate card'!$A$4:$G280,6,FALSE)</f>
        <v>Nos</v>
      </c>
      <c r="H102" s="62">
        <v>20000.0</v>
      </c>
      <c r="I102" s="78" t="s">
        <v>16</v>
      </c>
      <c r="J102" s="79">
        <f t="shared" si="37"/>
        <v>20000</v>
      </c>
      <c r="K102" s="78" t="s">
        <v>16</v>
      </c>
      <c r="L102" s="79">
        <f t="shared" si="38"/>
        <v>20000</v>
      </c>
      <c r="M102" s="77" t="s">
        <v>16</v>
      </c>
      <c r="N102" s="75" t="s">
        <v>233</v>
      </c>
      <c r="O102" s="553"/>
      <c r="P102" s="553"/>
      <c r="Q102" s="124"/>
      <c r="R102" s="281"/>
      <c r="S102" s="583">
        <f t="shared" si="20"/>
        <v>0.00206810989</v>
      </c>
      <c r="T102" s="281"/>
      <c r="U102" s="281"/>
      <c r="V102" s="281"/>
      <c r="W102" s="281"/>
      <c r="X102" s="281"/>
      <c r="Y102" s="281"/>
      <c r="Z102" s="281"/>
      <c r="AA102" s="281"/>
      <c r="AB102" s="281"/>
      <c r="AC102" s="281"/>
      <c r="AD102" s="281"/>
      <c r="AE102" s="281"/>
      <c r="AF102" s="281"/>
      <c r="AG102" s="281"/>
      <c r="AH102" s="281"/>
      <c r="AI102" s="281"/>
      <c r="AJ102" s="281"/>
      <c r="AK102" s="281"/>
      <c r="AL102" s="281"/>
      <c r="AM102" s="281"/>
    </row>
    <row r="103">
      <c r="A103" s="33" t="s">
        <v>27</v>
      </c>
      <c r="B103" s="62" t="s">
        <v>248</v>
      </c>
      <c r="C103" s="94" t="str">
        <f>VLOOKUP($B103,'Rate card'!$A$4:$G280,2,FALSE)</f>
        <v>Carpentry</v>
      </c>
      <c r="D103" s="94" t="str">
        <f>VLOOKUP($B103,'Rate card'!$A$4:$G280,3,FALSE)</f>
        <v>Study Table</v>
      </c>
      <c r="E103" s="94" t="str">
        <f>VLOOKUP($B103,'Rate card'!$A$4:$G280,4,FALSE)</f>
        <v>Laminate Finish</v>
      </c>
      <c r="F103" s="94" t="str">
        <f>VLOOKUP($B103,'Rate card'!$A$4:$G280,5,FALSE)</f>
        <v>MR ply + Inside laminate + finish laminate (2 pencil drawers)</v>
      </c>
      <c r="G103" s="94" t="str">
        <f>VLOOKUP($B103,'Rate card'!$A$4:$G280,6,FALSE)</f>
        <v>Rft</v>
      </c>
      <c r="H103" s="62">
        <v>4500.0</v>
      </c>
      <c r="I103" s="78" t="s">
        <v>27</v>
      </c>
      <c r="J103" s="79">
        <f t="shared" si="37"/>
        <v>18000</v>
      </c>
      <c r="K103" s="78" t="s">
        <v>30</v>
      </c>
      <c r="L103" s="79">
        <f t="shared" si="38"/>
        <v>22500</v>
      </c>
      <c r="M103" s="77" t="s">
        <v>27</v>
      </c>
      <c r="N103" s="75" t="s">
        <v>249</v>
      </c>
      <c r="O103" s="553"/>
      <c r="P103" s="553"/>
      <c r="Q103" s="124"/>
      <c r="R103" s="281"/>
      <c r="S103" s="583">
        <f t="shared" si="20"/>
        <v>0.002326623627</v>
      </c>
      <c r="T103" s="597"/>
      <c r="U103" s="2"/>
      <c r="V103" s="281"/>
      <c r="W103" s="281"/>
      <c r="X103" s="281"/>
      <c r="Y103" s="281"/>
      <c r="Z103" s="281"/>
      <c r="AA103" s="281"/>
      <c r="AB103" s="281"/>
      <c r="AC103" s="281"/>
      <c r="AD103" s="281"/>
      <c r="AE103" s="281"/>
      <c r="AF103" s="281"/>
      <c r="AG103" s="281"/>
      <c r="AH103" s="281"/>
      <c r="AI103" s="281"/>
      <c r="AJ103" s="281"/>
      <c r="AK103" s="281"/>
      <c r="AL103" s="281"/>
      <c r="AM103" s="281"/>
    </row>
    <row r="104">
      <c r="A104" s="33" t="s">
        <v>30</v>
      </c>
      <c r="B104" s="62" t="s">
        <v>170</v>
      </c>
      <c r="C104" s="94" t="str">
        <f>VLOOKUP($B104,'Rate card'!$A$4:$G280,2,FALSE)</f>
        <v>Carpentry</v>
      </c>
      <c r="D104" s="94" t="str">
        <f>VLOOKUP($B104,'Rate card'!$A$4:$G280,3,FALSE)</f>
        <v>Carcass Storage</v>
      </c>
      <c r="E104" s="94" t="str">
        <f>VLOOKUP($B104,'Rate card'!$A$4:$G280,4,FALSE)</f>
        <v>Laminate Finish</v>
      </c>
      <c r="F104" s="94" t="str">
        <f>VLOOKUP($B104,'Rate card'!$A$4:$G280,5,FALSE)</f>
        <v>MR ply + Inside laminate + finish laminate</v>
      </c>
      <c r="G104" s="94" t="str">
        <f>VLOOKUP($B104,'Rate card'!$A$4:$G280,6,FALSE)</f>
        <v>Sqft</v>
      </c>
      <c r="H104" s="94">
        <f>VLOOKUP($B104,'Rate card'!$A$4:$J280,8,FALSE)</f>
        <v>1800</v>
      </c>
      <c r="I104" s="78" t="s">
        <v>121</v>
      </c>
      <c r="J104" s="79">
        <f t="shared" si="37"/>
        <v>36000</v>
      </c>
      <c r="K104" s="78" t="s">
        <v>613</v>
      </c>
      <c r="L104" s="79">
        <f t="shared" si="38"/>
        <v>50400</v>
      </c>
      <c r="M104" s="77" t="s">
        <v>121</v>
      </c>
      <c r="N104" s="75" t="s">
        <v>250</v>
      </c>
      <c r="O104" s="553"/>
      <c r="P104" s="553"/>
      <c r="Q104" s="124"/>
      <c r="R104" s="281"/>
      <c r="S104" s="583">
        <f t="shared" si="20"/>
        <v>0.005211636923</v>
      </c>
      <c r="T104" s="597"/>
      <c r="U104" s="2"/>
      <c r="V104" s="281"/>
      <c r="W104" s="281"/>
      <c r="X104" s="281"/>
      <c r="Y104" s="281"/>
      <c r="Z104" s="281"/>
      <c r="AA104" s="281"/>
      <c r="AB104" s="281"/>
      <c r="AC104" s="281"/>
      <c r="AD104" s="281"/>
      <c r="AE104" s="281"/>
      <c r="AF104" s="281"/>
      <c r="AG104" s="281"/>
      <c r="AH104" s="281"/>
      <c r="AI104" s="281"/>
      <c r="AJ104" s="281"/>
      <c r="AK104" s="281"/>
      <c r="AL104" s="281"/>
      <c r="AM104" s="281"/>
    </row>
    <row r="105">
      <c r="A105" s="33" t="s">
        <v>32</v>
      </c>
      <c r="B105" s="62" t="s">
        <v>170</v>
      </c>
      <c r="C105" s="94" t="str">
        <f>VLOOKUP($B105,'Rate card'!$A$4:$G280,2,FALSE)</f>
        <v>Carpentry</v>
      </c>
      <c r="D105" s="94" t="str">
        <f>VLOOKUP($B105,'Rate card'!$A$4:$G280,3,FALSE)</f>
        <v>Carcass Storage</v>
      </c>
      <c r="E105" s="94" t="str">
        <f>VLOOKUP($B105,'Rate card'!$A$4:$G280,4,FALSE)</f>
        <v>Laminate Finish</v>
      </c>
      <c r="F105" s="94" t="str">
        <f>VLOOKUP($B105,'Rate card'!$A$4:$G280,5,FALSE)</f>
        <v>MR ply + Inside laminate + finish laminate</v>
      </c>
      <c r="G105" s="94" t="str">
        <f>VLOOKUP($B105,'Rate card'!$A$4:$G280,6,FALSE)</f>
        <v>Sqft</v>
      </c>
      <c r="H105" s="94">
        <f>VLOOKUP($B105,'Rate card'!$A$4:$J280,8,FALSE)</f>
        <v>1800</v>
      </c>
      <c r="I105" s="78" t="s">
        <v>116</v>
      </c>
      <c r="J105" s="79">
        <f t="shared" si="37"/>
        <v>32400</v>
      </c>
      <c r="K105" s="78" t="s">
        <v>622</v>
      </c>
      <c r="L105" s="79">
        <f t="shared" si="38"/>
        <v>81000</v>
      </c>
      <c r="M105" s="77" t="s">
        <v>116</v>
      </c>
      <c r="N105" s="75" t="s">
        <v>251</v>
      </c>
      <c r="O105" s="553"/>
      <c r="P105" s="553"/>
      <c r="Q105" s="124"/>
      <c r="R105" s="281"/>
      <c r="S105" s="583">
        <f t="shared" si="20"/>
        <v>0.008375845056</v>
      </c>
      <c r="T105" s="597"/>
      <c r="U105" s="2"/>
      <c r="V105" s="281"/>
      <c r="W105" s="281"/>
      <c r="X105" s="281"/>
      <c r="Y105" s="281"/>
      <c r="Z105" s="281"/>
      <c r="AA105" s="281"/>
      <c r="AB105" s="281"/>
      <c r="AC105" s="281"/>
      <c r="AD105" s="281"/>
      <c r="AE105" s="281"/>
      <c r="AF105" s="281"/>
      <c r="AG105" s="281"/>
      <c r="AH105" s="281"/>
      <c r="AI105" s="281"/>
      <c r="AJ105" s="281"/>
      <c r="AK105" s="281"/>
      <c r="AL105" s="281"/>
      <c r="AM105" s="281"/>
    </row>
    <row r="106">
      <c r="A106" s="33" t="s">
        <v>34</v>
      </c>
      <c r="B106" s="62" t="s">
        <v>236</v>
      </c>
      <c r="C106" s="94" t="str">
        <f>VLOOKUP($B106,'Rate card'!$A$4:$G280,2,FALSE)</f>
        <v>Carpentry</v>
      </c>
      <c r="D106" s="94" t="str">
        <f>VLOOKUP($B106,'Rate card'!$A$4:$G280,3,FALSE)</f>
        <v>Panelling with framing</v>
      </c>
      <c r="E106" s="94" t="str">
        <f>VLOOKUP($B106,'Rate card'!$A$4:$G280,4,FALSE)</f>
        <v>Mirror Finish</v>
      </c>
      <c r="F106" s="94" t="str">
        <f>VLOOKUP($B106,'Rate card'!$A$4:$G280,5,FALSE)</f>
        <v>MR ply + ply framing + 5mm clear mirror</v>
      </c>
      <c r="G106" s="94" t="str">
        <f>VLOOKUP($B106,'Rate card'!$A$4:$G280,6,FALSE)</f>
        <v>Sqft</v>
      </c>
      <c r="H106" s="94">
        <f>VLOOKUP($B106,'Rate card'!$A$4:$J280,8,FALSE)</f>
        <v>750</v>
      </c>
      <c r="I106" s="78">
        <f>2*5</f>
        <v>10</v>
      </c>
      <c r="J106" s="79">
        <f t="shared" si="37"/>
        <v>7500</v>
      </c>
      <c r="K106" s="78">
        <f>2*5</f>
        <v>10</v>
      </c>
      <c r="L106" s="79">
        <f t="shared" si="38"/>
        <v>7500</v>
      </c>
      <c r="M106" s="77">
        <f>2*5</f>
        <v>10</v>
      </c>
      <c r="N106" s="75" t="s">
        <v>237</v>
      </c>
      <c r="O106" s="553"/>
      <c r="P106" s="553"/>
      <c r="Q106" s="124"/>
      <c r="R106" s="281"/>
      <c r="S106" s="583">
        <f t="shared" si="20"/>
        <v>0.0007755412088</v>
      </c>
      <c r="T106" s="281"/>
      <c r="U106" s="281"/>
      <c r="V106" s="281"/>
      <c r="W106" s="281"/>
      <c r="X106" s="281"/>
      <c r="Y106" s="281"/>
      <c r="Z106" s="281"/>
      <c r="AA106" s="281"/>
      <c r="AB106" s="281"/>
      <c r="AC106" s="281"/>
      <c r="AD106" s="281"/>
      <c r="AE106" s="281"/>
      <c r="AF106" s="281"/>
      <c r="AG106" s="281"/>
      <c r="AH106" s="281"/>
      <c r="AI106" s="281"/>
      <c r="AJ106" s="281"/>
      <c r="AK106" s="281"/>
      <c r="AL106" s="281"/>
      <c r="AM106" s="281"/>
    </row>
    <row r="107">
      <c r="A107" s="33" t="s">
        <v>36</v>
      </c>
      <c r="B107" s="62" t="s">
        <v>252</v>
      </c>
      <c r="C107" s="94" t="str">
        <f>VLOOKUP($B107,'Rate card'!$A$4:$G280,2,FALSE)</f>
        <v>Carpentry</v>
      </c>
      <c r="D107" s="94" t="str">
        <f>VLOOKUP($B107,'Rate card'!$A$4:$G280,3,FALSE)</f>
        <v>Dresser</v>
      </c>
      <c r="E107" s="77" t="str">
        <f>VLOOKUP($B107,'Rate card'!$A$4:$G280,4,FALSE)</f>
        <v>Laminate Finish</v>
      </c>
      <c r="F107" s="77" t="str">
        <f>VLOOKUP($B107,'Rate card'!$A$4:$G280,5,FALSE)</f>
        <v>MRply + Inside laminate + finish laminate </v>
      </c>
      <c r="G107" s="94" t="str">
        <f>VLOOKUP($B107,'Rate card'!$A$4:$G280,6,FALSE)</f>
        <v>Sqft</v>
      </c>
      <c r="H107" s="62">
        <v>1800.0</v>
      </c>
      <c r="I107" s="78" t="s">
        <v>32</v>
      </c>
      <c r="J107" s="79">
        <f t="shared" si="37"/>
        <v>10800</v>
      </c>
      <c r="K107" s="78" t="s">
        <v>32</v>
      </c>
      <c r="L107" s="79">
        <f t="shared" si="38"/>
        <v>10800</v>
      </c>
      <c r="M107" s="77" t="s">
        <v>32</v>
      </c>
      <c r="N107" s="75" t="s">
        <v>234</v>
      </c>
      <c r="O107" s="553"/>
      <c r="P107" s="553"/>
      <c r="Q107" s="605">
        <f>VLOOKUP($B107,'Rate card'!$A$4:$J280,7,FALSE)</f>
        <v>1400</v>
      </c>
      <c r="R107" s="444">
        <f>I107*Q107</f>
        <v>8400</v>
      </c>
      <c r="S107" s="583">
        <f t="shared" si="20"/>
        <v>0.001116779341</v>
      </c>
      <c r="T107" s="281"/>
      <c r="U107" s="281"/>
      <c r="V107" s="281"/>
      <c r="W107" s="281"/>
      <c r="X107" s="281"/>
      <c r="Y107" s="281"/>
      <c r="Z107" s="281"/>
      <c r="AA107" s="281"/>
      <c r="AB107" s="281"/>
      <c r="AC107" s="281"/>
      <c r="AD107" s="281"/>
      <c r="AE107" s="281"/>
      <c r="AF107" s="281"/>
      <c r="AG107" s="281"/>
      <c r="AH107" s="281"/>
      <c r="AI107" s="281"/>
      <c r="AJ107" s="281"/>
      <c r="AK107" s="281"/>
      <c r="AL107" s="281"/>
      <c r="AM107" s="281"/>
    </row>
    <row r="108">
      <c r="A108" s="33" t="s">
        <v>92</v>
      </c>
      <c r="B108" s="62" t="s">
        <v>238</v>
      </c>
      <c r="C108" s="94" t="s">
        <v>31</v>
      </c>
      <c r="D108" s="77" t="s">
        <v>180</v>
      </c>
      <c r="E108" s="94" t="str">
        <f>VLOOKUP($B108,'Rate card'!$A$4:$G280,4,FALSE)</f>
        <v>Laminate Finish</v>
      </c>
      <c r="F108" s="100" t="s">
        <v>239</v>
      </c>
      <c r="G108" s="94" t="str">
        <f>VLOOKUP($B108,'Rate card'!$A$4:$G280,6,FALSE)</f>
        <v>Sqft</v>
      </c>
      <c r="H108" s="94">
        <f>VLOOKUP($B108,'Rate card'!$A$4:$J280,8,FALSE)</f>
        <v>650</v>
      </c>
      <c r="I108" s="78" t="s">
        <v>64</v>
      </c>
      <c r="J108" s="79">
        <f t="shared" si="37"/>
        <v>26000</v>
      </c>
      <c r="K108" s="78" t="s">
        <v>64</v>
      </c>
      <c r="L108" s="79">
        <f t="shared" si="38"/>
        <v>26000</v>
      </c>
      <c r="M108" s="77" t="s">
        <v>64</v>
      </c>
      <c r="N108" s="80" t="s">
        <v>241</v>
      </c>
      <c r="O108" s="553"/>
      <c r="P108" s="553"/>
      <c r="Q108" s="282"/>
      <c r="R108" s="281"/>
      <c r="S108" s="583">
        <f t="shared" si="20"/>
        <v>0.002688542857</v>
      </c>
      <c r="T108" s="281"/>
      <c r="U108" s="281"/>
      <c r="V108" s="281"/>
      <c r="W108" s="281"/>
      <c r="X108" s="281"/>
      <c r="Y108" s="281"/>
      <c r="Z108" s="281"/>
      <c r="AA108" s="281"/>
      <c r="AB108" s="281"/>
      <c r="AC108" s="281"/>
      <c r="AD108" s="281"/>
      <c r="AE108" s="281"/>
      <c r="AF108" s="281"/>
      <c r="AG108" s="281"/>
      <c r="AH108" s="281"/>
      <c r="AI108" s="281"/>
      <c r="AJ108" s="281"/>
      <c r="AK108" s="281"/>
      <c r="AL108" s="281"/>
      <c r="AM108" s="281"/>
    </row>
    <row r="109">
      <c r="A109" s="33" t="s">
        <v>95</v>
      </c>
      <c r="B109" s="62" t="s">
        <v>243</v>
      </c>
      <c r="C109" s="94" t="str">
        <f>VLOOKUP($B109,'Rate card'!$A$4:$G280,2,FALSE)</f>
        <v>Carpentry</v>
      </c>
      <c r="D109" s="94" t="str">
        <f>VLOOKUP($B109,'Rate card'!$A$4:$G280,3,FALSE)</f>
        <v>Wardrobe</v>
      </c>
      <c r="E109" s="62" t="s">
        <v>253</v>
      </c>
      <c r="F109" s="94" t="str">
        <f>VLOOKUP($B109,'Rate card'!$A$4:$G280,5,FALSE)</f>
        <v>MR ply + Inside laminate + finish laminate. (Includes 4 pencil drawers, Handles of base rate Rs.1000/pc)</v>
      </c>
      <c r="G109" s="94" t="str">
        <f>VLOOKUP($B109,'Rate card'!$A$4:$G280,6,FALSE)</f>
        <v>Sqft</v>
      </c>
      <c r="H109" s="62">
        <v>2500.0</v>
      </c>
      <c r="I109" s="78">
        <f>5*10</f>
        <v>50</v>
      </c>
      <c r="J109" s="79">
        <f t="shared" si="37"/>
        <v>125000</v>
      </c>
      <c r="K109" s="78">
        <f>5*10</f>
        <v>50</v>
      </c>
      <c r="L109" s="79">
        <f t="shared" si="38"/>
        <v>125000</v>
      </c>
      <c r="M109" s="77">
        <f>5*10</f>
        <v>50</v>
      </c>
      <c r="N109" s="75" t="s">
        <v>254</v>
      </c>
      <c r="O109" s="553"/>
      <c r="P109" s="553"/>
      <c r="Q109" s="124"/>
      <c r="R109" s="281"/>
      <c r="S109" s="583">
        <f t="shared" si="20"/>
        <v>0.01292568681</v>
      </c>
      <c r="T109" s="50"/>
      <c r="U109" s="2"/>
      <c r="V109" s="281"/>
      <c r="W109" s="281"/>
      <c r="X109" s="281"/>
      <c r="Y109" s="281"/>
      <c r="Z109" s="281"/>
      <c r="AA109" s="281"/>
      <c r="AB109" s="281"/>
      <c r="AC109" s="281"/>
      <c r="AD109" s="281"/>
      <c r="AE109" s="281"/>
      <c r="AF109" s="281"/>
      <c r="AG109" s="281"/>
      <c r="AH109" s="281"/>
      <c r="AI109" s="281"/>
      <c r="AJ109" s="281"/>
      <c r="AK109" s="281"/>
      <c r="AL109" s="281"/>
      <c r="AM109" s="281"/>
    </row>
    <row r="110">
      <c r="A110" s="33" t="s">
        <v>95</v>
      </c>
      <c r="B110" s="62" t="s">
        <v>243</v>
      </c>
      <c r="C110" s="94" t="str">
        <f>VLOOKUP($B110,'Rate card'!$A$4:$G280,2,FALSE)</f>
        <v>Carpentry</v>
      </c>
      <c r="D110" s="94" t="str">
        <f>VLOOKUP($B110,'Rate card'!$A$4:$G280,3,FALSE)</f>
        <v>Wardrobe</v>
      </c>
      <c r="E110" s="62" t="s">
        <v>253</v>
      </c>
      <c r="F110" s="94" t="str">
        <f>VLOOKUP($B110,'Rate card'!$A$4:$G280,5,FALSE)</f>
        <v>MR ply + Inside laminate + finish laminate. (Includes 4 pencil drawers, Handles of base rate Rs.1000/pc)</v>
      </c>
      <c r="G110" s="94" t="str">
        <f>VLOOKUP($B110,'Rate card'!$A$4:$G280,6,FALSE)</f>
        <v>Sqft</v>
      </c>
      <c r="H110" s="62">
        <v>2500.0</v>
      </c>
      <c r="I110" s="78">
        <f>4.25*10</f>
        <v>42.5</v>
      </c>
      <c r="J110" s="79">
        <f t="shared" si="37"/>
        <v>106250</v>
      </c>
      <c r="K110" s="78">
        <f>4.25*10</f>
        <v>42.5</v>
      </c>
      <c r="L110" s="79">
        <f t="shared" si="38"/>
        <v>106250</v>
      </c>
      <c r="M110" s="77">
        <f>4.25*10</f>
        <v>42.5</v>
      </c>
      <c r="N110" s="75" t="s">
        <v>255</v>
      </c>
      <c r="O110" s="553"/>
      <c r="P110" s="553"/>
      <c r="Q110" s="124"/>
      <c r="R110" s="281"/>
      <c r="S110" s="583">
        <f t="shared" si="20"/>
        <v>0.01098683379</v>
      </c>
      <c r="T110" s="50"/>
      <c r="U110" s="2"/>
      <c r="V110" s="281"/>
      <c r="W110" s="281"/>
      <c r="X110" s="281"/>
      <c r="Y110" s="281"/>
      <c r="Z110" s="281"/>
      <c r="AA110" s="281"/>
      <c r="AB110" s="281"/>
      <c r="AC110" s="281"/>
      <c r="AD110" s="281"/>
      <c r="AE110" s="281"/>
      <c r="AF110" s="281"/>
      <c r="AG110" s="281"/>
      <c r="AH110" s="281"/>
      <c r="AI110" s="281"/>
      <c r="AJ110" s="281"/>
      <c r="AK110" s="281"/>
      <c r="AL110" s="281"/>
      <c r="AM110" s="281"/>
    </row>
    <row r="111">
      <c r="A111" s="33" t="s">
        <v>97</v>
      </c>
      <c r="B111" s="62" t="s">
        <v>179</v>
      </c>
      <c r="C111" s="94" t="str">
        <f>VLOOKUP($B111,'Rate card'!$A$4:$G280,2,FALSE)</f>
        <v>Carpentry</v>
      </c>
      <c r="D111" s="94" t="str">
        <f>VLOOKUP($B111,'Rate card'!$A$4:$G280,3,FALSE)</f>
        <v>Panelling with framing</v>
      </c>
      <c r="E111" s="94" t="str">
        <f>VLOOKUP($B111,'Rate card'!$A$4:$G280,4,FALSE)</f>
        <v>MDF</v>
      </c>
      <c r="F111" s="94" t="str">
        <f>VLOOKUP($B111,'Rate card'!$A$4:$G280,5,FALSE)</f>
        <v>MR ply + ply framing + 12mm MDF</v>
      </c>
      <c r="G111" s="94" t="str">
        <f>VLOOKUP($B111,'Rate card'!$A$4:$G280,6,FALSE)</f>
        <v>Sqft</v>
      </c>
      <c r="H111" s="62">
        <v>600.0</v>
      </c>
      <c r="I111" s="78">
        <f>12*2.5</f>
        <v>30</v>
      </c>
      <c r="J111" s="79">
        <f t="shared" si="37"/>
        <v>18000</v>
      </c>
      <c r="K111" s="78">
        <f>12*2.5</f>
        <v>30</v>
      </c>
      <c r="L111" s="79">
        <f t="shared" si="38"/>
        <v>18000</v>
      </c>
      <c r="M111" s="77">
        <f>12*2.5</f>
        <v>30</v>
      </c>
      <c r="N111" s="75" t="s">
        <v>245</v>
      </c>
      <c r="O111" s="553"/>
      <c r="P111" s="553"/>
      <c r="Q111" s="124"/>
      <c r="R111" s="281"/>
      <c r="S111" s="583">
        <f t="shared" si="20"/>
        <v>0.001861298901</v>
      </c>
      <c r="T111" s="281"/>
      <c r="U111" s="281"/>
      <c r="V111" s="281"/>
      <c r="W111" s="281"/>
      <c r="X111" s="281"/>
      <c r="Y111" s="281"/>
      <c r="Z111" s="281"/>
      <c r="AA111" s="281"/>
      <c r="AB111" s="281"/>
      <c r="AC111" s="281"/>
      <c r="AD111" s="281"/>
      <c r="AE111" s="281"/>
      <c r="AF111" s="281"/>
      <c r="AG111" s="281"/>
      <c r="AH111" s="281"/>
      <c r="AI111" s="281"/>
      <c r="AJ111" s="281"/>
      <c r="AK111" s="281"/>
      <c r="AL111" s="281"/>
      <c r="AM111" s="281"/>
    </row>
    <row r="112">
      <c r="A112" s="30" t="s">
        <v>256</v>
      </c>
      <c r="B112" s="294"/>
      <c r="C112" s="294"/>
      <c r="D112" s="294"/>
      <c r="E112" s="294"/>
      <c r="F112" s="294"/>
      <c r="G112" s="294"/>
      <c r="H112" s="426"/>
      <c r="I112" s="298"/>
      <c r="J112" s="426"/>
      <c r="K112" s="298"/>
      <c r="L112" s="426"/>
      <c r="M112" s="298"/>
      <c r="N112" s="294"/>
      <c r="O112" s="553"/>
      <c r="P112" s="553"/>
      <c r="Q112" s="124"/>
      <c r="R112" s="281"/>
      <c r="S112" s="583">
        <f t="shared" si="20"/>
        <v>0</v>
      </c>
      <c r="T112" s="281"/>
      <c r="U112" s="281"/>
      <c r="V112" s="281"/>
      <c r="W112" s="281"/>
      <c r="X112" s="281"/>
      <c r="Y112" s="281"/>
      <c r="Z112" s="281"/>
      <c r="AA112" s="281"/>
      <c r="AB112" s="281"/>
      <c r="AC112" s="281"/>
      <c r="AD112" s="281"/>
      <c r="AE112" s="281"/>
      <c r="AF112" s="281"/>
      <c r="AG112" s="281"/>
      <c r="AH112" s="281"/>
      <c r="AI112" s="281"/>
      <c r="AJ112" s="281"/>
      <c r="AK112" s="281"/>
      <c r="AL112" s="281"/>
      <c r="AM112" s="281"/>
    </row>
    <row r="113">
      <c r="A113" s="31" t="s">
        <v>16</v>
      </c>
      <c r="B113" s="62" t="s">
        <v>227</v>
      </c>
      <c r="C113" s="94" t="str">
        <f>VLOOKUP($B113,'Rate card'!$A$4:$G280,2,FALSE)</f>
        <v>Carpentry</v>
      </c>
      <c r="D113" s="94" t="str">
        <f>VLOOKUP($B113,'Rate card'!$A$4:$G280,3,FALSE)</f>
        <v>Bed</v>
      </c>
      <c r="E113" s="94" t="str">
        <f>VLOOKUP($B113,'Rate card'!$A$4:$G280,4,FALSE)</f>
        <v>Laminate Finish</v>
      </c>
      <c r="F113" s="94" t="s">
        <v>228</v>
      </c>
      <c r="G113" s="94" t="str">
        <f>VLOOKUP($B113,'Rate card'!$A$4:$G280,6,FALSE)</f>
        <v>Sqft</v>
      </c>
      <c r="H113" s="62">
        <v>2200.0</v>
      </c>
      <c r="I113" s="78">
        <f t="shared" ref="I113:I114" si="40">I100</f>
        <v>39</v>
      </c>
      <c r="J113" s="79">
        <f t="shared" ref="J113:J123" si="41">H113*I113</f>
        <v>85800</v>
      </c>
      <c r="K113" s="78">
        <f t="shared" ref="K113:K114" si="42">K100</f>
        <v>39</v>
      </c>
      <c r="L113" s="79">
        <f t="shared" ref="L113:L123" si="43">K113*H113</f>
        <v>85800</v>
      </c>
      <c r="M113" s="77">
        <f t="shared" ref="M113:M114" si="44">M100</f>
        <v>39</v>
      </c>
      <c r="N113" s="75" t="s">
        <v>247</v>
      </c>
      <c r="O113" s="553"/>
      <c r="P113" s="553"/>
      <c r="Q113" s="124">
        <f>VLOOKUP($B113,'Rate card'!$A$4:$J280,7,FALSE)</f>
        <v>1400</v>
      </c>
      <c r="R113" s="281">
        <f t="shared" ref="R113:R114" si="45">I113*Q113</f>
        <v>54600</v>
      </c>
      <c r="S113" s="583">
        <f t="shared" si="20"/>
        <v>0.008872191429</v>
      </c>
      <c r="T113" s="281"/>
      <c r="U113" s="281"/>
      <c r="V113" s="281"/>
      <c r="W113" s="281"/>
      <c r="X113" s="281"/>
      <c r="Y113" s="281"/>
      <c r="Z113" s="281"/>
      <c r="AA113" s="281"/>
      <c r="AB113" s="281"/>
      <c r="AC113" s="281"/>
      <c r="AD113" s="281"/>
      <c r="AE113" s="281"/>
      <c r="AF113" s="281"/>
      <c r="AG113" s="281"/>
      <c r="AH113" s="281"/>
      <c r="AI113" s="281"/>
      <c r="AJ113" s="281"/>
      <c r="AK113" s="281"/>
      <c r="AL113" s="281"/>
      <c r="AM113" s="281"/>
    </row>
    <row r="114">
      <c r="A114" s="31" t="s">
        <v>18</v>
      </c>
      <c r="B114" s="62" t="s">
        <v>230</v>
      </c>
      <c r="C114" s="94" t="str">
        <f>VLOOKUP($B114,'Rate card'!$A$4:$G280,2,FALSE)</f>
        <v>Carpentry</v>
      </c>
      <c r="D114" s="94" t="str">
        <f>VLOOKUP($B114,'Rate card'!$A$4:$G280,3,FALSE)</f>
        <v>Headboard</v>
      </c>
      <c r="E114" s="94" t="str">
        <f>VLOOKUP($B114,'Rate card'!$A$4:$G280,4,FALSE)</f>
        <v>Fabric Finish</v>
      </c>
      <c r="F114" s="94" t="str">
        <f>VLOOKUP($B114,'Rate card'!$A$4:$G280,5,FALSE)</f>
        <v>MR ply panelling + Foam material and labour. Excludes Fabric cost</v>
      </c>
      <c r="G114" s="94" t="str">
        <f>VLOOKUP($B114,'Rate card'!$A$4:$G280,6,FALSE)</f>
        <v>Sqft</v>
      </c>
      <c r="H114" s="62">
        <v>1300.0</v>
      </c>
      <c r="I114" s="78">
        <f t="shared" si="40"/>
        <v>21</v>
      </c>
      <c r="J114" s="79">
        <f t="shared" si="41"/>
        <v>27300</v>
      </c>
      <c r="K114" s="78">
        <f t="shared" si="42"/>
        <v>21</v>
      </c>
      <c r="L114" s="79">
        <f t="shared" si="43"/>
        <v>27300</v>
      </c>
      <c r="M114" s="77">
        <f t="shared" si="44"/>
        <v>21</v>
      </c>
      <c r="N114" s="75" t="s">
        <v>231</v>
      </c>
      <c r="O114" s="553"/>
      <c r="P114" s="553"/>
      <c r="Q114" s="124">
        <f>VLOOKUP($B114,'Rate card'!$A$4:$J280,7,FALSE)</f>
        <v>950</v>
      </c>
      <c r="R114" s="281">
        <f t="shared" si="45"/>
        <v>19950</v>
      </c>
      <c r="S114" s="583">
        <f t="shared" si="20"/>
        <v>0.00282297</v>
      </c>
      <c r="T114" s="281"/>
      <c r="U114" s="281"/>
      <c r="V114" s="281"/>
      <c r="W114" s="281"/>
      <c r="X114" s="281"/>
      <c r="Y114" s="281"/>
      <c r="Z114" s="281"/>
      <c r="AA114" s="281"/>
      <c r="AB114" s="281"/>
      <c r="AC114" s="281"/>
      <c r="AD114" s="281"/>
      <c r="AE114" s="281"/>
      <c r="AF114" s="281"/>
      <c r="AG114" s="281"/>
      <c r="AH114" s="281"/>
      <c r="AI114" s="281"/>
      <c r="AJ114" s="281"/>
      <c r="AK114" s="281"/>
      <c r="AL114" s="281"/>
      <c r="AM114" s="281"/>
    </row>
    <row r="115">
      <c r="A115" s="31" t="s">
        <v>24</v>
      </c>
      <c r="B115" s="62" t="s">
        <v>232</v>
      </c>
      <c r="C115" s="94" t="str">
        <f>VLOOKUP($B115,'Rate card'!$A$4:$G280,2,FALSE)</f>
        <v>Carpentry</v>
      </c>
      <c r="D115" s="62" t="s">
        <v>233</v>
      </c>
      <c r="E115" s="94" t="str">
        <f>VLOOKUP($B115,'Rate card'!$A$4:$G280,4,FALSE)</f>
        <v>Laminate Finish</v>
      </c>
      <c r="F115" s="94" t="str">
        <f>VLOOKUP($B115,'Rate card'!$A$4:$G280,5,FALSE)</f>
        <v>MR ply + Inside laminate + finish laminate (1 Drawer)</v>
      </c>
      <c r="G115" s="94" t="str">
        <f>VLOOKUP($B115,'Rate card'!$A$4:$G280,6,FALSE)</f>
        <v>Nos</v>
      </c>
      <c r="H115" s="62">
        <v>20000.0</v>
      </c>
      <c r="I115" s="78" t="s">
        <v>18</v>
      </c>
      <c r="J115" s="79">
        <f t="shared" si="41"/>
        <v>40000</v>
      </c>
      <c r="K115" s="78" t="s">
        <v>18</v>
      </c>
      <c r="L115" s="79">
        <f t="shared" si="43"/>
        <v>40000</v>
      </c>
      <c r="M115" s="77" t="s">
        <v>18</v>
      </c>
      <c r="N115" s="75" t="s">
        <v>233</v>
      </c>
      <c r="O115" s="553"/>
      <c r="P115" s="553"/>
      <c r="Q115" s="124"/>
      <c r="R115" s="281"/>
      <c r="S115" s="583">
        <f t="shared" si="20"/>
        <v>0.004136219781</v>
      </c>
      <c r="T115" s="281"/>
      <c r="U115" s="281"/>
      <c r="V115" s="281"/>
      <c r="W115" s="281"/>
      <c r="X115" s="281"/>
      <c r="Y115" s="281"/>
      <c r="Z115" s="281"/>
      <c r="AA115" s="281"/>
      <c r="AB115" s="281"/>
      <c r="AC115" s="281"/>
      <c r="AD115" s="281"/>
      <c r="AE115" s="281"/>
      <c r="AF115" s="281"/>
      <c r="AG115" s="281"/>
      <c r="AH115" s="281"/>
      <c r="AI115" s="281"/>
      <c r="AJ115" s="281"/>
      <c r="AK115" s="281"/>
      <c r="AL115" s="281"/>
      <c r="AM115" s="281"/>
    </row>
    <row r="116">
      <c r="A116" s="31" t="s">
        <v>27</v>
      </c>
      <c r="B116" s="62" t="s">
        <v>248</v>
      </c>
      <c r="C116" s="94" t="str">
        <f>VLOOKUP($B116,'Rate card'!$A$4:$G280,2,FALSE)</f>
        <v>Carpentry</v>
      </c>
      <c r="D116" s="94" t="str">
        <f>VLOOKUP($B116,'Rate card'!$A$4:$G280,3,FALSE)</f>
        <v>Study Table</v>
      </c>
      <c r="E116" s="94" t="str">
        <f>VLOOKUP($B116,'Rate card'!$A$4:$G280,4,FALSE)</f>
        <v>Laminate Finish</v>
      </c>
      <c r="F116" s="94" t="str">
        <f>VLOOKUP($B116,'Rate card'!$A$4:$G280,5,FALSE)</f>
        <v>MR ply + Inside laminate + finish laminate (2 pencil drawers)</v>
      </c>
      <c r="G116" s="94" t="str">
        <f>VLOOKUP($B116,'Rate card'!$A$4:$G280,6,FALSE)</f>
        <v>Rft</v>
      </c>
      <c r="H116" s="62">
        <v>4500.0</v>
      </c>
      <c r="I116" s="78" t="s">
        <v>27</v>
      </c>
      <c r="J116" s="79">
        <f t="shared" si="41"/>
        <v>18000</v>
      </c>
      <c r="K116" s="78" t="s">
        <v>30</v>
      </c>
      <c r="L116" s="79">
        <f t="shared" si="43"/>
        <v>22500</v>
      </c>
      <c r="M116" s="77" t="s">
        <v>27</v>
      </c>
      <c r="N116" s="75" t="s">
        <v>249</v>
      </c>
      <c r="O116" s="553"/>
      <c r="P116" s="553"/>
      <c r="Q116" s="124"/>
      <c r="R116" s="281"/>
      <c r="S116" s="583">
        <f t="shared" si="20"/>
        <v>0.002326623627</v>
      </c>
      <c r="T116" s="597"/>
      <c r="U116" s="2"/>
      <c r="V116" s="281"/>
      <c r="W116" s="281"/>
      <c r="X116" s="281"/>
      <c r="Y116" s="281"/>
      <c r="Z116" s="281"/>
      <c r="AA116" s="281"/>
      <c r="AB116" s="281"/>
      <c r="AC116" s="281"/>
      <c r="AD116" s="281"/>
      <c r="AE116" s="281"/>
      <c r="AF116" s="281"/>
      <c r="AG116" s="281"/>
      <c r="AH116" s="281"/>
      <c r="AI116" s="281"/>
      <c r="AJ116" s="281"/>
      <c r="AK116" s="281"/>
      <c r="AL116" s="281"/>
      <c r="AM116" s="281"/>
    </row>
    <row r="117">
      <c r="A117" s="31" t="s">
        <v>30</v>
      </c>
      <c r="B117" s="62" t="s">
        <v>170</v>
      </c>
      <c r="C117" s="94" t="str">
        <f>VLOOKUP($B117,'Rate card'!$A$4:$G280,2,FALSE)</f>
        <v>Carpentry</v>
      </c>
      <c r="D117" s="94" t="str">
        <f>VLOOKUP($B117,'Rate card'!$A$4:$G280,3,FALSE)</f>
        <v>Carcass Storage</v>
      </c>
      <c r="E117" s="94" t="str">
        <f>VLOOKUP($B117,'Rate card'!$A$4:$G280,4,FALSE)</f>
        <v>Laminate Finish</v>
      </c>
      <c r="F117" s="94" t="str">
        <f>VLOOKUP($B117,'Rate card'!$A$4:$G280,5,FALSE)</f>
        <v>MR ply + Inside laminate + finish laminate</v>
      </c>
      <c r="G117" s="94" t="str">
        <f>VLOOKUP($B117,'Rate card'!$A$4:$G280,6,FALSE)</f>
        <v>Sqft</v>
      </c>
      <c r="H117" s="94">
        <f>VLOOKUP($B117,'Rate card'!$A$4:$J280,8,FALSE)</f>
        <v>1800</v>
      </c>
      <c r="I117" s="78">
        <f>4*3</f>
        <v>12</v>
      </c>
      <c r="J117" s="79">
        <f t="shared" si="41"/>
        <v>21600</v>
      </c>
      <c r="K117" s="78" t="s">
        <v>729</v>
      </c>
      <c r="L117" s="79">
        <f t="shared" si="43"/>
        <v>0</v>
      </c>
      <c r="M117" s="77">
        <f>4*3</f>
        <v>12</v>
      </c>
      <c r="N117" s="75" t="s">
        <v>250</v>
      </c>
      <c r="O117" s="553"/>
      <c r="P117" s="553"/>
      <c r="Q117" s="124"/>
      <c r="R117" s="281"/>
      <c r="S117" s="583">
        <f t="shared" si="20"/>
        <v>0</v>
      </c>
      <c r="T117" s="597"/>
      <c r="U117" s="2"/>
      <c r="V117" s="281"/>
      <c r="W117" s="281"/>
      <c r="X117" s="281"/>
      <c r="Y117" s="281"/>
      <c r="Z117" s="281"/>
      <c r="AA117" s="281"/>
      <c r="AB117" s="281"/>
      <c r="AC117" s="281"/>
      <c r="AD117" s="281"/>
      <c r="AE117" s="281"/>
      <c r="AF117" s="281"/>
      <c r="AG117" s="281"/>
      <c r="AH117" s="281"/>
      <c r="AI117" s="281"/>
      <c r="AJ117" s="281"/>
      <c r="AK117" s="281"/>
      <c r="AL117" s="281"/>
      <c r="AM117" s="281"/>
    </row>
    <row r="118">
      <c r="A118" s="31" t="s">
        <v>32</v>
      </c>
      <c r="B118" s="62" t="s">
        <v>170</v>
      </c>
      <c r="C118" s="94" t="str">
        <f>VLOOKUP($B118,'Rate card'!$A$4:$G280,2,FALSE)</f>
        <v>Carpentry</v>
      </c>
      <c r="D118" s="94" t="str">
        <f>VLOOKUP($B118,'Rate card'!$A$4:$G280,3,FALSE)</f>
        <v>Carcass Storage</v>
      </c>
      <c r="E118" s="94" t="str">
        <f>VLOOKUP($B118,'Rate card'!$A$4:$G280,4,FALSE)</f>
        <v>Laminate Finish</v>
      </c>
      <c r="F118" s="94" t="str">
        <f>VLOOKUP($B118,'Rate card'!$A$4:$G280,5,FALSE)</f>
        <v>MR ply + Inside laminate + finish laminate</v>
      </c>
      <c r="G118" s="62" t="s">
        <v>188</v>
      </c>
      <c r="H118" s="62">
        <v>4500.0</v>
      </c>
      <c r="I118" s="78" t="s">
        <v>258</v>
      </c>
      <c r="J118" s="79">
        <f t="shared" si="41"/>
        <v>42750</v>
      </c>
      <c r="K118" s="78" t="s">
        <v>258</v>
      </c>
      <c r="L118" s="79">
        <f t="shared" si="43"/>
        <v>42750</v>
      </c>
      <c r="M118" s="77" t="s">
        <v>258</v>
      </c>
      <c r="N118" s="31" t="s">
        <v>190</v>
      </c>
      <c r="O118" s="553"/>
      <c r="P118" s="553"/>
      <c r="Q118" s="124">
        <f>VLOOKUP($B118,'Rate card'!$A$4:$J280,7,FALSE)</f>
        <v>1350</v>
      </c>
      <c r="R118" s="281">
        <f>I118*Q118</f>
        <v>12825</v>
      </c>
      <c r="S118" s="583">
        <f t="shared" si="20"/>
        <v>0.00442058489</v>
      </c>
      <c r="T118" s="281"/>
      <c r="U118" s="281"/>
      <c r="V118" s="281"/>
      <c r="W118" s="281"/>
      <c r="X118" s="281"/>
      <c r="Y118" s="281"/>
      <c r="Z118" s="281"/>
      <c r="AA118" s="281"/>
      <c r="AB118" s="281"/>
      <c r="AC118" s="281"/>
      <c r="AD118" s="281"/>
      <c r="AE118" s="281"/>
      <c r="AF118" s="281"/>
      <c r="AG118" s="281"/>
      <c r="AH118" s="281"/>
      <c r="AI118" s="281"/>
      <c r="AJ118" s="281"/>
      <c r="AK118" s="281"/>
      <c r="AL118" s="281"/>
      <c r="AM118" s="281"/>
    </row>
    <row r="119">
      <c r="A119" s="31" t="s">
        <v>34</v>
      </c>
      <c r="B119" s="62" t="s">
        <v>236</v>
      </c>
      <c r="C119" s="94" t="str">
        <f>VLOOKUP($B119,'Rate card'!$A$4:$G280,2,FALSE)</f>
        <v>Carpentry</v>
      </c>
      <c r="D119" s="94" t="str">
        <f>VLOOKUP($B119,'Rate card'!$A$4:$G280,3,FALSE)</f>
        <v>Panelling with framing</v>
      </c>
      <c r="E119" s="94" t="str">
        <f>VLOOKUP($B119,'Rate card'!$A$4:$G280,4,FALSE)</f>
        <v>Mirror Finish</v>
      </c>
      <c r="F119" s="94" t="str">
        <f>VLOOKUP($B119,'Rate card'!$A$4:$G280,5,FALSE)</f>
        <v>MR ply + ply framing + 5mm clear mirror</v>
      </c>
      <c r="G119" s="94" t="str">
        <f>VLOOKUP($B119,'Rate card'!$A$4:$G280,6,FALSE)</f>
        <v>Sqft</v>
      </c>
      <c r="H119" s="94">
        <f>VLOOKUP($B119,'Rate card'!$A$4:$J280,8,FALSE)</f>
        <v>750</v>
      </c>
      <c r="I119" s="78">
        <f>2.5*10</f>
        <v>25</v>
      </c>
      <c r="J119" s="79">
        <f t="shared" si="41"/>
        <v>18750</v>
      </c>
      <c r="K119" s="78" t="s">
        <v>729</v>
      </c>
      <c r="L119" s="79">
        <f t="shared" si="43"/>
        <v>0</v>
      </c>
      <c r="M119" s="77">
        <f>2.5*10</f>
        <v>25</v>
      </c>
      <c r="N119" s="75" t="s">
        <v>237</v>
      </c>
      <c r="O119" s="553"/>
      <c r="P119" s="553"/>
      <c r="Q119" s="124"/>
      <c r="R119" s="281"/>
      <c r="S119" s="583">
        <f t="shared" si="20"/>
        <v>0</v>
      </c>
      <c r="T119" s="281"/>
      <c r="U119" s="281"/>
      <c r="V119" s="281"/>
      <c r="W119" s="281"/>
      <c r="X119" s="281"/>
      <c r="Y119" s="281"/>
      <c r="Z119" s="281"/>
      <c r="AA119" s="281"/>
      <c r="AB119" s="281"/>
      <c r="AC119" s="281"/>
      <c r="AD119" s="281"/>
      <c r="AE119" s="281"/>
      <c r="AF119" s="281"/>
      <c r="AG119" s="281"/>
      <c r="AH119" s="281"/>
      <c r="AI119" s="281"/>
      <c r="AJ119" s="281"/>
      <c r="AK119" s="281"/>
      <c r="AL119" s="281"/>
      <c r="AM119" s="281"/>
    </row>
    <row r="120">
      <c r="A120" s="31" t="s">
        <v>36</v>
      </c>
      <c r="B120" s="62" t="s">
        <v>252</v>
      </c>
      <c r="C120" s="94" t="str">
        <f>VLOOKUP($B120,'Rate card'!$A$4:$G280,2,FALSE)</f>
        <v>Carpentry</v>
      </c>
      <c r="D120" s="94" t="str">
        <f>VLOOKUP($B120,'Rate card'!$A$4:$G280,3,FALSE)</f>
        <v>Dresser</v>
      </c>
      <c r="E120" s="77" t="str">
        <f>VLOOKUP($B120,'Rate card'!$A$4:$G280,4,FALSE)</f>
        <v>Laminate Finish</v>
      </c>
      <c r="F120" s="77" t="str">
        <f>VLOOKUP($B120,'Rate card'!$A$4:$G280,5,FALSE)</f>
        <v>MRply + Inside laminate + finish laminate </v>
      </c>
      <c r="G120" s="94" t="str">
        <f>VLOOKUP($B120,'Rate card'!$A$4:$G280,6,FALSE)</f>
        <v>Sqft</v>
      </c>
      <c r="H120" s="62">
        <v>1800.0</v>
      </c>
      <c r="I120" s="78">
        <f>3*7</f>
        <v>21</v>
      </c>
      <c r="J120" s="79">
        <f t="shared" si="41"/>
        <v>37800</v>
      </c>
      <c r="K120" s="78" t="s">
        <v>729</v>
      </c>
      <c r="L120" s="79">
        <f t="shared" si="43"/>
        <v>0</v>
      </c>
      <c r="M120" s="77">
        <f>3*7</f>
        <v>21</v>
      </c>
      <c r="N120" s="75" t="s">
        <v>234</v>
      </c>
      <c r="O120" s="553"/>
      <c r="P120" s="553"/>
      <c r="Q120" s="605">
        <f>VLOOKUP($B120,'Rate card'!$A$4:$J280,7,FALSE)</f>
        <v>1400</v>
      </c>
      <c r="R120" s="444">
        <f>I120*Q120</f>
        <v>29400</v>
      </c>
      <c r="S120" s="583">
        <f t="shared" si="20"/>
        <v>0</v>
      </c>
      <c r="T120" s="281"/>
      <c r="U120" s="281"/>
      <c r="V120" s="281"/>
      <c r="W120" s="281"/>
      <c r="X120" s="281"/>
      <c r="Y120" s="281"/>
      <c r="Z120" s="281"/>
      <c r="AA120" s="281"/>
      <c r="AB120" s="281"/>
      <c r="AC120" s="281"/>
      <c r="AD120" s="281"/>
      <c r="AE120" s="281"/>
      <c r="AF120" s="281"/>
      <c r="AG120" s="281"/>
      <c r="AH120" s="281"/>
      <c r="AI120" s="281"/>
      <c r="AJ120" s="281"/>
      <c r="AK120" s="281"/>
      <c r="AL120" s="281"/>
      <c r="AM120" s="281"/>
    </row>
    <row r="121">
      <c r="A121" s="31" t="s">
        <v>92</v>
      </c>
      <c r="B121" s="62" t="s">
        <v>238</v>
      </c>
      <c r="C121" s="94" t="s">
        <v>31</v>
      </c>
      <c r="D121" s="77" t="s">
        <v>180</v>
      </c>
      <c r="E121" s="94" t="str">
        <f>VLOOKUP($B121,'Rate card'!$A$4:$G280,4,FALSE)</f>
        <v>Laminate Finish</v>
      </c>
      <c r="F121" s="100" t="s">
        <v>239</v>
      </c>
      <c r="G121" s="94" t="str">
        <f>VLOOKUP($B121,'Rate card'!$A$4:$G280,6,FALSE)</f>
        <v>Sqft</v>
      </c>
      <c r="H121" s="62">
        <v>1500.0</v>
      </c>
      <c r="I121" s="78" t="s">
        <v>262</v>
      </c>
      <c r="J121" s="79">
        <f t="shared" si="41"/>
        <v>135000</v>
      </c>
      <c r="K121" s="78" t="s">
        <v>262</v>
      </c>
      <c r="L121" s="79">
        <f t="shared" si="43"/>
        <v>135000</v>
      </c>
      <c r="M121" s="77" t="s">
        <v>262</v>
      </c>
      <c r="N121" s="80" t="s">
        <v>241</v>
      </c>
      <c r="O121" s="553"/>
      <c r="P121" s="553"/>
      <c r="Q121" s="282"/>
      <c r="R121" s="281"/>
      <c r="S121" s="583">
        <f t="shared" si="20"/>
        <v>0.01395974176</v>
      </c>
      <c r="T121" s="281"/>
      <c r="U121" s="281"/>
      <c r="V121" s="281"/>
      <c r="W121" s="281"/>
      <c r="X121" s="281"/>
      <c r="Y121" s="281"/>
      <c r="Z121" s="281"/>
      <c r="AA121" s="281"/>
      <c r="AB121" s="281"/>
      <c r="AC121" s="281"/>
      <c r="AD121" s="281"/>
      <c r="AE121" s="281"/>
      <c r="AF121" s="281"/>
      <c r="AG121" s="281"/>
      <c r="AH121" s="281"/>
      <c r="AI121" s="281"/>
      <c r="AJ121" s="281"/>
      <c r="AK121" s="281"/>
      <c r="AL121" s="281"/>
      <c r="AM121" s="281"/>
    </row>
    <row r="122">
      <c r="A122" s="31" t="s">
        <v>95</v>
      </c>
      <c r="B122" s="62" t="s">
        <v>263</v>
      </c>
      <c r="C122" s="94" t="str">
        <f>VLOOKUP($B122,'Rate card'!$A$4:$G280,2,FALSE)</f>
        <v>Carpentry</v>
      </c>
      <c r="D122" s="94" t="str">
        <f>VLOOKUP($B122,'Rate card'!$A$4:$G280,3,FALSE)</f>
        <v>Wardrobe</v>
      </c>
      <c r="E122" s="62" t="s">
        <v>264</v>
      </c>
      <c r="F122" s="94" t="str">
        <f>VLOOKUP($B122,'Rate card'!$A$4:$G280,5,FALSE)</f>
        <v>MR ply + Inside laminate + Profile section for glass+ 5mm toughned backpainted extra clear glass(Includes 4 pencil drawers, Handles of base rate Rs.1000/pc)</v>
      </c>
      <c r="G122" s="94" t="str">
        <f>VLOOKUP($B122,'Rate card'!$A$4:$G280,6,FALSE)</f>
        <v>Sqft</v>
      </c>
      <c r="H122" s="62">
        <v>2800.0</v>
      </c>
      <c r="I122" s="78">
        <f>6.5*10</f>
        <v>65</v>
      </c>
      <c r="J122" s="79">
        <f t="shared" si="41"/>
        <v>182000</v>
      </c>
      <c r="K122" s="78">
        <f>6.5*9.5</f>
        <v>61.75</v>
      </c>
      <c r="L122" s="79">
        <f t="shared" si="43"/>
        <v>172900</v>
      </c>
      <c r="M122" s="77">
        <f>6.5*10</f>
        <v>65</v>
      </c>
      <c r="N122" s="75" t="s">
        <v>244</v>
      </c>
      <c r="O122" s="553"/>
      <c r="P122" s="553"/>
      <c r="Q122" s="124">
        <f>VLOOKUP($B122,'Rate card'!$A$4:$J280,7,FALSE)</f>
        <v>1800</v>
      </c>
      <c r="R122" s="281">
        <f>I122*Q122</f>
        <v>117000</v>
      </c>
      <c r="S122" s="583">
        <f t="shared" si="20"/>
        <v>0.01787881</v>
      </c>
      <c r="T122" s="281"/>
      <c r="U122" s="281"/>
      <c r="V122" s="281"/>
      <c r="W122" s="281"/>
      <c r="X122" s="281"/>
      <c r="Y122" s="281"/>
      <c r="Z122" s="281"/>
      <c r="AA122" s="281"/>
      <c r="AB122" s="281"/>
      <c r="AC122" s="281"/>
      <c r="AD122" s="281"/>
      <c r="AE122" s="281"/>
      <c r="AF122" s="281"/>
      <c r="AG122" s="281"/>
      <c r="AH122" s="281"/>
      <c r="AI122" s="281"/>
      <c r="AJ122" s="281"/>
      <c r="AK122" s="281"/>
      <c r="AL122" s="281"/>
      <c r="AM122" s="281"/>
    </row>
    <row r="123">
      <c r="A123" s="31" t="s">
        <v>97</v>
      </c>
      <c r="B123" s="62" t="s">
        <v>179</v>
      </c>
      <c r="C123" s="94" t="str">
        <f>VLOOKUP($B123,'Rate card'!$A$4:$G280,2,FALSE)</f>
        <v>Carpentry</v>
      </c>
      <c r="D123" s="94" t="str">
        <f>VLOOKUP($B123,'Rate card'!$A$4:$G280,3,FALSE)</f>
        <v>Panelling with framing</v>
      </c>
      <c r="E123" s="94" t="str">
        <f>VLOOKUP($B123,'Rate card'!$A$4:$G280,4,FALSE)</f>
        <v>MDF</v>
      </c>
      <c r="F123" s="94" t="str">
        <f>VLOOKUP($B123,'Rate card'!$A$4:$G280,5,FALSE)</f>
        <v>MR ply + ply framing + 12mm MDF</v>
      </c>
      <c r="G123" s="94" t="str">
        <f>VLOOKUP($B123,'Rate card'!$A$4:$G280,6,FALSE)</f>
        <v>Sqft</v>
      </c>
      <c r="H123" s="62">
        <v>600.0</v>
      </c>
      <c r="I123" s="78">
        <f>11*2.5</f>
        <v>27.5</v>
      </c>
      <c r="J123" s="79">
        <f t="shared" si="41"/>
        <v>16500</v>
      </c>
      <c r="K123" s="78">
        <f>11*2.5</f>
        <v>27.5</v>
      </c>
      <c r="L123" s="79">
        <f t="shared" si="43"/>
        <v>16500</v>
      </c>
      <c r="M123" s="77">
        <f>11*2.5</f>
        <v>27.5</v>
      </c>
      <c r="N123" s="75" t="s">
        <v>245</v>
      </c>
      <c r="O123" s="553"/>
      <c r="P123" s="553"/>
      <c r="Q123" s="124"/>
      <c r="R123" s="281"/>
      <c r="S123" s="583">
        <f t="shared" si="20"/>
        <v>0.001706190659</v>
      </c>
      <c r="T123" s="281"/>
      <c r="U123" s="281"/>
      <c r="V123" s="281"/>
      <c r="W123" s="281"/>
      <c r="X123" s="281"/>
      <c r="Y123" s="281"/>
      <c r="Z123" s="281"/>
      <c r="AA123" s="281"/>
      <c r="AB123" s="281"/>
      <c r="AC123" s="281"/>
      <c r="AD123" s="281"/>
      <c r="AE123" s="281"/>
      <c r="AF123" s="281"/>
      <c r="AG123" s="281"/>
      <c r="AH123" s="281"/>
      <c r="AI123" s="281"/>
      <c r="AJ123" s="281"/>
      <c r="AK123" s="281"/>
      <c r="AL123" s="281"/>
      <c r="AM123" s="281"/>
    </row>
    <row r="124">
      <c r="A124" s="30" t="s">
        <v>265</v>
      </c>
      <c r="B124" s="294"/>
      <c r="C124" s="294"/>
      <c r="D124" s="294"/>
      <c r="E124" s="294"/>
      <c r="F124" s="294"/>
      <c r="G124" s="294"/>
      <c r="H124" s="426"/>
      <c r="I124" s="298"/>
      <c r="J124" s="426"/>
      <c r="K124" s="298"/>
      <c r="L124" s="426"/>
      <c r="M124" s="298"/>
      <c r="N124" s="294"/>
      <c r="O124" s="553"/>
      <c r="P124" s="553"/>
      <c r="Q124" s="124"/>
      <c r="R124" s="281"/>
      <c r="S124" s="583">
        <f t="shared" si="20"/>
        <v>0</v>
      </c>
      <c r="T124" s="281"/>
      <c r="U124" s="281"/>
      <c r="V124" s="281"/>
      <c r="W124" s="281"/>
      <c r="X124" s="281"/>
      <c r="Y124" s="281"/>
      <c r="Z124" s="281"/>
      <c r="AA124" s="281"/>
      <c r="AB124" s="281"/>
      <c r="AC124" s="281"/>
      <c r="AD124" s="281"/>
      <c r="AE124" s="281"/>
      <c r="AF124" s="281"/>
      <c r="AG124" s="281"/>
      <c r="AH124" s="281"/>
      <c r="AI124" s="281"/>
      <c r="AJ124" s="281"/>
      <c r="AK124" s="281"/>
      <c r="AL124" s="281"/>
      <c r="AM124" s="281"/>
    </row>
    <row r="125">
      <c r="A125" s="31" t="s">
        <v>16</v>
      </c>
      <c r="B125" s="62" t="s">
        <v>227</v>
      </c>
      <c r="C125" s="94" t="str">
        <f>VLOOKUP($B125,'Rate card'!$A$4:$G280,2,FALSE)</f>
        <v>Carpentry</v>
      </c>
      <c r="D125" s="94" t="str">
        <f>VLOOKUP($B125,'Rate card'!$A$4:$G280,3,FALSE)</f>
        <v>Bed</v>
      </c>
      <c r="E125" s="62" t="s">
        <v>266</v>
      </c>
      <c r="F125" s="94" t="s">
        <v>228</v>
      </c>
      <c r="G125" s="94" t="str">
        <f>VLOOKUP($B125,'Rate card'!$A$4:$G280,6,FALSE)</f>
        <v>Sqft</v>
      </c>
      <c r="H125" s="62">
        <v>2200.0</v>
      </c>
      <c r="I125" s="78">
        <f t="shared" ref="I125:I126" si="46">I113</f>
        <v>39</v>
      </c>
      <c r="J125" s="79">
        <f t="shared" ref="J125:J134" si="47">H125*I125</f>
        <v>85800</v>
      </c>
      <c r="K125" s="78">
        <f>K113</f>
        <v>39</v>
      </c>
      <c r="L125" s="79">
        <f t="shared" ref="L125:L134" si="48">K125*H125</f>
        <v>85800</v>
      </c>
      <c r="M125" s="77">
        <f t="shared" ref="M125:M126" si="49">M113</f>
        <v>39</v>
      </c>
      <c r="N125" s="75" t="s">
        <v>247</v>
      </c>
      <c r="O125" s="553"/>
      <c r="P125" s="553"/>
      <c r="Q125" s="124">
        <f>VLOOKUP($B125,'Rate card'!$A$4:$J280,7,FALSE)</f>
        <v>1400</v>
      </c>
      <c r="R125" s="281">
        <f t="shared" ref="R125:R126" si="50">I125*Q125</f>
        <v>54600</v>
      </c>
      <c r="S125" s="583">
        <f t="shared" si="20"/>
        <v>0.008872191429</v>
      </c>
      <c r="T125" s="281"/>
      <c r="U125" s="281"/>
      <c r="V125" s="281"/>
      <c r="W125" s="281"/>
      <c r="X125" s="281"/>
      <c r="Y125" s="281"/>
      <c r="Z125" s="281"/>
      <c r="AA125" s="281"/>
      <c r="AB125" s="281"/>
      <c r="AC125" s="281"/>
      <c r="AD125" s="281"/>
      <c r="AE125" s="281"/>
      <c r="AF125" s="281"/>
      <c r="AG125" s="281"/>
      <c r="AH125" s="281"/>
      <c r="AI125" s="281"/>
      <c r="AJ125" s="281"/>
      <c r="AK125" s="281"/>
      <c r="AL125" s="281"/>
      <c r="AM125" s="281"/>
    </row>
    <row r="126">
      <c r="A126" s="31" t="s">
        <v>18</v>
      </c>
      <c r="B126" s="62" t="s">
        <v>230</v>
      </c>
      <c r="C126" s="94" t="str">
        <f>VLOOKUP($B126,'Rate card'!$A$4:$G280,2,FALSE)</f>
        <v>Carpentry</v>
      </c>
      <c r="D126" s="94" t="str">
        <f>VLOOKUP($B126,'Rate card'!$A$4:$G280,3,FALSE)</f>
        <v>Headboard</v>
      </c>
      <c r="E126" s="94" t="str">
        <f>VLOOKUP($B126,'Rate card'!$A$4:$G280,4,FALSE)</f>
        <v>Fabric Finish</v>
      </c>
      <c r="F126" s="94" t="str">
        <f>VLOOKUP($B126,'Rate card'!$A$4:$G280,5,FALSE)</f>
        <v>MR ply panelling + Foam material and labour. Excludes Fabric cost</v>
      </c>
      <c r="G126" s="94" t="str">
        <f>VLOOKUP($B126,'Rate card'!$A$4:$G280,6,FALSE)</f>
        <v>Sqft</v>
      </c>
      <c r="H126" s="62">
        <v>2000.0</v>
      </c>
      <c r="I126" s="78">
        <f t="shared" si="46"/>
        <v>21</v>
      </c>
      <c r="J126" s="79">
        <f t="shared" si="47"/>
        <v>42000</v>
      </c>
      <c r="K126" s="78" t="s">
        <v>568</v>
      </c>
      <c r="L126" s="79">
        <f t="shared" si="48"/>
        <v>48000</v>
      </c>
      <c r="M126" s="77">
        <f t="shared" si="49"/>
        <v>21</v>
      </c>
      <c r="N126" s="75" t="s">
        <v>231</v>
      </c>
      <c r="O126" s="553"/>
      <c r="P126" s="553"/>
      <c r="Q126" s="124">
        <f>VLOOKUP($B126,'Rate card'!$A$4:$J280,7,FALSE)</f>
        <v>950</v>
      </c>
      <c r="R126" s="281">
        <f t="shared" si="50"/>
        <v>19950</v>
      </c>
      <c r="S126" s="583">
        <f t="shared" si="20"/>
        <v>0.004963463737</v>
      </c>
      <c r="T126" s="281"/>
      <c r="U126" s="281"/>
      <c r="V126" s="281"/>
      <c r="W126" s="281"/>
      <c r="X126" s="281"/>
      <c r="Y126" s="281"/>
      <c r="Z126" s="281"/>
      <c r="AA126" s="281"/>
      <c r="AB126" s="281"/>
      <c r="AC126" s="281"/>
      <c r="AD126" s="281"/>
      <c r="AE126" s="281"/>
      <c r="AF126" s="281"/>
      <c r="AG126" s="281"/>
      <c r="AH126" s="281"/>
      <c r="AI126" s="281"/>
      <c r="AJ126" s="281"/>
      <c r="AK126" s="281"/>
      <c r="AL126" s="281"/>
      <c r="AM126" s="281"/>
    </row>
    <row r="127">
      <c r="A127" s="31" t="s">
        <v>24</v>
      </c>
      <c r="B127" s="62" t="s">
        <v>232</v>
      </c>
      <c r="C127" s="94" t="str">
        <f>VLOOKUP($B127,'Rate card'!$A$4:$G280,2,FALSE)</f>
        <v>Carpentry</v>
      </c>
      <c r="D127" s="62" t="s">
        <v>233</v>
      </c>
      <c r="E127" s="94" t="str">
        <f>VLOOKUP($B127,'Rate card'!$A$4:$G280,4,FALSE)</f>
        <v>Laminate Finish</v>
      </c>
      <c r="F127" s="94" t="str">
        <f>VLOOKUP($B127,'Rate card'!$A$4:$G280,5,FALSE)</f>
        <v>MR ply + Inside laminate + finish laminate (1 Drawer)</v>
      </c>
      <c r="G127" s="94" t="str">
        <f>VLOOKUP($B127,'Rate card'!$A$4:$G280,6,FALSE)</f>
        <v>Nos</v>
      </c>
      <c r="H127" s="62">
        <v>20000.0</v>
      </c>
      <c r="I127" s="78" t="s">
        <v>18</v>
      </c>
      <c r="J127" s="79">
        <f t="shared" si="47"/>
        <v>40000</v>
      </c>
      <c r="K127" s="78" t="s">
        <v>18</v>
      </c>
      <c r="L127" s="79">
        <f t="shared" si="48"/>
        <v>40000</v>
      </c>
      <c r="M127" s="77" t="s">
        <v>18</v>
      </c>
      <c r="N127" s="75" t="s">
        <v>233</v>
      </c>
      <c r="O127" s="553"/>
      <c r="P127" s="553"/>
      <c r="Q127" s="124"/>
      <c r="R127" s="281"/>
      <c r="S127" s="583">
        <f t="shared" si="20"/>
        <v>0.004136219781</v>
      </c>
      <c r="T127" s="281"/>
      <c r="U127" s="281"/>
      <c r="V127" s="281"/>
      <c r="W127" s="281"/>
      <c r="X127" s="281"/>
      <c r="Y127" s="281"/>
      <c r="Z127" s="281"/>
      <c r="AA127" s="281"/>
      <c r="AB127" s="281"/>
      <c r="AC127" s="281"/>
      <c r="AD127" s="281"/>
      <c r="AE127" s="281"/>
      <c r="AF127" s="281"/>
      <c r="AG127" s="281"/>
      <c r="AH127" s="281"/>
      <c r="AI127" s="281"/>
      <c r="AJ127" s="281"/>
      <c r="AK127" s="281"/>
      <c r="AL127" s="281"/>
      <c r="AM127" s="281"/>
    </row>
    <row r="128">
      <c r="A128" s="31" t="s">
        <v>27</v>
      </c>
      <c r="B128" s="62" t="s">
        <v>236</v>
      </c>
      <c r="C128" s="94" t="str">
        <f>VLOOKUP($B128,'Rate card'!$A$4:$G280,2,FALSE)</f>
        <v>Carpentry</v>
      </c>
      <c r="D128" s="94" t="str">
        <f>VLOOKUP($B128,'Rate card'!$A$4:$G280,3,FALSE)</f>
        <v>Panelling with framing</v>
      </c>
      <c r="E128" s="62" t="s">
        <v>267</v>
      </c>
      <c r="F128" s="94" t="str">
        <f>VLOOKUP($B128,'Rate card'!$A$4:$G280,5,FALSE)</f>
        <v>MR ply + ply framing + 5mm clear mirror</v>
      </c>
      <c r="G128" s="94" t="str">
        <f>VLOOKUP($B128,'Rate card'!$A$4:$G280,6,FALSE)</f>
        <v>Sqft</v>
      </c>
      <c r="H128" s="62">
        <v>1500.0</v>
      </c>
      <c r="I128" s="78">
        <f>3*10</f>
        <v>30</v>
      </c>
      <c r="J128" s="79">
        <f t="shared" si="47"/>
        <v>45000</v>
      </c>
      <c r="K128" s="78" t="s">
        <v>348</v>
      </c>
      <c r="L128" s="79">
        <f t="shared" si="48"/>
        <v>150000</v>
      </c>
      <c r="M128" s="77">
        <f>3*10</f>
        <v>30</v>
      </c>
      <c r="N128" s="75" t="s">
        <v>268</v>
      </c>
      <c r="O128" s="553"/>
      <c r="P128" s="553"/>
      <c r="Q128" s="124"/>
      <c r="R128" s="281"/>
      <c r="S128" s="583">
        <f t="shared" si="20"/>
        <v>0.01551082418</v>
      </c>
      <c r="T128" s="281"/>
      <c r="U128" s="281"/>
      <c r="V128" s="281"/>
      <c r="W128" s="281"/>
      <c r="X128" s="281"/>
      <c r="Y128" s="281"/>
      <c r="Z128" s="281"/>
      <c r="AA128" s="281"/>
      <c r="AB128" s="281"/>
      <c r="AC128" s="281"/>
      <c r="AD128" s="281"/>
      <c r="AE128" s="281"/>
      <c r="AF128" s="281"/>
      <c r="AG128" s="281"/>
      <c r="AH128" s="281"/>
      <c r="AI128" s="281"/>
      <c r="AJ128" s="281"/>
      <c r="AK128" s="281"/>
      <c r="AL128" s="281"/>
      <c r="AM128" s="281"/>
    </row>
    <row r="129">
      <c r="A129" s="31" t="s">
        <v>30</v>
      </c>
      <c r="B129" s="62" t="s">
        <v>252</v>
      </c>
      <c r="C129" s="94" t="str">
        <f>VLOOKUP($B129,'Rate card'!$A$4:$G280,2,FALSE)</f>
        <v>Carpentry</v>
      </c>
      <c r="D129" s="94" t="str">
        <f>VLOOKUP($B129,'Rate card'!$A$4:$G280,3,FALSE)</f>
        <v>Dresser</v>
      </c>
      <c r="E129" s="62" t="s">
        <v>174</v>
      </c>
      <c r="F129" s="62" t="s">
        <v>269</v>
      </c>
      <c r="G129" s="94" t="str">
        <f>VLOOKUP($B129,'Rate card'!$A$4:$G280,6,FALSE)</f>
        <v>Sqft</v>
      </c>
      <c r="H129" s="62">
        <v>1500.0</v>
      </c>
      <c r="I129" s="78">
        <f>2.5*7</f>
        <v>17.5</v>
      </c>
      <c r="J129" s="79">
        <f t="shared" si="47"/>
        <v>26250</v>
      </c>
      <c r="K129" s="78">
        <f>2.5*7</f>
        <v>17.5</v>
      </c>
      <c r="L129" s="79">
        <f t="shared" si="48"/>
        <v>26250</v>
      </c>
      <c r="M129" s="77">
        <f>2.5*7</f>
        <v>17.5</v>
      </c>
      <c r="N129" s="75" t="s">
        <v>234</v>
      </c>
      <c r="O129" s="553"/>
      <c r="P129" s="553"/>
      <c r="Q129" s="605">
        <f>VLOOKUP($B129,'Rate card'!$A$4:$J280,7,FALSE)</f>
        <v>1400</v>
      </c>
      <c r="R129" s="444">
        <f>I129*Q129</f>
        <v>24500</v>
      </c>
      <c r="S129" s="583">
        <f t="shared" si="20"/>
        <v>0.002714394231</v>
      </c>
      <c r="T129" s="281"/>
      <c r="U129" s="281"/>
      <c r="V129" s="281"/>
      <c r="W129" s="281"/>
      <c r="X129" s="281"/>
      <c r="Y129" s="281"/>
      <c r="Z129" s="281"/>
      <c r="AA129" s="281"/>
      <c r="AB129" s="281"/>
      <c r="AC129" s="281"/>
      <c r="AD129" s="281"/>
      <c r="AE129" s="281"/>
      <c r="AF129" s="281"/>
      <c r="AG129" s="281"/>
      <c r="AH129" s="281"/>
      <c r="AI129" s="281"/>
      <c r="AJ129" s="281"/>
      <c r="AK129" s="281"/>
      <c r="AL129" s="281"/>
      <c r="AM129" s="281"/>
    </row>
    <row r="130">
      <c r="A130" s="31" t="s">
        <v>32</v>
      </c>
      <c r="B130" s="62" t="s">
        <v>238</v>
      </c>
      <c r="C130" s="94" t="s">
        <v>31</v>
      </c>
      <c r="D130" s="77" t="s">
        <v>180</v>
      </c>
      <c r="E130" s="94" t="str">
        <f>VLOOKUP($B130,'Rate card'!$A$4:$G280,4,FALSE)</f>
        <v>Laminate Finish</v>
      </c>
      <c r="F130" s="100" t="s">
        <v>239</v>
      </c>
      <c r="G130" s="94" t="str">
        <f>VLOOKUP($B130,'Rate card'!$A$4:$G280,6,FALSE)</f>
        <v>Sqft</v>
      </c>
      <c r="H130" s="62">
        <v>800.0</v>
      </c>
      <c r="I130" s="78" t="s">
        <v>270</v>
      </c>
      <c r="J130" s="79">
        <f t="shared" si="47"/>
        <v>40000</v>
      </c>
      <c r="K130" s="78" t="s">
        <v>744</v>
      </c>
      <c r="L130" s="79">
        <f t="shared" si="48"/>
        <v>64800</v>
      </c>
      <c r="M130" s="77" t="s">
        <v>270</v>
      </c>
      <c r="N130" s="80" t="s">
        <v>271</v>
      </c>
      <c r="O130" s="553"/>
      <c r="P130" s="553"/>
      <c r="Q130" s="282"/>
      <c r="R130" s="281"/>
      <c r="S130" s="583">
        <f t="shared" si="20"/>
        <v>0.006700676044</v>
      </c>
      <c r="T130" s="281"/>
      <c r="U130" s="281"/>
      <c r="V130" s="281"/>
      <c r="W130" s="281"/>
      <c r="X130" s="281"/>
      <c r="Y130" s="281"/>
      <c r="Z130" s="281"/>
      <c r="AA130" s="281"/>
      <c r="AB130" s="281"/>
      <c r="AC130" s="281"/>
      <c r="AD130" s="281"/>
      <c r="AE130" s="281"/>
      <c r="AF130" s="281"/>
      <c r="AG130" s="281"/>
      <c r="AH130" s="281"/>
      <c r="AI130" s="281"/>
      <c r="AJ130" s="281"/>
      <c r="AK130" s="281"/>
      <c r="AL130" s="281"/>
      <c r="AM130" s="281"/>
    </row>
    <row r="131">
      <c r="A131" s="31" t="s">
        <v>30</v>
      </c>
      <c r="B131" s="62" t="s">
        <v>170</v>
      </c>
      <c r="C131" s="94" t="str">
        <f>VLOOKUP($B131,'Rate card'!$A$4:$G280,2,FALSE)</f>
        <v>Carpentry</v>
      </c>
      <c r="D131" s="94" t="str">
        <f>VLOOKUP($B131,'Rate card'!$A$4:$G280,3,FALSE)</f>
        <v>Carcass Storage</v>
      </c>
      <c r="E131" s="94" t="str">
        <f>VLOOKUP($B131,'Rate card'!$A$4:$G280,4,FALSE)</f>
        <v>Laminate Finish</v>
      </c>
      <c r="F131" s="94" t="str">
        <f>VLOOKUP($B131,'Rate card'!$A$4:$G280,5,FALSE)</f>
        <v>MR ply + Inside laminate + finish laminate</v>
      </c>
      <c r="G131" s="94" t="str">
        <f>VLOOKUP($B131,'Rate card'!$A$4:$G280,6,FALSE)</f>
        <v>Sqft</v>
      </c>
      <c r="H131" s="94">
        <f>VLOOKUP($B131,'Rate card'!$A$4:$J280,8,FALSE)</f>
        <v>1800</v>
      </c>
      <c r="I131" s="78">
        <f>4*3.5</f>
        <v>14</v>
      </c>
      <c r="J131" s="79">
        <f t="shared" si="47"/>
        <v>25200</v>
      </c>
      <c r="K131" s="78">
        <f>4*3.5</f>
        <v>14</v>
      </c>
      <c r="L131" s="79">
        <f t="shared" si="48"/>
        <v>25200</v>
      </c>
      <c r="M131" s="77">
        <f>4*3.5</f>
        <v>14</v>
      </c>
      <c r="N131" s="31" t="s">
        <v>183</v>
      </c>
      <c r="O131" s="553"/>
      <c r="P131" s="553"/>
      <c r="Q131" s="124">
        <f>VLOOKUP($B131,'Rate card'!$A$4:$J280,7,FALSE)</f>
        <v>1350</v>
      </c>
      <c r="R131" s="281">
        <f t="shared" ref="R131:R152" si="51">I131*Q131</f>
        <v>18900</v>
      </c>
      <c r="S131" s="583">
        <f t="shared" si="20"/>
        <v>0.002605818462</v>
      </c>
      <c r="T131" s="281"/>
      <c r="U131" s="281"/>
      <c r="V131" s="281"/>
      <c r="W131" s="281"/>
      <c r="X131" s="281"/>
      <c r="Y131" s="281"/>
      <c r="Z131" s="281"/>
      <c r="AA131" s="281"/>
      <c r="AB131" s="281"/>
      <c r="AC131" s="281"/>
      <c r="AD131" s="281"/>
      <c r="AE131" s="281"/>
      <c r="AF131" s="281"/>
      <c r="AG131" s="281"/>
      <c r="AH131" s="281"/>
      <c r="AI131" s="281"/>
      <c r="AJ131" s="281"/>
      <c r="AK131" s="281"/>
      <c r="AL131" s="281"/>
      <c r="AM131" s="281"/>
    </row>
    <row r="132">
      <c r="A132" s="31" t="s">
        <v>27</v>
      </c>
      <c r="B132" s="62" t="s">
        <v>170</v>
      </c>
      <c r="C132" s="94" t="str">
        <f>VLOOKUP($B132,'Rate card'!$A$4:$G280,2,FALSE)</f>
        <v>Carpentry</v>
      </c>
      <c r="D132" s="94" t="str">
        <f>VLOOKUP($B132,'Rate card'!$A$4:$G280,3,FALSE)</f>
        <v>Carcass Storage</v>
      </c>
      <c r="E132" s="62" t="s">
        <v>178</v>
      </c>
      <c r="F132" s="94" t="str">
        <f>VLOOKUP($B132,'Rate card'!$A$4:$G280,5,FALSE)</f>
        <v>MR ply + Inside laminate + finish laminate</v>
      </c>
      <c r="G132" s="62" t="s">
        <v>188</v>
      </c>
      <c r="H132" s="62">
        <v>4500.0</v>
      </c>
      <c r="I132" s="78" t="s">
        <v>274</v>
      </c>
      <c r="J132" s="79">
        <f t="shared" si="47"/>
        <v>32625</v>
      </c>
      <c r="K132" s="78" t="s">
        <v>92</v>
      </c>
      <c r="L132" s="79">
        <f t="shared" si="48"/>
        <v>40500</v>
      </c>
      <c r="M132" s="77" t="s">
        <v>274</v>
      </c>
      <c r="N132" s="31" t="s">
        <v>190</v>
      </c>
      <c r="O132" s="553"/>
      <c r="P132" s="553"/>
      <c r="Q132" s="124">
        <f>VLOOKUP($B132,'Rate card'!$A$4:$J280,7,FALSE)</f>
        <v>1350</v>
      </c>
      <c r="R132" s="281">
        <f t="shared" si="51"/>
        <v>9787.5</v>
      </c>
      <c r="S132" s="583">
        <f t="shared" si="20"/>
        <v>0.004187922528</v>
      </c>
      <c r="T132" s="281"/>
      <c r="U132" s="281"/>
      <c r="V132" s="281"/>
      <c r="W132" s="281"/>
      <c r="X132" s="281"/>
      <c r="Y132" s="281"/>
      <c r="Z132" s="281"/>
      <c r="AA132" s="281"/>
      <c r="AB132" s="281"/>
      <c r="AC132" s="281"/>
      <c r="AD132" s="281"/>
      <c r="AE132" s="281"/>
      <c r="AF132" s="281"/>
      <c r="AG132" s="281"/>
      <c r="AH132" s="281"/>
      <c r="AI132" s="281"/>
      <c r="AJ132" s="281"/>
      <c r="AK132" s="281"/>
      <c r="AL132" s="281"/>
      <c r="AM132" s="281"/>
    </row>
    <row r="133">
      <c r="A133" s="31" t="s">
        <v>92</v>
      </c>
      <c r="B133" s="62" t="s">
        <v>263</v>
      </c>
      <c r="C133" s="94" t="str">
        <f>VLOOKUP($B133,'Rate card'!$A$4:$G280,2,FALSE)</f>
        <v>Carpentry</v>
      </c>
      <c r="D133" s="94" t="str">
        <f>VLOOKUP($B133,'Rate card'!$A$4:$G280,3,FALSE)</f>
        <v>Wardrobe</v>
      </c>
      <c r="E133" s="62" t="s">
        <v>277</v>
      </c>
      <c r="F133" s="94" t="str">
        <f>VLOOKUP($B133,'Rate card'!$A$4:$G280,5,FALSE)</f>
        <v>MR ply + Inside laminate + Profile section for glass+ 5mm toughned backpainted extra clear glass(Includes 4 pencil drawers, Handles of base rate Rs.1000/pc)</v>
      </c>
      <c r="G133" s="94" t="str">
        <f>VLOOKUP($B133,'Rate card'!$A$4:$G280,6,FALSE)</f>
        <v>Sqft</v>
      </c>
      <c r="H133" s="62">
        <v>2400.0</v>
      </c>
      <c r="I133" s="78">
        <f>8.75*10</f>
        <v>87.5</v>
      </c>
      <c r="J133" s="79">
        <f t="shared" si="47"/>
        <v>210000</v>
      </c>
      <c r="K133" s="78">
        <f>8.75*10</f>
        <v>87.5</v>
      </c>
      <c r="L133" s="79">
        <f t="shared" si="48"/>
        <v>210000</v>
      </c>
      <c r="M133" s="77">
        <f>8.75*10</f>
        <v>87.5</v>
      </c>
      <c r="N133" s="75" t="s">
        <v>244</v>
      </c>
      <c r="O133" s="553"/>
      <c r="P133" s="553"/>
      <c r="Q133" s="124">
        <f>VLOOKUP($B133,'Rate card'!$A$4:$J280,7,FALSE)</f>
        <v>1800</v>
      </c>
      <c r="R133" s="281">
        <f t="shared" si="51"/>
        <v>157500</v>
      </c>
      <c r="S133" s="583">
        <f t="shared" si="20"/>
        <v>0.02171515385</v>
      </c>
      <c r="T133" s="281"/>
      <c r="U133" s="281"/>
      <c r="V133" s="281"/>
      <c r="W133" s="281"/>
      <c r="X133" s="281"/>
      <c r="Y133" s="281"/>
      <c r="Z133" s="281"/>
      <c r="AA133" s="281"/>
      <c r="AB133" s="281"/>
      <c r="AC133" s="281"/>
      <c r="AD133" s="281"/>
      <c r="AE133" s="281"/>
      <c r="AF133" s="281"/>
      <c r="AG133" s="281"/>
      <c r="AH133" s="281"/>
      <c r="AI133" s="281"/>
      <c r="AJ133" s="281"/>
      <c r="AK133" s="281"/>
      <c r="AL133" s="281"/>
      <c r="AM133" s="281"/>
    </row>
    <row r="134">
      <c r="A134" s="31" t="s">
        <v>95</v>
      </c>
      <c r="B134" s="62" t="s">
        <v>179</v>
      </c>
      <c r="C134" s="94" t="str">
        <f>VLOOKUP($B134,'Rate card'!$A$4:$G280,2,FALSE)</f>
        <v>Carpentry</v>
      </c>
      <c r="D134" s="94" t="str">
        <f>VLOOKUP($B134,'Rate card'!$A$4:$G280,3,FALSE)</f>
        <v>Panelling with framing</v>
      </c>
      <c r="E134" s="94" t="str">
        <f>VLOOKUP($B134,'Rate card'!$A$4:$G280,4,FALSE)</f>
        <v>MDF</v>
      </c>
      <c r="F134" s="94" t="str">
        <f>VLOOKUP($B134,'Rate card'!$A$4:$G280,5,FALSE)</f>
        <v>MR ply + ply framing + 12mm MDF</v>
      </c>
      <c r="G134" s="94" t="str">
        <f>VLOOKUP($B134,'Rate card'!$A$4:$G280,6,FALSE)</f>
        <v>Sqft</v>
      </c>
      <c r="H134" s="62">
        <v>600.0</v>
      </c>
      <c r="I134" s="78">
        <f>14.25*2.5</f>
        <v>35.625</v>
      </c>
      <c r="J134" s="79">
        <f t="shared" si="47"/>
        <v>21375</v>
      </c>
      <c r="K134" s="78">
        <f>14.25*2.5</f>
        <v>35.625</v>
      </c>
      <c r="L134" s="79">
        <f t="shared" si="48"/>
        <v>21375</v>
      </c>
      <c r="M134" s="77">
        <f>14.25*2.5</f>
        <v>35.625</v>
      </c>
      <c r="N134" s="75" t="s">
        <v>245</v>
      </c>
      <c r="O134" s="553"/>
      <c r="P134" s="553"/>
      <c r="Q134" s="124">
        <f>VLOOKUP($B134,'Rate card'!$A$4:$J280,7,FALSE)</f>
        <v>450</v>
      </c>
      <c r="R134" s="281">
        <f t="shared" si="51"/>
        <v>16031.25</v>
      </c>
      <c r="S134" s="583">
        <f t="shared" si="20"/>
        <v>0.002210292445</v>
      </c>
      <c r="T134" s="281"/>
      <c r="U134" s="281"/>
      <c r="V134" s="281"/>
      <c r="W134" s="281"/>
      <c r="X134" s="281"/>
      <c r="Y134" s="281"/>
      <c r="Z134" s="281"/>
      <c r="AA134" s="281"/>
      <c r="AB134" s="281"/>
      <c r="AC134" s="281"/>
      <c r="AD134" s="281"/>
      <c r="AE134" s="281"/>
      <c r="AF134" s="281"/>
      <c r="AG134" s="281"/>
      <c r="AH134" s="281"/>
      <c r="AI134" s="281"/>
      <c r="AJ134" s="281"/>
      <c r="AK134" s="281"/>
      <c r="AL134" s="281"/>
      <c r="AM134" s="281"/>
    </row>
    <row r="135">
      <c r="A135" s="30" t="s">
        <v>278</v>
      </c>
      <c r="B135" s="294"/>
      <c r="C135" s="294"/>
      <c r="D135" s="294"/>
      <c r="E135" s="294"/>
      <c r="F135" s="294"/>
      <c r="G135" s="294"/>
      <c r="H135" s="426"/>
      <c r="I135" s="298"/>
      <c r="J135" s="426"/>
      <c r="K135" s="298"/>
      <c r="L135" s="426"/>
      <c r="M135" s="298"/>
      <c r="N135" s="294"/>
      <c r="O135" s="553"/>
      <c r="P135" s="553"/>
      <c r="Q135" s="124">
        <f>VLOOKUP($B135,'Rate card'!$A$4:$J280,7,FALSE)</f>
        <v>0</v>
      </c>
      <c r="R135" s="281">
        <f t="shared" si="51"/>
        <v>0</v>
      </c>
      <c r="S135" s="583">
        <f t="shared" si="20"/>
        <v>0</v>
      </c>
      <c r="T135" s="281"/>
      <c r="U135" s="281"/>
      <c r="V135" s="281"/>
      <c r="W135" s="281"/>
      <c r="X135" s="281"/>
      <c r="Y135" s="281"/>
      <c r="Z135" s="281"/>
      <c r="AA135" s="281"/>
      <c r="AB135" s="281"/>
      <c r="AC135" s="281"/>
      <c r="AD135" s="281"/>
      <c r="AE135" s="281"/>
      <c r="AF135" s="281"/>
      <c r="AG135" s="281"/>
      <c r="AH135" s="281"/>
      <c r="AI135" s="281"/>
      <c r="AJ135" s="281"/>
      <c r="AK135" s="281"/>
      <c r="AL135" s="281"/>
      <c r="AM135" s="281"/>
    </row>
    <row r="136">
      <c r="A136" s="31" t="s">
        <v>16</v>
      </c>
      <c r="B136" s="62" t="s">
        <v>170</v>
      </c>
      <c r="C136" s="94" t="str">
        <f>VLOOKUP($B136,'Rate card'!$A$4:$G280,2,FALSE)</f>
        <v>Carpentry</v>
      </c>
      <c r="D136" s="94" t="str">
        <f>VLOOKUP($B136,'Rate card'!$A$4:$G280,3,FALSE)</f>
        <v>Carcass Storage</v>
      </c>
      <c r="E136" s="94" t="str">
        <f>VLOOKUP($B136,'Rate card'!$A$4:$G280,4,FALSE)</f>
        <v>Laminate Finish</v>
      </c>
      <c r="F136" s="94" t="str">
        <f>VLOOKUP($B136,'Rate card'!$A$4:$G280,5,FALSE)</f>
        <v>MR ply + Inside laminate + finish laminate</v>
      </c>
      <c r="G136" s="94" t="str">
        <f>VLOOKUP($B136,'Rate card'!$A$4:$G280,6,FALSE)</f>
        <v>Sqft</v>
      </c>
      <c r="H136" s="94">
        <f>VLOOKUP($B136,'Rate card'!$A$4:$J280,8,FALSE)</f>
        <v>1800</v>
      </c>
      <c r="I136" s="78" t="s">
        <v>95</v>
      </c>
      <c r="J136" s="79">
        <f t="shared" ref="J136:J138" si="52">H136*I136</f>
        <v>18000</v>
      </c>
      <c r="K136" s="78" t="s">
        <v>95</v>
      </c>
      <c r="L136" s="79">
        <f t="shared" ref="L136:L138" si="53">K136*H136</f>
        <v>18000</v>
      </c>
      <c r="M136" s="77" t="s">
        <v>95</v>
      </c>
      <c r="N136" s="62" t="s">
        <v>279</v>
      </c>
      <c r="O136" s="553"/>
      <c r="P136" s="553"/>
      <c r="Q136" s="124">
        <f>VLOOKUP($B136,'Rate card'!$A$4:$J280,7,FALSE)</f>
        <v>1350</v>
      </c>
      <c r="R136" s="281">
        <f t="shared" si="51"/>
        <v>13500</v>
      </c>
      <c r="S136" s="583">
        <f t="shared" si="20"/>
        <v>0.001861298901</v>
      </c>
      <c r="T136" s="281"/>
      <c r="U136" s="281"/>
      <c r="V136" s="281"/>
      <c r="W136" s="281"/>
      <c r="X136" s="281"/>
      <c r="Y136" s="281"/>
      <c r="Z136" s="281"/>
      <c r="AA136" s="281"/>
      <c r="AB136" s="281"/>
      <c r="AC136" s="281"/>
      <c r="AD136" s="281"/>
      <c r="AE136" s="281"/>
      <c r="AF136" s="281"/>
      <c r="AG136" s="281"/>
      <c r="AH136" s="281"/>
      <c r="AI136" s="281"/>
      <c r="AJ136" s="281"/>
      <c r="AK136" s="281"/>
      <c r="AL136" s="281"/>
      <c r="AM136" s="281"/>
    </row>
    <row r="137">
      <c r="A137" s="31">
        <f t="shared" ref="A137:A138" si="54">A136+1</f>
        <v>2</v>
      </c>
      <c r="B137" s="62" t="s">
        <v>280</v>
      </c>
      <c r="C137" s="95" t="str">
        <f>VLOOKUP($B137,'Rate card'!$A$4:$G280,2,FALSE)</f>
        <v>Carpentry</v>
      </c>
      <c r="D137" s="33" t="str">
        <f>VLOOKUP($B137,'Rate card'!$A$4:$G280,3,FALSE)</f>
        <v>Mirror panelling</v>
      </c>
      <c r="E137" s="33" t="str">
        <f>VLOOKUP($B137,'Rate card'!$A$4:$G280,4,FALSE)</f>
        <v>Mirror finish</v>
      </c>
      <c r="F137" s="33" t="str">
        <f>VLOOKUP($B137,'Rate card'!$A$4:$G280,5,FALSE)</f>
        <v>MRply + ply framing + finish mirror</v>
      </c>
      <c r="G137" s="95" t="str">
        <f>VLOOKUP($B137,'Rate card'!$A$4:$G280,6,FALSE)</f>
        <v>Ls</v>
      </c>
      <c r="H137" s="94">
        <f>VLOOKUP($B137,'Rate card'!$A$4:$J280,8,FALSE)</f>
        <v>7000</v>
      </c>
      <c r="I137" s="78" t="s">
        <v>16</v>
      </c>
      <c r="J137" s="69">
        <f t="shared" si="52"/>
        <v>7000</v>
      </c>
      <c r="K137" s="78" t="s">
        <v>16</v>
      </c>
      <c r="L137" s="79">
        <f t="shared" si="53"/>
        <v>7000</v>
      </c>
      <c r="M137" s="77" t="s">
        <v>16</v>
      </c>
      <c r="N137" s="62" t="s">
        <v>281</v>
      </c>
      <c r="O137" s="553"/>
      <c r="P137" s="553"/>
      <c r="Q137" s="605">
        <f>VLOOKUP($B137,'Rate card'!$A$4:$J280,7,FALSE)</f>
        <v>5500</v>
      </c>
      <c r="R137" s="444">
        <f t="shared" si="51"/>
        <v>5500</v>
      </c>
      <c r="S137" s="583">
        <f t="shared" si="20"/>
        <v>0.0007238384616</v>
      </c>
      <c r="T137" s="281"/>
      <c r="U137" s="281"/>
      <c r="V137" s="281"/>
      <c r="W137" s="281"/>
      <c r="X137" s="281"/>
      <c r="Y137" s="281"/>
      <c r="Z137" s="281"/>
      <c r="AA137" s="281"/>
      <c r="AB137" s="281"/>
      <c r="AC137" s="281"/>
      <c r="AD137" s="281"/>
      <c r="AE137" s="281"/>
      <c r="AF137" s="281"/>
      <c r="AG137" s="281"/>
      <c r="AH137" s="281"/>
      <c r="AI137" s="281"/>
      <c r="AJ137" s="281"/>
      <c r="AK137" s="281"/>
      <c r="AL137" s="281"/>
      <c r="AM137" s="281"/>
    </row>
    <row r="138">
      <c r="A138" s="31">
        <f t="shared" si="54"/>
        <v>3</v>
      </c>
      <c r="B138" s="62" t="s">
        <v>282</v>
      </c>
      <c r="C138" s="95" t="str">
        <f>VLOOKUP($B138,'Rate card'!$A$4:$G280,2,FALSE)</f>
        <v>Carpentry</v>
      </c>
      <c r="D138" s="95" t="str">
        <f>VLOOKUP($B138,'Rate card'!$A$4:$G280,3,FALSE)</f>
        <v>Glass Partiton</v>
      </c>
      <c r="E138" s="95" t="str">
        <f>VLOOKUP($B138,'Rate card'!$A$4:$G280,4,FALSE)</f>
        <v>12mm toughned glass</v>
      </c>
      <c r="F138" s="95" t="str">
        <f>VLOOKUP($B138,'Rate card'!$A$4:$G280,5,FALSE)</f>
        <v>12mm toughned glass + Fitting labour + loading, unloading + All fitting hardware + Silicon etc</v>
      </c>
      <c r="G138" s="95" t="str">
        <f>VLOOKUP($B138,'Rate card'!$A$4:$G280,6,FALSE)</f>
        <v>Sqft</v>
      </c>
      <c r="H138" s="62">
        <v>950.0</v>
      </c>
      <c r="I138" s="78">
        <f>5*9</f>
        <v>45</v>
      </c>
      <c r="J138" s="69">
        <f t="shared" si="52"/>
        <v>42750</v>
      </c>
      <c r="K138" s="78">
        <f>5*9</f>
        <v>45</v>
      </c>
      <c r="L138" s="79">
        <f t="shared" si="53"/>
        <v>42750</v>
      </c>
      <c r="M138" s="77">
        <f>5*9</f>
        <v>45</v>
      </c>
      <c r="N138" s="62" t="s">
        <v>283</v>
      </c>
      <c r="O138" s="553"/>
      <c r="P138" s="553"/>
      <c r="Q138" s="124">
        <f>VLOOKUP($B138,'Rate card'!$A$4:$J280,7,FALSE)</f>
        <v>450</v>
      </c>
      <c r="R138" s="281">
        <f t="shared" si="51"/>
        <v>20250</v>
      </c>
      <c r="S138" s="583">
        <f t="shared" si="20"/>
        <v>0.00442058489</v>
      </c>
      <c r="T138" s="281"/>
      <c r="U138" s="281"/>
      <c r="V138" s="281"/>
      <c r="W138" s="281"/>
      <c r="X138" s="281"/>
      <c r="Y138" s="281"/>
      <c r="Z138" s="281"/>
      <c r="AA138" s="281"/>
      <c r="AB138" s="281"/>
      <c r="AC138" s="281"/>
      <c r="AD138" s="281"/>
      <c r="AE138" s="281"/>
      <c r="AF138" s="281"/>
      <c r="AG138" s="281"/>
      <c r="AH138" s="281"/>
      <c r="AI138" s="281"/>
      <c r="AJ138" s="281"/>
      <c r="AK138" s="281"/>
      <c r="AL138" s="281"/>
      <c r="AM138" s="281"/>
    </row>
    <row r="139">
      <c r="A139" s="30" t="s">
        <v>284</v>
      </c>
      <c r="B139" s="294"/>
      <c r="C139" s="294"/>
      <c r="D139" s="294"/>
      <c r="E139" s="294"/>
      <c r="F139" s="294"/>
      <c r="G139" s="294"/>
      <c r="H139" s="426"/>
      <c r="I139" s="298"/>
      <c r="J139" s="426"/>
      <c r="K139" s="298"/>
      <c r="L139" s="426"/>
      <c r="M139" s="298"/>
      <c r="N139" s="294"/>
      <c r="O139" s="553"/>
      <c r="P139" s="553"/>
      <c r="Q139" s="124">
        <f>VLOOKUP($B139,'Rate card'!$A$4:$J280,7,FALSE)</f>
        <v>0</v>
      </c>
      <c r="R139" s="281">
        <f t="shared" si="51"/>
        <v>0</v>
      </c>
      <c r="S139" s="583">
        <f t="shared" si="20"/>
        <v>0</v>
      </c>
      <c r="T139" s="281"/>
      <c r="U139" s="281"/>
      <c r="V139" s="281"/>
      <c r="W139" s="281"/>
      <c r="X139" s="281"/>
      <c r="Y139" s="281"/>
      <c r="Z139" s="281"/>
      <c r="AA139" s="281"/>
      <c r="AB139" s="281"/>
      <c r="AC139" s="281"/>
      <c r="AD139" s="281"/>
      <c r="AE139" s="281"/>
      <c r="AF139" s="281"/>
      <c r="AG139" s="281"/>
      <c r="AH139" s="281"/>
      <c r="AI139" s="281"/>
      <c r="AJ139" s="281"/>
      <c r="AK139" s="281"/>
      <c r="AL139" s="281"/>
      <c r="AM139" s="281"/>
    </row>
    <row r="140">
      <c r="A140" s="31" t="s">
        <v>16</v>
      </c>
      <c r="B140" s="62" t="s">
        <v>170</v>
      </c>
      <c r="C140" s="94" t="str">
        <f>VLOOKUP($B140,'Rate card'!$A$4:$G280,2,FALSE)</f>
        <v>Carpentry</v>
      </c>
      <c r="D140" s="94" t="str">
        <f>VLOOKUP($B140,'Rate card'!$A$4:$G280,3,FALSE)</f>
        <v>Carcass Storage</v>
      </c>
      <c r="E140" s="94" t="str">
        <f>VLOOKUP($B140,'Rate card'!$A$4:$G280,4,FALSE)</f>
        <v>Laminate Finish</v>
      </c>
      <c r="F140" s="94" t="str">
        <f>VLOOKUP($B140,'Rate card'!$A$4:$G280,5,FALSE)</f>
        <v>MR ply + Inside laminate + finish laminate</v>
      </c>
      <c r="G140" s="94" t="str">
        <f>VLOOKUP($B140,'Rate card'!$A$4:$G280,6,FALSE)</f>
        <v>Sqft</v>
      </c>
      <c r="H140" s="94">
        <f>VLOOKUP($B140,'Rate card'!$A$4:$J280,8,FALSE)</f>
        <v>1800</v>
      </c>
      <c r="I140" s="78" t="s">
        <v>32</v>
      </c>
      <c r="J140" s="79">
        <f t="shared" ref="J140:J142" si="55">H140*I140</f>
        <v>10800</v>
      </c>
      <c r="K140" s="78" t="s">
        <v>32</v>
      </c>
      <c r="L140" s="79">
        <f t="shared" ref="L140:L142" si="56">K140*H140</f>
        <v>10800</v>
      </c>
      <c r="M140" s="77" t="s">
        <v>32</v>
      </c>
      <c r="N140" s="62" t="s">
        <v>279</v>
      </c>
      <c r="O140" s="553"/>
      <c r="P140" s="553"/>
      <c r="Q140" s="124">
        <f>VLOOKUP($B140,'Rate card'!$A$4:$J280,7,FALSE)</f>
        <v>1350</v>
      </c>
      <c r="R140" s="281">
        <f t="shared" si="51"/>
        <v>8100</v>
      </c>
      <c r="S140" s="583">
        <f t="shared" si="20"/>
        <v>0.001116779341</v>
      </c>
      <c r="T140" s="281"/>
      <c r="U140" s="281"/>
      <c r="V140" s="281"/>
      <c r="W140" s="281"/>
      <c r="X140" s="281"/>
      <c r="Y140" s="281"/>
      <c r="Z140" s="281"/>
      <c r="AA140" s="281"/>
      <c r="AB140" s="281"/>
      <c r="AC140" s="281"/>
      <c r="AD140" s="281"/>
      <c r="AE140" s="281"/>
      <c r="AF140" s="281"/>
      <c r="AG140" s="281"/>
      <c r="AH140" s="281"/>
      <c r="AI140" s="281"/>
      <c r="AJ140" s="281"/>
      <c r="AK140" s="281"/>
      <c r="AL140" s="281"/>
      <c r="AM140" s="281"/>
    </row>
    <row r="141">
      <c r="A141" s="31">
        <f t="shared" ref="A141:A142" si="57">A140+1</f>
        <v>2</v>
      </c>
      <c r="B141" s="62" t="s">
        <v>280</v>
      </c>
      <c r="C141" s="95" t="str">
        <f>VLOOKUP($B141,'Rate card'!$A$4:$G280,2,FALSE)</f>
        <v>Carpentry</v>
      </c>
      <c r="D141" s="33" t="str">
        <f>VLOOKUP($B141,'Rate card'!$A$4:$G280,3,FALSE)</f>
        <v>Mirror panelling</v>
      </c>
      <c r="E141" s="33" t="str">
        <f>VLOOKUP($B141,'Rate card'!$A$4:$G280,4,FALSE)</f>
        <v>Mirror finish</v>
      </c>
      <c r="F141" s="33" t="str">
        <f>VLOOKUP($B141,'Rate card'!$A$4:$G280,5,FALSE)</f>
        <v>MRply + ply framing + finish mirror</v>
      </c>
      <c r="G141" s="95" t="str">
        <f>VLOOKUP($B141,'Rate card'!$A$4:$G280,6,FALSE)</f>
        <v>Ls</v>
      </c>
      <c r="H141" s="94">
        <f>VLOOKUP($B141,'Rate card'!$A$4:$J280,8,FALSE)</f>
        <v>7000</v>
      </c>
      <c r="I141" s="78" t="s">
        <v>16</v>
      </c>
      <c r="J141" s="69">
        <f t="shared" si="55"/>
        <v>7000</v>
      </c>
      <c r="K141" s="78" t="s">
        <v>16</v>
      </c>
      <c r="L141" s="79">
        <f t="shared" si="56"/>
        <v>7000</v>
      </c>
      <c r="M141" s="77" t="s">
        <v>16</v>
      </c>
      <c r="N141" s="62" t="s">
        <v>281</v>
      </c>
      <c r="O141" s="553"/>
      <c r="P141" s="553"/>
      <c r="Q141" s="605">
        <f>VLOOKUP($B141,'Rate card'!$A$4:$J280,7,FALSE)</f>
        <v>5500</v>
      </c>
      <c r="R141" s="444">
        <f t="shared" si="51"/>
        <v>5500</v>
      </c>
      <c r="S141" s="583">
        <f t="shared" si="20"/>
        <v>0.0007238384616</v>
      </c>
      <c r="T141" s="281"/>
      <c r="U141" s="281"/>
      <c r="V141" s="281"/>
      <c r="W141" s="281"/>
      <c r="X141" s="281"/>
      <c r="Y141" s="281"/>
      <c r="Z141" s="281"/>
      <c r="AA141" s="281"/>
      <c r="AB141" s="281"/>
      <c r="AC141" s="281"/>
      <c r="AD141" s="281"/>
      <c r="AE141" s="281"/>
      <c r="AF141" s="281"/>
      <c r="AG141" s="281"/>
      <c r="AH141" s="281"/>
      <c r="AI141" s="281"/>
      <c r="AJ141" s="281"/>
      <c r="AK141" s="281"/>
      <c r="AL141" s="281"/>
      <c r="AM141" s="281"/>
    </row>
    <row r="142">
      <c r="A142" s="31">
        <f t="shared" si="57"/>
        <v>3</v>
      </c>
      <c r="B142" s="62" t="s">
        <v>282</v>
      </c>
      <c r="C142" s="95" t="str">
        <f>VLOOKUP($B142,'Rate card'!$A$4:$G280,2,FALSE)</f>
        <v>Carpentry</v>
      </c>
      <c r="D142" s="95" t="str">
        <f>VLOOKUP($B142,'Rate card'!$A$4:$G280,3,FALSE)</f>
        <v>Glass Partiton</v>
      </c>
      <c r="E142" s="95" t="str">
        <f>VLOOKUP($B142,'Rate card'!$A$4:$G280,4,FALSE)</f>
        <v>12mm toughned glass</v>
      </c>
      <c r="F142" s="95" t="str">
        <f>VLOOKUP($B142,'Rate card'!$A$4:$G280,5,FALSE)</f>
        <v>12mm toughned glass + Fitting labour + loading, unloading + All fitting hardware + Silicon etc</v>
      </c>
      <c r="G142" s="95" t="str">
        <f>VLOOKUP($B142,'Rate card'!$A$4:$G280,6,FALSE)</f>
        <v>Sqft</v>
      </c>
      <c r="H142" s="62">
        <v>950.0</v>
      </c>
      <c r="I142" s="78">
        <f>5*9</f>
        <v>45</v>
      </c>
      <c r="J142" s="69">
        <f t="shared" si="55"/>
        <v>42750</v>
      </c>
      <c r="K142" s="78">
        <f>5*9</f>
        <v>45</v>
      </c>
      <c r="L142" s="79">
        <f t="shared" si="56"/>
        <v>42750</v>
      </c>
      <c r="M142" s="77">
        <f>5*9</f>
        <v>45</v>
      </c>
      <c r="N142" s="62" t="s">
        <v>283</v>
      </c>
      <c r="O142" s="553"/>
      <c r="P142" s="553"/>
      <c r="Q142" s="124">
        <f>VLOOKUP($B142,'Rate card'!$A$4:$J280,7,FALSE)</f>
        <v>450</v>
      </c>
      <c r="R142" s="281">
        <f t="shared" si="51"/>
        <v>20250</v>
      </c>
      <c r="S142" s="583">
        <f t="shared" si="20"/>
        <v>0.00442058489</v>
      </c>
      <c r="T142" s="281"/>
      <c r="U142" s="281"/>
      <c r="V142" s="281"/>
      <c r="W142" s="281"/>
      <c r="X142" s="281"/>
      <c r="Y142" s="281"/>
      <c r="Z142" s="281"/>
      <c r="AA142" s="281"/>
      <c r="AB142" s="281"/>
      <c r="AC142" s="281"/>
      <c r="AD142" s="281"/>
      <c r="AE142" s="281"/>
      <c r="AF142" s="281"/>
      <c r="AG142" s="281"/>
      <c r="AH142" s="281"/>
      <c r="AI142" s="281"/>
      <c r="AJ142" s="281"/>
      <c r="AK142" s="281"/>
      <c r="AL142" s="281"/>
      <c r="AM142" s="281"/>
    </row>
    <row r="143">
      <c r="A143" s="30" t="s">
        <v>285</v>
      </c>
      <c r="B143" s="294"/>
      <c r="C143" s="294"/>
      <c r="D143" s="294"/>
      <c r="E143" s="294"/>
      <c r="F143" s="294"/>
      <c r="G143" s="294"/>
      <c r="H143" s="426"/>
      <c r="I143" s="298"/>
      <c r="J143" s="426"/>
      <c r="K143" s="298"/>
      <c r="L143" s="426"/>
      <c r="M143" s="298"/>
      <c r="N143" s="294"/>
      <c r="O143" s="553"/>
      <c r="P143" s="553"/>
      <c r="Q143" s="124">
        <f>VLOOKUP($B143,'Rate card'!$A$4:$J280,7,FALSE)</f>
        <v>0</v>
      </c>
      <c r="R143" s="281">
        <f t="shared" si="51"/>
        <v>0</v>
      </c>
      <c r="S143" s="583">
        <f t="shared" si="20"/>
        <v>0</v>
      </c>
      <c r="T143" s="281"/>
      <c r="U143" s="281"/>
      <c r="V143" s="281"/>
      <c r="W143" s="281"/>
      <c r="X143" s="281"/>
      <c r="Y143" s="281"/>
      <c r="Z143" s="281"/>
      <c r="AA143" s="281"/>
      <c r="AB143" s="281"/>
      <c r="AC143" s="281"/>
      <c r="AD143" s="281"/>
      <c r="AE143" s="281"/>
      <c r="AF143" s="281"/>
      <c r="AG143" s="281"/>
      <c r="AH143" s="281"/>
      <c r="AI143" s="281"/>
      <c r="AJ143" s="281"/>
      <c r="AK143" s="281"/>
      <c r="AL143" s="281"/>
      <c r="AM143" s="281"/>
    </row>
    <row r="144">
      <c r="A144" s="31" t="s">
        <v>16</v>
      </c>
      <c r="B144" s="62" t="s">
        <v>170</v>
      </c>
      <c r="C144" s="94" t="str">
        <f>VLOOKUP($B144,'Rate card'!$A$4:$G280,2,FALSE)</f>
        <v>Carpentry</v>
      </c>
      <c r="D144" s="94" t="str">
        <f>VLOOKUP($B144,'Rate card'!$A$4:$G280,3,FALSE)</f>
        <v>Carcass Storage</v>
      </c>
      <c r="E144" s="94" t="str">
        <f>VLOOKUP($B144,'Rate card'!$A$4:$G280,4,FALSE)</f>
        <v>Laminate Finish</v>
      </c>
      <c r="F144" s="94" t="str">
        <f>VLOOKUP($B144,'Rate card'!$A$4:$G280,5,FALSE)</f>
        <v>MR ply + Inside laminate + finish laminate</v>
      </c>
      <c r="G144" s="94" t="str">
        <f>VLOOKUP($B144,'Rate card'!$A$4:$G280,6,FALSE)</f>
        <v>Sqft</v>
      </c>
      <c r="H144" s="94">
        <f>VLOOKUP($B144,'Rate card'!$A$4:$J280,8,FALSE)</f>
        <v>1800</v>
      </c>
      <c r="I144" s="78" t="s">
        <v>32</v>
      </c>
      <c r="J144" s="79">
        <f t="shared" ref="J144:J146" si="58">H144*I144</f>
        <v>10800</v>
      </c>
      <c r="K144" s="78" t="s">
        <v>32</v>
      </c>
      <c r="L144" s="79">
        <f t="shared" ref="L144:L146" si="59">K144*H144</f>
        <v>10800</v>
      </c>
      <c r="M144" s="77" t="s">
        <v>32</v>
      </c>
      <c r="N144" s="62" t="s">
        <v>279</v>
      </c>
      <c r="O144" s="553"/>
      <c r="P144" s="553"/>
      <c r="Q144" s="124">
        <f>VLOOKUP($B144,'Rate card'!$A$4:$J280,7,FALSE)</f>
        <v>1350</v>
      </c>
      <c r="R144" s="281">
        <f t="shared" si="51"/>
        <v>8100</v>
      </c>
      <c r="S144" s="583">
        <f t="shared" si="20"/>
        <v>0.001116779341</v>
      </c>
      <c r="T144" s="281"/>
      <c r="U144" s="281"/>
      <c r="V144" s="281"/>
      <c r="W144" s="281"/>
      <c r="X144" s="281"/>
      <c r="Y144" s="281"/>
      <c r="Z144" s="281"/>
      <c r="AA144" s="281"/>
      <c r="AB144" s="281"/>
      <c r="AC144" s="281"/>
      <c r="AD144" s="281"/>
      <c r="AE144" s="281"/>
      <c r="AF144" s="281"/>
      <c r="AG144" s="281"/>
      <c r="AH144" s="281"/>
      <c r="AI144" s="281"/>
      <c r="AJ144" s="281"/>
      <c r="AK144" s="281"/>
      <c r="AL144" s="281"/>
      <c r="AM144" s="281"/>
    </row>
    <row r="145">
      <c r="A145" s="31">
        <f t="shared" ref="A145:A146" si="60">A144+1</f>
        <v>2</v>
      </c>
      <c r="B145" s="62" t="s">
        <v>280</v>
      </c>
      <c r="C145" s="95" t="str">
        <f>VLOOKUP($B145,'Rate card'!$A$4:$G280,2,FALSE)</f>
        <v>Carpentry</v>
      </c>
      <c r="D145" s="33" t="str">
        <f>VLOOKUP($B145,'Rate card'!$A$4:$G280,3,FALSE)</f>
        <v>Mirror panelling</v>
      </c>
      <c r="E145" s="33" t="str">
        <f>VLOOKUP($B145,'Rate card'!$A$4:$G280,4,FALSE)</f>
        <v>Mirror finish</v>
      </c>
      <c r="F145" s="33" t="str">
        <f>VLOOKUP($B145,'Rate card'!$A$4:$G280,5,FALSE)</f>
        <v>MRply + ply framing + finish mirror</v>
      </c>
      <c r="G145" s="95" t="str">
        <f>VLOOKUP($B145,'Rate card'!$A$4:$G280,6,FALSE)</f>
        <v>Ls</v>
      </c>
      <c r="H145" s="94">
        <f>VLOOKUP($B145,'Rate card'!$A$4:$J280,8,FALSE)</f>
        <v>7000</v>
      </c>
      <c r="I145" s="78" t="s">
        <v>16</v>
      </c>
      <c r="J145" s="69">
        <f t="shared" si="58"/>
        <v>7000</v>
      </c>
      <c r="K145" s="78" t="s">
        <v>16</v>
      </c>
      <c r="L145" s="79">
        <f t="shared" si="59"/>
        <v>7000</v>
      </c>
      <c r="M145" s="77" t="s">
        <v>16</v>
      </c>
      <c r="N145" s="62" t="s">
        <v>281</v>
      </c>
      <c r="O145" s="553"/>
      <c r="P145" s="553"/>
      <c r="Q145" s="605">
        <f>VLOOKUP($B145,'Rate card'!$A$4:$J280,7,FALSE)</f>
        <v>5500</v>
      </c>
      <c r="R145" s="444">
        <f t="shared" si="51"/>
        <v>5500</v>
      </c>
      <c r="S145" s="583">
        <f t="shared" si="20"/>
        <v>0.0007238384616</v>
      </c>
      <c r="T145" s="281"/>
      <c r="U145" s="281"/>
      <c r="V145" s="281"/>
      <c r="W145" s="281"/>
      <c r="X145" s="281"/>
      <c r="Y145" s="281"/>
      <c r="Z145" s="281"/>
      <c r="AA145" s="281"/>
      <c r="AB145" s="281"/>
      <c r="AC145" s="281"/>
      <c r="AD145" s="281"/>
      <c r="AE145" s="281"/>
      <c r="AF145" s="281"/>
      <c r="AG145" s="281"/>
      <c r="AH145" s="281"/>
      <c r="AI145" s="281"/>
      <c r="AJ145" s="281"/>
      <c r="AK145" s="281"/>
      <c r="AL145" s="281"/>
      <c r="AM145" s="281"/>
    </row>
    <row r="146">
      <c r="A146" s="31">
        <f t="shared" si="60"/>
        <v>3</v>
      </c>
      <c r="B146" s="62" t="s">
        <v>282</v>
      </c>
      <c r="C146" s="95" t="str">
        <f>VLOOKUP($B146,'Rate card'!$A$4:$G280,2,FALSE)</f>
        <v>Carpentry</v>
      </c>
      <c r="D146" s="95" t="str">
        <f>VLOOKUP($B146,'Rate card'!$A$4:$G280,3,FALSE)</f>
        <v>Glass Partiton</v>
      </c>
      <c r="E146" s="95" t="str">
        <f>VLOOKUP($B146,'Rate card'!$A$4:$G280,4,FALSE)</f>
        <v>12mm toughned glass</v>
      </c>
      <c r="F146" s="95" t="str">
        <f>VLOOKUP($B146,'Rate card'!$A$4:$G280,5,FALSE)</f>
        <v>12mm toughned glass + Fitting labour + loading, unloading + All fitting hardware + Silicon etc</v>
      </c>
      <c r="G146" s="95" t="str">
        <f>VLOOKUP($B146,'Rate card'!$A$4:$G280,6,FALSE)</f>
        <v>Sqft</v>
      </c>
      <c r="H146" s="62">
        <v>950.0</v>
      </c>
      <c r="I146" s="78">
        <f>5*9</f>
        <v>45</v>
      </c>
      <c r="J146" s="69">
        <f t="shared" si="58"/>
        <v>42750</v>
      </c>
      <c r="K146" s="78">
        <f>5*9</f>
        <v>45</v>
      </c>
      <c r="L146" s="79">
        <f t="shared" si="59"/>
        <v>42750</v>
      </c>
      <c r="M146" s="77">
        <f>5*9</f>
        <v>45</v>
      </c>
      <c r="N146" s="62" t="s">
        <v>283</v>
      </c>
      <c r="O146" s="553"/>
      <c r="P146" s="553"/>
      <c r="Q146" s="124">
        <f>VLOOKUP($B146,'Rate card'!$A$4:$J280,7,FALSE)</f>
        <v>450</v>
      </c>
      <c r="R146" s="281">
        <f t="shared" si="51"/>
        <v>20250</v>
      </c>
      <c r="S146" s="583">
        <f t="shared" si="20"/>
        <v>0.00442058489</v>
      </c>
      <c r="T146" s="281"/>
      <c r="U146" s="281"/>
      <c r="V146" s="281"/>
      <c r="W146" s="281"/>
      <c r="X146" s="281"/>
      <c r="Y146" s="281"/>
      <c r="Z146" s="281"/>
      <c r="AA146" s="281"/>
      <c r="AB146" s="281"/>
      <c r="AC146" s="281"/>
      <c r="AD146" s="281"/>
      <c r="AE146" s="281"/>
      <c r="AF146" s="281"/>
      <c r="AG146" s="281"/>
      <c r="AH146" s="281"/>
      <c r="AI146" s="281"/>
      <c r="AJ146" s="281"/>
      <c r="AK146" s="281"/>
      <c r="AL146" s="281"/>
      <c r="AM146" s="281"/>
    </row>
    <row r="147">
      <c r="A147" s="30" t="s">
        <v>286</v>
      </c>
      <c r="B147" s="294"/>
      <c r="C147" s="294"/>
      <c r="D147" s="294"/>
      <c r="E147" s="294"/>
      <c r="F147" s="294"/>
      <c r="G147" s="294"/>
      <c r="H147" s="426"/>
      <c r="I147" s="298"/>
      <c r="J147" s="426"/>
      <c r="K147" s="298"/>
      <c r="L147" s="426"/>
      <c r="M147" s="298"/>
      <c r="N147" s="294"/>
      <c r="O147" s="553"/>
      <c r="P147" s="553"/>
      <c r="Q147" s="124">
        <f>VLOOKUP($B147,'Rate card'!$A$4:$J280,7,FALSE)</f>
        <v>0</v>
      </c>
      <c r="R147" s="281">
        <f t="shared" si="51"/>
        <v>0</v>
      </c>
      <c r="S147" s="583">
        <f t="shared" si="20"/>
        <v>0</v>
      </c>
      <c r="T147" s="281"/>
      <c r="U147" s="281"/>
      <c r="V147" s="281"/>
      <c r="W147" s="281"/>
      <c r="X147" s="281"/>
      <c r="Y147" s="281"/>
      <c r="Z147" s="281"/>
      <c r="AA147" s="281"/>
      <c r="AB147" s="281"/>
      <c r="AC147" s="281"/>
      <c r="AD147" s="281"/>
      <c r="AE147" s="281"/>
      <c r="AF147" s="281"/>
      <c r="AG147" s="281"/>
      <c r="AH147" s="281"/>
      <c r="AI147" s="281"/>
      <c r="AJ147" s="281"/>
      <c r="AK147" s="281"/>
      <c r="AL147" s="281"/>
      <c r="AM147" s="281"/>
    </row>
    <row r="148">
      <c r="A148" s="31" t="s">
        <v>16</v>
      </c>
      <c r="B148" s="62" t="s">
        <v>170</v>
      </c>
      <c r="C148" s="94" t="str">
        <f>VLOOKUP($B148,'Rate card'!$A$4:$G280,2,FALSE)</f>
        <v>Carpentry</v>
      </c>
      <c r="D148" s="94" t="str">
        <f>VLOOKUP($B148,'Rate card'!$A$4:$G280,3,FALSE)</f>
        <v>Carcass Storage</v>
      </c>
      <c r="E148" s="94" t="str">
        <f>VLOOKUP($B148,'Rate card'!$A$4:$G280,4,FALSE)</f>
        <v>Laminate Finish</v>
      </c>
      <c r="F148" s="94" t="str">
        <f>VLOOKUP($B148,'Rate card'!$A$4:$G280,5,FALSE)</f>
        <v>MR ply + Inside laminate + finish laminate</v>
      </c>
      <c r="G148" s="94" t="str">
        <f>VLOOKUP($B148,'Rate card'!$A$4:$G280,6,FALSE)</f>
        <v>Sqft</v>
      </c>
      <c r="H148" s="94">
        <f>VLOOKUP($B148,'Rate card'!$A$4:$J280,8,FALSE)</f>
        <v>1800</v>
      </c>
      <c r="I148" s="78" t="s">
        <v>32</v>
      </c>
      <c r="J148" s="79">
        <f t="shared" ref="J148:J150" si="61">H148*I148</f>
        <v>10800</v>
      </c>
      <c r="K148" s="78" t="s">
        <v>32</v>
      </c>
      <c r="L148" s="79">
        <f t="shared" ref="L148:L150" si="62">K148*H148</f>
        <v>10800</v>
      </c>
      <c r="M148" s="77" t="s">
        <v>32</v>
      </c>
      <c r="N148" s="62" t="s">
        <v>279</v>
      </c>
      <c r="O148" s="553"/>
      <c r="P148" s="553"/>
      <c r="Q148" s="124">
        <f>VLOOKUP($B148,'Rate card'!$A$4:$J280,7,FALSE)</f>
        <v>1350</v>
      </c>
      <c r="R148" s="281">
        <f t="shared" si="51"/>
        <v>8100</v>
      </c>
      <c r="S148" s="583">
        <f t="shared" si="20"/>
        <v>0.001116779341</v>
      </c>
      <c r="T148" s="281"/>
      <c r="U148" s="281"/>
      <c r="V148" s="281"/>
      <c r="W148" s="281"/>
      <c r="X148" s="281"/>
      <c r="Y148" s="281"/>
      <c r="Z148" s="281"/>
      <c r="AA148" s="281"/>
      <c r="AB148" s="281"/>
      <c r="AC148" s="281"/>
      <c r="AD148" s="281"/>
      <c r="AE148" s="281"/>
      <c r="AF148" s="281"/>
      <c r="AG148" s="281"/>
      <c r="AH148" s="281"/>
      <c r="AI148" s="281"/>
      <c r="AJ148" s="281"/>
      <c r="AK148" s="281"/>
      <c r="AL148" s="281"/>
      <c r="AM148" s="281"/>
    </row>
    <row r="149">
      <c r="A149" s="31">
        <f t="shared" ref="A149:A150" si="63">A148+1</f>
        <v>2</v>
      </c>
      <c r="B149" s="62" t="s">
        <v>280</v>
      </c>
      <c r="C149" s="95" t="str">
        <f>VLOOKUP($B149,'Rate card'!$A$4:$G280,2,FALSE)</f>
        <v>Carpentry</v>
      </c>
      <c r="D149" s="33" t="str">
        <f>VLOOKUP($B149,'Rate card'!$A$4:$G280,3,FALSE)</f>
        <v>Mirror panelling</v>
      </c>
      <c r="E149" s="33" t="str">
        <f>VLOOKUP($B149,'Rate card'!$A$4:$G280,4,FALSE)</f>
        <v>Mirror finish</v>
      </c>
      <c r="F149" s="33" t="str">
        <f>VLOOKUP($B149,'Rate card'!$A$4:$G280,5,FALSE)</f>
        <v>MRply + ply framing + finish mirror</v>
      </c>
      <c r="G149" s="95" t="str">
        <f>VLOOKUP($B149,'Rate card'!$A$4:$G280,6,FALSE)</f>
        <v>Ls</v>
      </c>
      <c r="H149" s="94">
        <f>VLOOKUP($B149,'Rate card'!$A$4:$J280,8,FALSE)</f>
        <v>7000</v>
      </c>
      <c r="I149" s="78" t="s">
        <v>16</v>
      </c>
      <c r="J149" s="69">
        <f t="shared" si="61"/>
        <v>7000</v>
      </c>
      <c r="K149" s="78" t="s">
        <v>16</v>
      </c>
      <c r="L149" s="79">
        <f t="shared" si="62"/>
        <v>7000</v>
      </c>
      <c r="M149" s="77" t="s">
        <v>16</v>
      </c>
      <c r="N149" s="62" t="s">
        <v>281</v>
      </c>
      <c r="O149" s="553"/>
      <c r="P149" s="553"/>
      <c r="Q149" s="605">
        <f>VLOOKUP($B149,'Rate card'!$A$4:$J280,7,FALSE)</f>
        <v>5500</v>
      </c>
      <c r="R149" s="444">
        <f t="shared" si="51"/>
        <v>5500</v>
      </c>
      <c r="S149" s="583">
        <f t="shared" si="20"/>
        <v>0.0007238384616</v>
      </c>
      <c r="T149" s="281"/>
      <c r="U149" s="281"/>
      <c r="V149" s="281"/>
      <c r="W149" s="281"/>
      <c r="X149" s="281"/>
      <c r="Y149" s="281"/>
      <c r="Z149" s="281"/>
      <c r="AA149" s="281"/>
      <c r="AB149" s="281"/>
      <c r="AC149" s="281"/>
      <c r="AD149" s="281"/>
      <c r="AE149" s="281"/>
      <c r="AF149" s="281"/>
      <c r="AG149" s="281"/>
      <c r="AH149" s="281"/>
      <c r="AI149" s="281"/>
      <c r="AJ149" s="281"/>
      <c r="AK149" s="281"/>
      <c r="AL149" s="281"/>
      <c r="AM149" s="281"/>
    </row>
    <row r="150">
      <c r="A150" s="31">
        <f t="shared" si="63"/>
        <v>3</v>
      </c>
      <c r="B150" s="62" t="s">
        <v>282</v>
      </c>
      <c r="C150" s="95" t="str">
        <f>VLOOKUP($B150,'Rate card'!$A$4:$G280,2,FALSE)</f>
        <v>Carpentry</v>
      </c>
      <c r="D150" s="95" t="str">
        <f>VLOOKUP($B150,'Rate card'!$A$4:$G280,3,FALSE)</f>
        <v>Glass Partiton</v>
      </c>
      <c r="E150" s="95" t="str">
        <f>VLOOKUP($B150,'Rate card'!$A$4:$G280,4,FALSE)</f>
        <v>12mm toughned glass</v>
      </c>
      <c r="F150" s="95" t="str">
        <f>VLOOKUP($B150,'Rate card'!$A$4:$G280,5,FALSE)</f>
        <v>12mm toughned glass + Fitting labour + loading, unloading + All fitting hardware + Silicon etc</v>
      </c>
      <c r="G150" s="95" t="str">
        <f>VLOOKUP($B150,'Rate card'!$A$4:$G280,6,FALSE)</f>
        <v>Sqft</v>
      </c>
      <c r="H150" s="62">
        <v>950.0</v>
      </c>
      <c r="I150" s="78">
        <f>6.5*9</f>
        <v>58.5</v>
      </c>
      <c r="J150" s="69">
        <f t="shared" si="61"/>
        <v>55575</v>
      </c>
      <c r="K150" s="78">
        <f>6.5*9</f>
        <v>58.5</v>
      </c>
      <c r="L150" s="79">
        <f t="shared" si="62"/>
        <v>55575</v>
      </c>
      <c r="M150" s="77">
        <f>6.5*9</f>
        <v>58.5</v>
      </c>
      <c r="N150" s="62" t="s">
        <v>283</v>
      </c>
      <c r="O150" s="553"/>
      <c r="P150" s="553"/>
      <c r="Q150" s="124">
        <f>VLOOKUP($B150,'Rate card'!$A$4:$J280,7,FALSE)</f>
        <v>450</v>
      </c>
      <c r="R150" s="281">
        <f t="shared" si="51"/>
        <v>26325</v>
      </c>
      <c r="S150" s="583">
        <f t="shared" si="20"/>
        <v>0.005746760358</v>
      </c>
      <c r="T150" s="281"/>
      <c r="U150" s="281"/>
      <c r="V150" s="281"/>
      <c r="W150" s="281"/>
      <c r="X150" s="281"/>
      <c r="Y150" s="281"/>
      <c r="Z150" s="281"/>
      <c r="AA150" s="281"/>
      <c r="AB150" s="281"/>
      <c r="AC150" s="281"/>
      <c r="AD150" s="281"/>
      <c r="AE150" s="281"/>
      <c r="AF150" s="281"/>
      <c r="AG150" s="281"/>
      <c r="AH150" s="281"/>
      <c r="AI150" s="281"/>
      <c r="AJ150" s="281"/>
      <c r="AK150" s="281"/>
      <c r="AL150" s="281"/>
      <c r="AM150" s="281"/>
    </row>
    <row r="151">
      <c r="A151" s="30" t="s">
        <v>287</v>
      </c>
      <c r="B151" s="294"/>
      <c r="C151" s="294"/>
      <c r="D151" s="294"/>
      <c r="E151" s="294"/>
      <c r="F151" s="294"/>
      <c r="G151" s="294"/>
      <c r="H151" s="426"/>
      <c r="I151" s="298"/>
      <c r="J151" s="426"/>
      <c r="K151" s="298"/>
      <c r="L151" s="426"/>
      <c r="M151" s="298"/>
      <c r="N151" s="294"/>
      <c r="O151" s="553"/>
      <c r="P151" s="553"/>
      <c r="Q151" s="124">
        <f>VLOOKUP($B151,'Rate card'!$A$4:$J280,7,FALSE)</f>
        <v>0</v>
      </c>
      <c r="R151" s="281">
        <f t="shared" si="51"/>
        <v>0</v>
      </c>
      <c r="S151" s="583">
        <f t="shared" si="20"/>
        <v>0</v>
      </c>
      <c r="T151" s="281"/>
      <c r="U151" s="281"/>
      <c r="V151" s="281"/>
      <c r="W151" s="281"/>
      <c r="X151" s="281"/>
      <c r="Y151" s="281"/>
      <c r="Z151" s="281"/>
      <c r="AA151" s="281"/>
      <c r="AB151" s="281"/>
      <c r="AC151" s="281"/>
      <c r="AD151" s="281"/>
      <c r="AE151" s="281"/>
      <c r="AF151" s="281"/>
      <c r="AG151" s="281"/>
      <c r="AH151" s="281"/>
      <c r="AI151" s="281"/>
      <c r="AJ151" s="281"/>
      <c r="AK151" s="281"/>
      <c r="AL151" s="281"/>
      <c r="AM151" s="281"/>
    </row>
    <row r="152">
      <c r="A152" s="31" t="s">
        <v>16</v>
      </c>
      <c r="B152" s="62" t="s">
        <v>170</v>
      </c>
      <c r="C152" s="94" t="str">
        <f>VLOOKUP($B152,'Rate card'!$A$4:$G280,2,FALSE)</f>
        <v>Carpentry</v>
      </c>
      <c r="D152" s="62" t="s">
        <v>290</v>
      </c>
      <c r="E152" s="62" t="s">
        <v>164</v>
      </c>
      <c r="F152" s="62" t="s">
        <v>291</v>
      </c>
      <c r="G152" s="62" t="s">
        <v>289</v>
      </c>
      <c r="H152" s="62">
        <v>40000.0</v>
      </c>
      <c r="I152" s="78" t="s">
        <v>100</v>
      </c>
      <c r="J152" s="79">
        <f>H152*I152</f>
        <v>480000</v>
      </c>
      <c r="K152" s="78" t="s">
        <v>100</v>
      </c>
      <c r="L152" s="79">
        <f>K152*H152</f>
        <v>480000</v>
      </c>
      <c r="M152" s="77" t="s">
        <v>100</v>
      </c>
      <c r="N152" s="62" t="s">
        <v>638</v>
      </c>
      <c r="O152" s="553"/>
      <c r="P152" s="553"/>
      <c r="Q152" s="124">
        <f>VLOOKUP($B152,'Rate card'!$A$4:$J280,7,FALSE)</f>
        <v>1350</v>
      </c>
      <c r="R152" s="281">
        <f t="shared" si="51"/>
        <v>16200</v>
      </c>
      <c r="S152" s="583">
        <f t="shared" si="20"/>
        <v>0.04963463737</v>
      </c>
      <c r="T152" s="281"/>
      <c r="U152" s="281"/>
      <c r="V152" s="281"/>
      <c r="W152" s="281"/>
      <c r="X152" s="281"/>
      <c r="Y152" s="281"/>
      <c r="Z152" s="281"/>
      <c r="AA152" s="281"/>
      <c r="AB152" s="281"/>
      <c r="AC152" s="281"/>
      <c r="AD152" s="281"/>
      <c r="AE152" s="281"/>
      <c r="AF152" s="281"/>
      <c r="AG152" s="281"/>
      <c r="AH152" s="281"/>
      <c r="AI152" s="281"/>
      <c r="AJ152" s="281"/>
      <c r="AK152" s="281"/>
      <c r="AL152" s="281"/>
      <c r="AM152" s="281"/>
    </row>
    <row r="153">
      <c r="A153" s="564"/>
      <c r="B153" s="451"/>
      <c r="C153" s="451"/>
      <c r="D153" s="451"/>
      <c r="E153" s="451"/>
      <c r="F153" s="451"/>
      <c r="G153" s="451"/>
      <c r="H153" s="606"/>
      <c r="I153" s="83" t="s">
        <v>125</v>
      </c>
      <c r="J153" s="92">
        <f>SUM(J63:J152)</f>
        <v>4628512.5</v>
      </c>
      <c r="K153" s="83" t="s">
        <v>125</v>
      </c>
      <c r="L153" s="92">
        <f>SUM(L63:L152)</f>
        <v>5298040</v>
      </c>
      <c r="M153" s="83" t="s">
        <v>125</v>
      </c>
      <c r="N153" s="451"/>
      <c r="O153" s="553"/>
      <c r="P153" s="451"/>
      <c r="Q153" s="452"/>
      <c r="R153" s="325"/>
      <c r="S153" s="583"/>
      <c r="T153" s="325"/>
      <c r="U153" s="325"/>
      <c r="V153" s="325"/>
      <c r="W153" s="325"/>
      <c r="X153" s="325"/>
      <c r="Y153" s="325"/>
      <c r="Z153" s="325"/>
      <c r="AA153" s="325"/>
      <c r="AB153" s="325"/>
      <c r="AC153" s="325"/>
      <c r="AD153" s="325"/>
      <c r="AE153" s="325"/>
      <c r="AF153" s="325"/>
      <c r="AG153" s="325"/>
      <c r="AH153" s="325"/>
      <c r="AI153" s="325"/>
      <c r="AJ153" s="325"/>
      <c r="AK153" s="325"/>
      <c r="AL153" s="325"/>
      <c r="AM153" s="325"/>
    </row>
    <row r="154">
      <c r="A154" s="24" t="s">
        <v>33</v>
      </c>
      <c r="B154" s="294"/>
      <c r="C154" s="294"/>
      <c r="D154" s="294"/>
      <c r="E154" s="294"/>
      <c r="F154" s="294"/>
      <c r="G154" s="294"/>
      <c r="H154" s="426"/>
      <c r="I154" s="298"/>
      <c r="J154" s="426"/>
      <c r="K154" s="298"/>
      <c r="L154" s="426"/>
      <c r="M154" s="298"/>
      <c r="N154" s="294"/>
      <c r="O154" s="553"/>
      <c r="P154" s="553"/>
      <c r="Q154" s="372"/>
      <c r="R154" s="373"/>
      <c r="S154" s="583">
        <f t="shared" ref="S154:S159" si="64">L154/$D$22</f>
        <v>0</v>
      </c>
      <c r="T154" s="281"/>
      <c r="U154" s="281"/>
      <c r="V154" s="281"/>
      <c r="W154" s="281"/>
      <c r="X154" s="281"/>
      <c r="Y154" s="281"/>
      <c r="Z154" s="281"/>
      <c r="AA154" s="281"/>
      <c r="AB154" s="281"/>
      <c r="AC154" s="281"/>
      <c r="AD154" s="281"/>
      <c r="AE154" s="281"/>
      <c r="AF154" s="281"/>
      <c r="AG154" s="281"/>
      <c r="AH154" s="281"/>
      <c r="AI154" s="281"/>
      <c r="AJ154" s="281"/>
      <c r="AK154" s="281"/>
      <c r="AL154" s="281"/>
      <c r="AM154" s="281"/>
    </row>
    <row r="155">
      <c r="A155" s="31" t="s">
        <v>16</v>
      </c>
      <c r="B155" s="62" t="s">
        <v>297</v>
      </c>
      <c r="C155" s="77" t="str">
        <f>VLOOKUP($B155,'Rate card'!$A$4:$G280,2,FALSE)</f>
        <v>Paint</v>
      </c>
      <c r="D155" s="77" t="str">
        <f>VLOOKUP($B155,'Rate card'!$A$4:$G280,3,FALSE)</f>
        <v>Royal Shyne</v>
      </c>
      <c r="E155" s="77" t="str">
        <f>VLOOKUP($B155,'Rate card'!$A$4:$G280,4,FALSE)</f>
        <v>2 Primer + 1 Putty + 2 RLE</v>
      </c>
      <c r="F155" s="77" t="str">
        <f>VLOOKUP($B155,'Rate card'!$A$4:$G280,5,FALSE)</f>
        <v>Painting with royal Shyne on ceiling, to give an even shade – Two or more coats on new work including preparation of surface. (_putty+_primer+_paint) as per requirement</v>
      </c>
      <c r="G155" s="77" t="str">
        <f>VLOOKUP($B155,'Rate card'!$A$4:$G280,6,FALSE)</f>
        <v>Sqft</v>
      </c>
      <c r="H155" s="94">
        <f>VLOOKUP($B155,'Rate card'!$A$4:$J280,8,FALSE)</f>
        <v>42</v>
      </c>
      <c r="I155" s="78" t="s">
        <v>146</v>
      </c>
      <c r="J155" s="79">
        <f t="shared" ref="J155:J157" si="65">H155*I155</f>
        <v>70266</v>
      </c>
      <c r="K155" s="78" t="s">
        <v>146</v>
      </c>
      <c r="L155" s="79">
        <f t="shared" ref="L155:L159" si="66">K155*H155</f>
        <v>70266</v>
      </c>
      <c r="M155" s="77" t="s">
        <v>146</v>
      </c>
      <c r="N155" s="75" t="s">
        <v>294</v>
      </c>
      <c r="O155" s="553"/>
      <c r="P155" s="553"/>
      <c r="Q155" s="124">
        <f>VLOOKUP($B155,'Rate card'!$A$4:$J280,7,FALSE)</f>
        <v>35</v>
      </c>
      <c r="R155" s="281">
        <f t="shared" ref="R155:R156" si="67">I155*Q155</f>
        <v>58555</v>
      </c>
      <c r="S155" s="583">
        <f t="shared" si="64"/>
        <v>0.007265890477</v>
      </c>
      <c r="T155" s="281"/>
      <c r="U155" s="281"/>
      <c r="V155" s="281"/>
      <c r="W155" s="281"/>
      <c r="X155" s="281"/>
      <c r="Y155" s="281"/>
      <c r="Z155" s="281"/>
      <c r="AA155" s="281"/>
      <c r="AB155" s="281"/>
      <c r="AC155" s="281"/>
      <c r="AD155" s="281"/>
      <c r="AE155" s="281"/>
      <c r="AF155" s="281"/>
      <c r="AG155" s="281"/>
      <c r="AH155" s="281"/>
      <c r="AI155" s="281"/>
      <c r="AJ155" s="281"/>
      <c r="AK155" s="281"/>
      <c r="AL155" s="281"/>
      <c r="AM155" s="281"/>
    </row>
    <row r="156">
      <c r="A156" s="31">
        <f t="shared" ref="A156:A157" si="68">A155+1</f>
        <v>2</v>
      </c>
      <c r="B156" s="62" t="s">
        <v>298</v>
      </c>
      <c r="C156" s="77" t="str">
        <f>VLOOKUP($B156,'Rate card'!$A$4:$G280,2,FALSE)</f>
        <v>Paint</v>
      </c>
      <c r="D156" s="77" t="str">
        <f>VLOOKUP($B156,'Rate card'!$A$4:$G280,3,FALSE)</f>
        <v>Royal Shyne</v>
      </c>
      <c r="E156" s="77" t="str">
        <f>VLOOKUP($B156,'Rate card'!$A$4:$G280,4,FALSE)</f>
        <v>2 Primer + 1 Putty + 2 RLE</v>
      </c>
      <c r="F156" s="77" t="str">
        <f>VLOOKUP($B156,'Rate card'!$A$4:$G280,5,FALSE)</f>
        <v>Painting with royal Shyne on walls, to give an even shade – Two or more coats on new work including preparation of surface. (_putty+_primer+_paint) as per requirement</v>
      </c>
      <c r="G156" s="77" t="str">
        <f>VLOOKUP($B156,'Rate card'!$A$4:$G280,6,FALSE)</f>
        <v>Sqft</v>
      </c>
      <c r="H156" s="94">
        <f>VLOOKUP($B156,'Rate card'!$A$4:$J280,8,FALSE)</f>
        <v>45</v>
      </c>
      <c r="I156" s="109">
        <f>1673*2.5</f>
        <v>4182.5</v>
      </c>
      <c r="J156" s="79">
        <f t="shared" si="65"/>
        <v>188212.5</v>
      </c>
      <c r="K156" s="109">
        <f>1673*2.5</f>
        <v>4182.5</v>
      </c>
      <c r="L156" s="79">
        <f t="shared" si="66"/>
        <v>188212.5</v>
      </c>
      <c r="M156" s="110">
        <f>1673*2.5</f>
        <v>4182.5</v>
      </c>
      <c r="N156" s="75" t="s">
        <v>299</v>
      </c>
      <c r="O156" s="553"/>
      <c r="P156" s="553"/>
      <c r="Q156" s="124">
        <f>VLOOKUP($B156,'Rate card'!$A$4:$J280,7,FALSE)</f>
        <v>35</v>
      </c>
      <c r="R156" s="281">
        <f t="shared" si="67"/>
        <v>146387.5</v>
      </c>
      <c r="S156" s="583">
        <f t="shared" si="64"/>
        <v>0.01946220664</v>
      </c>
      <c r="T156" s="281"/>
      <c r="U156" s="281"/>
      <c r="V156" s="281"/>
      <c r="W156" s="281"/>
      <c r="X156" s="281"/>
      <c r="Y156" s="281"/>
      <c r="Z156" s="281"/>
      <c r="AA156" s="281"/>
      <c r="AB156" s="281"/>
      <c r="AC156" s="281"/>
      <c r="AD156" s="281"/>
      <c r="AE156" s="281"/>
      <c r="AF156" s="281"/>
      <c r="AG156" s="281"/>
      <c r="AH156" s="281"/>
      <c r="AI156" s="281"/>
      <c r="AJ156" s="281"/>
      <c r="AK156" s="281"/>
      <c r="AL156" s="281"/>
      <c r="AM156" s="281"/>
    </row>
    <row r="157">
      <c r="A157" s="33">
        <f t="shared" si="68"/>
        <v>3</v>
      </c>
      <c r="B157" s="94" t="s">
        <v>298</v>
      </c>
      <c r="C157" s="77" t="str">
        <f>VLOOKUP($B157,'Rate card'!$A$4:$G280,2,FALSE)</f>
        <v>Paint</v>
      </c>
      <c r="D157" s="94" t="s">
        <v>300</v>
      </c>
      <c r="E157" s="77" t="str">
        <f>VLOOKUP($B157,'Rate card'!$A$4:$G280,4,FALSE)</f>
        <v>2 Primer + 1 Putty + 2 RLE</v>
      </c>
      <c r="F157" s="77" t="str">
        <f>VLOOKUP($B157,'Rate card'!$A$4:$G280,5,FALSE)</f>
        <v>Painting with royal Shyne on walls, to give an even shade – Two or more coats on new work including preparation of surface. (_putty+_primer+_paint) as per requirement</v>
      </c>
      <c r="G157" s="94" t="s">
        <v>185</v>
      </c>
      <c r="H157" s="62">
        <v>50000.0</v>
      </c>
      <c r="I157" s="110">
        <v>1.0</v>
      </c>
      <c r="J157" s="79">
        <f t="shared" si="65"/>
        <v>50000</v>
      </c>
      <c r="K157" s="110">
        <v>1.0</v>
      </c>
      <c r="L157" s="79">
        <f t="shared" si="66"/>
        <v>50000</v>
      </c>
      <c r="M157" s="110">
        <v>1.0</v>
      </c>
      <c r="N157" s="95" t="s">
        <v>299</v>
      </c>
      <c r="O157" s="553"/>
      <c r="P157" s="553"/>
      <c r="Q157" s="591"/>
      <c r="R157" s="282"/>
      <c r="S157" s="583">
        <f t="shared" si="64"/>
        <v>0.005170274726</v>
      </c>
      <c r="T157" s="281"/>
      <c r="U157" s="281"/>
      <c r="V157" s="281"/>
      <c r="W157" s="281"/>
      <c r="X157" s="281"/>
      <c r="Y157" s="281"/>
      <c r="Z157" s="281"/>
      <c r="AA157" s="281"/>
      <c r="AB157" s="281"/>
      <c r="AC157" s="281"/>
      <c r="AD157" s="281"/>
      <c r="AE157" s="281"/>
      <c r="AF157" s="281"/>
      <c r="AG157" s="281"/>
      <c r="AH157" s="281"/>
      <c r="AI157" s="281"/>
      <c r="AJ157" s="281"/>
      <c r="AK157" s="281"/>
      <c r="AL157" s="281"/>
      <c r="AM157" s="281"/>
    </row>
    <row r="158">
      <c r="A158" s="33"/>
      <c r="B158" s="95"/>
      <c r="C158" s="78" t="s">
        <v>301</v>
      </c>
      <c r="D158" s="78" t="s">
        <v>301</v>
      </c>
      <c r="E158" s="584"/>
      <c r="F158" s="33"/>
      <c r="G158" s="78" t="s">
        <v>175</v>
      </c>
      <c r="H158" s="62">
        <v>350.0</v>
      </c>
      <c r="I158" s="111"/>
      <c r="J158" s="79"/>
      <c r="K158" s="111">
        <v>1500.0</v>
      </c>
      <c r="L158" s="79">
        <f t="shared" si="66"/>
        <v>525000</v>
      </c>
      <c r="M158" s="607"/>
      <c r="N158" s="94"/>
      <c r="O158" s="553"/>
      <c r="P158" s="581"/>
      <c r="Q158" s="582"/>
      <c r="R158" s="299"/>
      <c r="S158" s="583">
        <f t="shared" si="64"/>
        <v>0.05428788462</v>
      </c>
      <c r="T158" s="297"/>
      <c r="U158" s="297"/>
      <c r="V158" s="297"/>
      <c r="W158" s="297"/>
      <c r="X158" s="297"/>
      <c r="Y158" s="297"/>
      <c r="Z158" s="297"/>
      <c r="AA158" s="297"/>
      <c r="AB158" s="297"/>
      <c r="AC158" s="297"/>
      <c r="AD158" s="297"/>
      <c r="AE158" s="297"/>
      <c r="AF158" s="297"/>
      <c r="AG158" s="297"/>
      <c r="AH158" s="297"/>
      <c r="AI158" s="297"/>
      <c r="AJ158" s="297"/>
      <c r="AK158" s="297"/>
      <c r="AL158" s="297"/>
      <c r="AM158" s="297"/>
    </row>
    <row r="159">
      <c r="A159" s="33" t="s">
        <v>27</v>
      </c>
      <c r="B159" s="95" t="s">
        <v>302</v>
      </c>
      <c r="C159" s="77" t="str">
        <f>VLOOKUP($B159,'Rate card'!$A$4:$G280,2,FALSE)</f>
        <v>Polish</v>
      </c>
      <c r="D159" s="77" t="str">
        <f>VLOOKUP($B159,'Rate card'!$A$4:$G280,3,FALSE)</f>
        <v>Melamine</v>
      </c>
      <c r="E159" s="584" t="str">
        <f>VLOOKUP($B159,'Rate card'!$A$4:$G280,4,FALSE)</f>
        <v/>
      </c>
      <c r="F159" s="33" t="s">
        <v>303</v>
      </c>
      <c r="G159" s="77" t="str">
        <f>VLOOKUP($B159,'Rate card'!$A$4:$G280,6,FALSE)</f>
        <v>Sqft</v>
      </c>
      <c r="H159" s="94">
        <f>VLOOKUP($B159,'Rate card'!$A$4:$J280,8,FALSE)</f>
        <v>120</v>
      </c>
      <c r="I159" s="111">
        <v>500.0</v>
      </c>
      <c r="J159" s="79">
        <f>H159*I159</f>
        <v>60000</v>
      </c>
      <c r="K159" s="111">
        <v>2000.0</v>
      </c>
      <c r="L159" s="79">
        <f t="shared" si="66"/>
        <v>240000</v>
      </c>
      <c r="M159" s="607">
        <v>500.0</v>
      </c>
      <c r="N159" s="94" t="s">
        <v>304</v>
      </c>
      <c r="O159" s="553"/>
      <c r="P159" s="581"/>
      <c r="Q159" s="608"/>
      <c r="R159" s="299"/>
      <c r="S159" s="583">
        <f t="shared" si="64"/>
        <v>0.02481731868</v>
      </c>
      <c r="T159" s="297"/>
      <c r="U159" s="297"/>
      <c r="V159" s="297"/>
      <c r="W159" s="297"/>
      <c r="X159" s="297"/>
      <c r="Y159" s="297"/>
      <c r="Z159" s="297"/>
      <c r="AA159" s="297"/>
      <c r="AB159" s="297"/>
      <c r="AC159" s="297"/>
      <c r="AD159" s="297"/>
      <c r="AE159" s="297"/>
      <c r="AF159" s="297"/>
      <c r="AG159" s="297"/>
      <c r="AH159" s="297"/>
      <c r="AI159" s="297"/>
      <c r="AJ159" s="297"/>
      <c r="AK159" s="297"/>
      <c r="AL159" s="297"/>
      <c r="AM159" s="297"/>
    </row>
    <row r="160">
      <c r="A160" s="31"/>
      <c r="B160" s="67"/>
      <c r="C160" s="67"/>
      <c r="D160" s="67"/>
      <c r="E160" s="67"/>
      <c r="F160" s="67"/>
      <c r="G160" s="67"/>
      <c r="H160" s="79"/>
      <c r="I160" s="83" t="s">
        <v>125</v>
      </c>
      <c r="J160" s="92">
        <f>sum(J155:J159)</f>
        <v>368478.5</v>
      </c>
      <c r="K160" s="83" t="s">
        <v>125</v>
      </c>
      <c r="L160" s="92">
        <f>sum(L155:L159)</f>
        <v>1073478.5</v>
      </c>
      <c r="M160" s="83" t="s">
        <v>125</v>
      </c>
      <c r="N160" s="67"/>
      <c r="O160" s="553"/>
      <c r="P160" s="553"/>
      <c r="Q160" s="124">
        <f>VLOOKUP($B160,'Rate card'!$A$4:$J280,7,FALSE)</f>
        <v>0</v>
      </c>
      <c r="R160" s="121">
        <f>SUM(R155:R156)</f>
        <v>204942.5</v>
      </c>
      <c r="S160" s="583"/>
      <c r="T160" s="281"/>
      <c r="U160" s="281"/>
      <c r="V160" s="281"/>
      <c r="W160" s="281"/>
      <c r="X160" s="281"/>
      <c r="Y160" s="281"/>
      <c r="Z160" s="281"/>
      <c r="AA160" s="281"/>
      <c r="AB160" s="281"/>
      <c r="AC160" s="281"/>
      <c r="AD160" s="281"/>
      <c r="AE160" s="281"/>
      <c r="AF160" s="281"/>
      <c r="AG160" s="281"/>
      <c r="AH160" s="281"/>
      <c r="AI160" s="281"/>
      <c r="AJ160" s="281"/>
      <c r="AK160" s="281"/>
      <c r="AL160" s="281"/>
      <c r="AM160" s="281"/>
    </row>
    <row r="161">
      <c r="A161" s="24" t="s">
        <v>35</v>
      </c>
      <c r="B161" s="294"/>
      <c r="C161" s="294"/>
      <c r="D161" s="294"/>
      <c r="E161" s="294"/>
      <c r="F161" s="294"/>
      <c r="G161" s="294"/>
      <c r="H161" s="426"/>
      <c r="I161" s="298"/>
      <c r="J161" s="426"/>
      <c r="K161" s="298"/>
      <c r="L161" s="426"/>
      <c r="M161" s="298"/>
      <c r="N161" s="294"/>
      <c r="O161" s="553"/>
      <c r="P161" s="553"/>
      <c r="Q161" s="372"/>
      <c r="R161" s="373"/>
      <c r="S161" s="583">
        <f t="shared" ref="S161:S165" si="69">L161/$D$22</f>
        <v>0</v>
      </c>
      <c r="T161" s="281"/>
      <c r="U161" s="281"/>
      <c r="V161" s="281"/>
      <c r="W161" s="281"/>
      <c r="X161" s="281"/>
      <c r="Y161" s="281"/>
      <c r="Z161" s="281"/>
      <c r="AA161" s="281"/>
      <c r="AB161" s="281"/>
      <c r="AC161" s="281"/>
      <c r="AD161" s="281"/>
      <c r="AE161" s="281"/>
      <c r="AF161" s="281"/>
      <c r="AG161" s="281"/>
      <c r="AH161" s="281"/>
      <c r="AI161" s="281"/>
      <c r="AJ161" s="281"/>
      <c r="AK161" s="281"/>
      <c r="AL161" s="281"/>
      <c r="AM161" s="281"/>
    </row>
    <row r="162">
      <c r="A162" s="31" t="s">
        <v>16</v>
      </c>
      <c r="B162" s="62" t="s">
        <v>305</v>
      </c>
      <c r="C162" s="94" t="str">
        <f>VLOOKUP($B162,'Rate card'!$A$4:$G280,2,FALSE)</f>
        <v>CLEANING</v>
      </c>
      <c r="D162" s="94" t="str">
        <f>VLOOKUP($B162,'Rate card'!$A$4:$G280,3,FALSE)</f>
        <v>NA</v>
      </c>
      <c r="E162" s="94" t="str">
        <f>VLOOKUP($B162,'Rate card'!$A$4:$G280,4,FALSE)</f>
        <v>NA</v>
      </c>
      <c r="F162" s="94" t="str">
        <f>VLOOKUP($B162,'Rate card'!$A$4:$G280,5,FALSE)</f>
        <v>NA</v>
      </c>
      <c r="G162" s="94" t="str">
        <f>VLOOKUP($B162,'Rate card'!$A$4:$G280,6,FALSE)</f>
        <v>Ls</v>
      </c>
      <c r="H162" s="80">
        <v>40000.0</v>
      </c>
      <c r="I162" s="78" t="s">
        <v>16</v>
      </c>
      <c r="J162" s="79">
        <f>H162*I162</f>
        <v>40000</v>
      </c>
      <c r="K162" s="78" t="s">
        <v>16</v>
      </c>
      <c r="L162" s="79">
        <f t="shared" ref="L162:L164" si="70">J162*K162</f>
        <v>40000</v>
      </c>
      <c r="M162" s="77" t="s">
        <v>16</v>
      </c>
      <c r="N162" s="62"/>
      <c r="O162" s="553"/>
      <c r="P162" s="553"/>
      <c r="Q162" s="2">
        <f t="shared" ref="Q162:Q164" si="71">H162-5000</f>
        <v>35000</v>
      </c>
      <c r="R162" s="282">
        <f t="shared" ref="R162:R164" si="72">I162*Q162</f>
        <v>35000</v>
      </c>
      <c r="S162" s="583">
        <f t="shared" si="69"/>
        <v>0.004136219781</v>
      </c>
      <c r="T162" s="281"/>
      <c r="U162" s="281"/>
      <c r="V162" s="281"/>
      <c r="W162" s="281"/>
      <c r="X162" s="281"/>
      <c r="Y162" s="281"/>
      <c r="Z162" s="281"/>
      <c r="AA162" s="281"/>
      <c r="AB162" s="281"/>
      <c r="AC162" s="281"/>
      <c r="AD162" s="281"/>
      <c r="AE162" s="281"/>
      <c r="AF162" s="281"/>
      <c r="AG162" s="281"/>
      <c r="AH162" s="281"/>
      <c r="AI162" s="281"/>
      <c r="AJ162" s="281"/>
      <c r="AK162" s="281"/>
      <c r="AL162" s="281"/>
      <c r="AM162" s="281"/>
    </row>
    <row r="163">
      <c r="A163" s="31">
        <f t="shared" ref="A163:A164" si="73">A162+1</f>
        <v>2</v>
      </c>
      <c r="B163" s="62" t="s">
        <v>306</v>
      </c>
      <c r="C163" s="94" t="str">
        <f>VLOOKUP($B163,'Rate card'!$A$4:$G280,2,FALSE)</f>
        <v>DEBRIS REMOVAL</v>
      </c>
      <c r="D163" s="94" t="str">
        <f>VLOOKUP($B163,'Rate card'!$A$4:$G280,3,FALSE)</f>
        <v>NA</v>
      </c>
      <c r="E163" s="94" t="str">
        <f>VLOOKUP($B163,'Rate card'!$A$4:$G280,4,FALSE)</f>
        <v>NA</v>
      </c>
      <c r="F163" s="94" t="str">
        <f>VLOOKUP($B163,'Rate card'!$A$4:$G280,5,FALSE)</f>
        <v>NA</v>
      </c>
      <c r="G163" s="94" t="str">
        <f>VLOOKUP($B163,'Rate card'!$A$4:$G280,6,FALSE)</f>
        <v>Ls</v>
      </c>
      <c r="H163" s="80">
        <v>50000.0</v>
      </c>
      <c r="I163" s="78" t="s">
        <v>16</v>
      </c>
      <c r="J163" s="80">
        <v>120000.0</v>
      </c>
      <c r="K163" s="78" t="s">
        <v>16</v>
      </c>
      <c r="L163" s="79">
        <f t="shared" si="70"/>
        <v>120000</v>
      </c>
      <c r="M163" s="77" t="s">
        <v>16</v>
      </c>
      <c r="N163" s="62"/>
      <c r="O163" s="553"/>
      <c r="P163" s="553"/>
      <c r="Q163" s="2">
        <f t="shared" si="71"/>
        <v>45000</v>
      </c>
      <c r="R163" s="282">
        <f t="shared" si="72"/>
        <v>45000</v>
      </c>
      <c r="S163" s="583">
        <f t="shared" si="69"/>
        <v>0.01240865934</v>
      </c>
      <c r="T163" s="281"/>
      <c r="U163" s="281"/>
      <c r="V163" s="281"/>
      <c r="W163" s="281"/>
      <c r="X163" s="281"/>
      <c r="Y163" s="281"/>
      <c r="Z163" s="281"/>
      <c r="AA163" s="281"/>
      <c r="AB163" s="281"/>
      <c r="AC163" s="281"/>
      <c r="AD163" s="281"/>
      <c r="AE163" s="281"/>
      <c r="AF163" s="281"/>
      <c r="AG163" s="281"/>
      <c r="AH163" s="281"/>
      <c r="AI163" s="281"/>
      <c r="AJ163" s="281"/>
      <c r="AK163" s="281"/>
      <c r="AL163" s="281"/>
      <c r="AM163" s="281"/>
    </row>
    <row r="164">
      <c r="A164" s="31">
        <f t="shared" si="73"/>
        <v>3</v>
      </c>
      <c r="B164" s="62" t="s">
        <v>307</v>
      </c>
      <c r="C164" s="94" t="str">
        <f>VLOOKUP($B164,'Rate card'!$A$4:$G280,2,FALSE)</f>
        <v>MISCELLENIOUS</v>
      </c>
      <c r="D164" s="94" t="str">
        <f>VLOOKUP($B164,'Rate card'!$A$4:$G280,3,FALSE)</f>
        <v>NA</v>
      </c>
      <c r="E164" s="94" t="str">
        <f>VLOOKUP($B164,'Rate card'!$A$4:$G280,4,FALSE)</f>
        <v>NA</v>
      </c>
      <c r="F164" s="94" t="str">
        <f>VLOOKUP($B164,'Rate card'!$A$4:$G280,5,FALSE)</f>
        <v>Floor Covering, Doors and Windows Covering</v>
      </c>
      <c r="G164" s="94" t="str">
        <f>VLOOKUP($B164,'Rate card'!$A$4:$G280,6,FALSE)</f>
        <v>Ls</v>
      </c>
      <c r="H164" s="80">
        <v>30000.0</v>
      </c>
      <c r="I164" s="78" t="s">
        <v>16</v>
      </c>
      <c r="J164" s="79">
        <f>H164*I164</f>
        <v>30000</v>
      </c>
      <c r="K164" s="78" t="s">
        <v>16</v>
      </c>
      <c r="L164" s="79">
        <f t="shared" si="70"/>
        <v>30000</v>
      </c>
      <c r="M164" s="77" t="s">
        <v>16</v>
      </c>
      <c r="N164" s="62"/>
      <c r="O164" s="553"/>
      <c r="P164" s="553"/>
      <c r="Q164" s="2">
        <f t="shared" si="71"/>
        <v>25000</v>
      </c>
      <c r="R164" s="282">
        <f t="shared" si="72"/>
        <v>25000</v>
      </c>
      <c r="S164" s="583">
        <f t="shared" si="69"/>
        <v>0.003102164835</v>
      </c>
      <c r="T164" s="281"/>
      <c r="U164" s="281"/>
      <c r="V164" s="281"/>
      <c r="W164" s="281"/>
      <c r="X164" s="281"/>
      <c r="Y164" s="281"/>
      <c r="Z164" s="281"/>
      <c r="AA164" s="281"/>
      <c r="AB164" s="281"/>
      <c r="AC164" s="281"/>
      <c r="AD164" s="281"/>
      <c r="AE164" s="281"/>
      <c r="AF164" s="281"/>
      <c r="AG164" s="281"/>
      <c r="AH164" s="281"/>
      <c r="AI164" s="281"/>
      <c r="AJ164" s="281"/>
      <c r="AK164" s="281"/>
      <c r="AL164" s="281"/>
      <c r="AM164" s="281"/>
    </row>
    <row r="165">
      <c r="A165" s="67"/>
      <c r="B165" s="67"/>
      <c r="C165" s="67"/>
      <c r="D165" s="67"/>
      <c r="E165" s="67"/>
      <c r="F165" s="67"/>
      <c r="G165" s="67"/>
      <c r="H165" s="79"/>
      <c r="I165" s="83" t="s">
        <v>125</v>
      </c>
      <c r="J165" s="92">
        <f>SUM(J162:J164)</f>
        <v>190000</v>
      </c>
      <c r="K165" s="83" t="s">
        <v>125</v>
      </c>
      <c r="L165" s="92">
        <f>SUM(L162:L164)</f>
        <v>190000</v>
      </c>
      <c r="M165" s="83" t="s">
        <v>125</v>
      </c>
      <c r="N165" s="67"/>
      <c r="O165" s="553"/>
      <c r="P165" s="553"/>
      <c r="Q165" s="124" t="str">
        <f>VLOOKUP($B165,'Rate card'!$A$4:$J280,10,FALSE)</f>
        <v/>
      </c>
      <c r="R165" s="121">
        <f>SUM(R162:R164)</f>
        <v>105000</v>
      </c>
      <c r="S165" s="583">
        <f t="shared" si="69"/>
        <v>0.01964704396</v>
      </c>
      <c r="T165" s="281"/>
      <c r="U165" s="281"/>
      <c r="V165" s="281"/>
      <c r="W165" s="281"/>
      <c r="X165" s="281"/>
      <c r="Y165" s="281"/>
      <c r="Z165" s="281"/>
      <c r="AA165" s="281"/>
      <c r="AB165" s="281"/>
      <c r="AC165" s="281"/>
      <c r="AD165" s="281"/>
      <c r="AE165" s="281"/>
      <c r="AF165" s="281"/>
      <c r="AG165" s="281"/>
      <c r="AH165" s="281"/>
      <c r="AI165" s="281"/>
      <c r="AJ165" s="281"/>
      <c r="AK165" s="281"/>
      <c r="AL165" s="281"/>
      <c r="AM165" s="281"/>
    </row>
    <row r="166">
      <c r="A166" s="424"/>
      <c r="B166" s="323"/>
      <c r="C166" s="323"/>
      <c r="D166" s="323"/>
      <c r="E166" s="323"/>
      <c r="F166" s="323"/>
      <c r="G166" s="323"/>
      <c r="H166" s="324"/>
      <c r="I166" s="460"/>
      <c r="J166" s="461"/>
      <c r="K166" s="460"/>
      <c r="L166" s="461"/>
      <c r="M166" s="322"/>
      <c r="N166" s="294"/>
      <c r="O166" s="553"/>
      <c r="P166" s="281"/>
      <c r="Q166" s="372"/>
      <c r="R166" s="373"/>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row>
    <row r="167">
      <c r="A167" s="281"/>
      <c r="B167" s="281"/>
      <c r="C167" s="281"/>
      <c r="D167" s="281"/>
      <c r="E167" s="281"/>
      <c r="F167" s="281"/>
      <c r="G167" s="281"/>
      <c r="H167" s="282"/>
      <c r="I167" s="283"/>
      <c r="J167" s="282"/>
      <c r="K167" s="283"/>
      <c r="L167" s="282"/>
      <c r="M167" s="283"/>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row>
    <row r="168">
      <c r="A168" s="281"/>
      <c r="B168" s="281"/>
      <c r="C168" s="281"/>
      <c r="D168" s="281"/>
      <c r="E168" s="281"/>
      <c r="F168" s="281"/>
      <c r="G168" s="281"/>
      <c r="H168" s="282"/>
      <c r="I168" s="283"/>
      <c r="J168" s="282"/>
      <c r="K168" s="283"/>
      <c r="L168" s="282"/>
      <c r="M168" s="283"/>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row>
    <row r="169">
      <c r="A169" s="570" t="s">
        <v>685</v>
      </c>
      <c r="B169" s="609"/>
      <c r="C169" s="609"/>
      <c r="D169" s="609"/>
      <c r="E169" s="609"/>
      <c r="F169" s="609"/>
      <c r="G169" s="609"/>
      <c r="H169" s="610"/>
      <c r="I169" s="610"/>
      <c r="J169" s="610"/>
      <c r="K169" s="610"/>
      <c r="L169" s="299"/>
      <c r="M169" s="611"/>
      <c r="N169" s="299"/>
      <c r="O169" s="299"/>
      <c r="P169" s="299"/>
      <c r="Q169" s="299"/>
      <c r="R169" s="297"/>
      <c r="S169" s="281"/>
      <c r="T169" s="297"/>
      <c r="U169" s="297"/>
      <c r="V169" s="281"/>
      <c r="W169" s="281"/>
      <c r="X169" s="281"/>
      <c r="Y169" s="281"/>
      <c r="Z169" s="281"/>
      <c r="AA169" s="281"/>
      <c r="AB169" s="281"/>
      <c r="AC169" s="281"/>
      <c r="AD169" s="281"/>
      <c r="AE169" s="281"/>
      <c r="AF169" s="281"/>
      <c r="AG169" s="281"/>
      <c r="AH169" s="281"/>
      <c r="AI169" s="281"/>
      <c r="AJ169" s="281"/>
      <c r="AK169" s="281"/>
      <c r="AL169" s="281"/>
      <c r="AM169" s="281"/>
    </row>
    <row r="170">
      <c r="A170" s="316" t="s">
        <v>40</v>
      </c>
      <c r="B170" s="317" t="s">
        <v>41</v>
      </c>
      <c r="C170" s="318" t="s">
        <v>42</v>
      </c>
      <c r="D170" s="318" t="s">
        <v>43</v>
      </c>
      <c r="E170" s="318" t="s">
        <v>44</v>
      </c>
      <c r="F170" s="318" t="s">
        <v>45</v>
      </c>
      <c r="G170" s="318" t="s">
        <v>46</v>
      </c>
      <c r="H170" s="319" t="s">
        <v>47</v>
      </c>
      <c r="I170" s="612" t="s">
        <v>686</v>
      </c>
      <c r="J170" s="319" t="s">
        <v>14</v>
      </c>
      <c r="K170" s="57" t="s">
        <v>53</v>
      </c>
      <c r="L170" s="613"/>
      <c r="M170" s="614"/>
      <c r="N170" s="613"/>
      <c r="O170" s="596"/>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row>
    <row r="171">
      <c r="A171" s="615" t="s">
        <v>20</v>
      </c>
      <c r="B171" s="294"/>
      <c r="C171" s="294"/>
      <c r="D171" s="294"/>
      <c r="E171" s="294"/>
      <c r="F171" s="294"/>
      <c r="G171" s="294"/>
      <c r="H171" s="426"/>
      <c r="I171" s="426"/>
      <c r="J171" s="426"/>
      <c r="K171" s="616"/>
      <c r="L171" s="611"/>
      <c r="M171" s="611"/>
      <c r="N171" s="611"/>
      <c r="O171" s="611"/>
      <c r="P171" s="299"/>
      <c r="Q171" s="299"/>
      <c r="R171" s="297"/>
      <c r="S171" s="297"/>
      <c r="T171" s="297"/>
      <c r="U171" s="297"/>
      <c r="V171" s="281"/>
      <c r="W171" s="281"/>
      <c r="X171" s="281"/>
      <c r="Y171" s="281"/>
      <c r="Z171" s="281"/>
      <c r="AA171" s="281"/>
      <c r="AB171" s="281"/>
      <c r="AC171" s="281"/>
      <c r="AD171" s="281"/>
      <c r="AE171" s="281"/>
      <c r="AF171" s="281"/>
      <c r="AG171" s="281"/>
      <c r="AH171" s="281"/>
      <c r="AI171" s="281"/>
      <c r="AJ171" s="281"/>
      <c r="AK171" s="281"/>
      <c r="AL171" s="281"/>
      <c r="AM171" s="281"/>
    </row>
    <row r="172">
      <c r="A172" s="321" t="s">
        <v>161</v>
      </c>
      <c r="B172" s="294"/>
      <c r="C172" s="294"/>
      <c r="D172" s="294"/>
      <c r="E172" s="294"/>
      <c r="F172" s="294"/>
      <c r="G172" s="294"/>
      <c r="H172" s="426"/>
      <c r="I172" s="426"/>
      <c r="J172" s="426"/>
      <c r="K172" s="616"/>
      <c r="L172" s="611"/>
      <c r="M172" s="611"/>
      <c r="N172" s="611"/>
      <c r="O172" s="61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row>
    <row r="173">
      <c r="A173" s="617" t="s">
        <v>16</v>
      </c>
      <c r="B173" s="618"/>
      <c r="C173" s="339" t="s">
        <v>59</v>
      </c>
      <c r="D173" s="515" t="s">
        <v>687</v>
      </c>
      <c r="E173" s="339" t="s">
        <v>61</v>
      </c>
      <c r="F173" s="339" t="s">
        <v>59</v>
      </c>
      <c r="G173" s="339" t="s">
        <v>175</v>
      </c>
      <c r="H173" s="80">
        <v>40.0</v>
      </c>
      <c r="I173" s="438">
        <f>96+40+200</f>
        <v>336</v>
      </c>
      <c r="J173" s="415">
        <f t="shared" ref="J173:J174" si="74">H173*I173</f>
        <v>13440</v>
      </c>
      <c r="K173" s="62" t="s">
        <v>745</v>
      </c>
      <c r="L173" s="125"/>
      <c r="M173" s="54"/>
      <c r="N173" s="125"/>
      <c r="O173" s="297"/>
      <c r="P173" s="281"/>
      <c r="Q173" s="124"/>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row>
    <row r="174">
      <c r="A174" s="617" t="s">
        <v>18</v>
      </c>
      <c r="B174" s="618"/>
      <c r="C174" s="339" t="s">
        <v>59</v>
      </c>
      <c r="D174" s="515" t="s">
        <v>349</v>
      </c>
      <c r="E174" s="339" t="s">
        <v>61</v>
      </c>
      <c r="F174" s="339" t="s">
        <v>59</v>
      </c>
      <c r="G174" s="339" t="s">
        <v>175</v>
      </c>
      <c r="H174" s="80">
        <v>5000.0</v>
      </c>
      <c r="I174" s="438" t="s">
        <v>16</v>
      </c>
      <c r="J174" s="415">
        <f t="shared" si="74"/>
        <v>5000</v>
      </c>
      <c r="K174" s="62"/>
      <c r="L174" s="125"/>
      <c r="M174" s="54"/>
      <c r="N174" s="125"/>
      <c r="O174" s="297"/>
      <c r="P174" s="281"/>
      <c r="Q174" s="124"/>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row>
    <row r="175">
      <c r="A175" s="432" t="s">
        <v>688</v>
      </c>
      <c r="B175" s="323"/>
      <c r="C175" s="323"/>
      <c r="D175" s="323"/>
      <c r="E175" s="323"/>
      <c r="F175" s="323"/>
      <c r="G175" s="323"/>
      <c r="H175" s="324"/>
      <c r="I175" s="322"/>
      <c r="J175" s="324"/>
      <c r="K175" s="298"/>
      <c r="L175" s="299"/>
      <c r="M175" s="619" t="s">
        <v>308</v>
      </c>
      <c r="N175" s="297"/>
      <c r="O175" s="297"/>
      <c r="P175" s="281"/>
      <c r="Q175" s="124"/>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row>
    <row r="176">
      <c r="A176" s="617" t="s">
        <v>16</v>
      </c>
      <c r="B176" s="617" t="s">
        <v>576</v>
      </c>
      <c r="C176" s="33" t="str">
        <f>VLOOKUP($B176,'Rate card'!$A$4:$G280,2,FALSE)</f>
        <v>Civil</v>
      </c>
      <c r="D176" s="31" t="s">
        <v>119</v>
      </c>
      <c r="E176" s="31" t="s">
        <v>119</v>
      </c>
      <c r="F176" s="33"/>
      <c r="G176" s="33" t="str">
        <f>VLOOKUP($B176,'Rate card'!$A$4:$G280,6,FALSE)</f>
        <v>Sqft</v>
      </c>
      <c r="H176" s="32">
        <v>2000.0</v>
      </c>
      <c r="I176" s="31">
        <f>3*1.5</f>
        <v>4.5</v>
      </c>
      <c r="J176" s="620">
        <f t="shared" ref="J176:J178" si="75">H176*I176</f>
        <v>9000</v>
      </c>
      <c r="K176" s="80" t="s">
        <v>746</v>
      </c>
      <c r="L176" s="53"/>
      <c r="M176" s="54"/>
      <c r="N176" s="53"/>
      <c r="O176" s="613"/>
      <c r="P176" s="297"/>
      <c r="Q176" s="582"/>
      <c r="R176" s="1"/>
      <c r="S176" s="282"/>
      <c r="T176" s="297"/>
      <c r="U176" s="297"/>
      <c r="V176" s="297"/>
      <c r="W176" s="297"/>
      <c r="X176" s="297"/>
      <c r="Y176" s="297"/>
      <c r="Z176" s="297"/>
      <c r="AA176" s="297"/>
      <c r="AB176" s="297"/>
      <c r="AC176" s="297"/>
      <c r="AD176" s="297"/>
      <c r="AE176" s="297"/>
      <c r="AF176" s="297"/>
      <c r="AG176" s="297"/>
      <c r="AH176" s="297"/>
      <c r="AI176" s="297"/>
      <c r="AJ176" s="297"/>
      <c r="AK176" s="297"/>
      <c r="AL176" s="297"/>
      <c r="AM176" s="297"/>
    </row>
    <row r="177">
      <c r="A177" s="617" t="s">
        <v>18</v>
      </c>
      <c r="B177" s="617" t="s">
        <v>689</v>
      </c>
      <c r="C177" s="33" t="str">
        <f>VLOOKUP($B177,'Rate card'!$A$4:$G280,2,FALSE)</f>
        <v>Civil</v>
      </c>
      <c r="D177" s="31" t="s">
        <v>117</v>
      </c>
      <c r="E177" s="33" t="str">
        <f>VLOOKUP($B177,'Rate card'!$A$4:$G280,4,FALSE)</f>
        <v/>
      </c>
      <c r="F177" s="33"/>
      <c r="G177" s="31" t="s">
        <v>185</v>
      </c>
      <c r="H177" s="32">
        <v>5000.0</v>
      </c>
      <c r="I177" s="31" t="s">
        <v>24</v>
      </c>
      <c r="J177" s="620">
        <f t="shared" si="75"/>
        <v>15000</v>
      </c>
      <c r="K177" s="80" t="s">
        <v>747</v>
      </c>
      <c r="L177" s="53"/>
      <c r="M177" s="54"/>
      <c r="N177" s="53"/>
      <c r="O177" s="613"/>
      <c r="P177" s="297"/>
      <c r="Q177" s="582"/>
      <c r="R177" s="1"/>
      <c r="S177" s="282"/>
      <c r="T177" s="297"/>
      <c r="U177" s="297"/>
      <c r="V177" s="297"/>
      <c r="W177" s="297"/>
      <c r="X177" s="297"/>
      <c r="Y177" s="297"/>
      <c r="Z177" s="297"/>
      <c r="AA177" s="297"/>
      <c r="AB177" s="297"/>
      <c r="AC177" s="297"/>
      <c r="AD177" s="297"/>
      <c r="AE177" s="297"/>
      <c r="AF177" s="297"/>
      <c r="AG177" s="297"/>
      <c r="AH177" s="297"/>
      <c r="AI177" s="297"/>
      <c r="AJ177" s="297"/>
      <c r="AK177" s="297"/>
      <c r="AL177" s="297"/>
      <c r="AM177" s="297"/>
    </row>
    <row r="178" ht="75.0" customHeight="1">
      <c r="A178" s="617" t="s">
        <v>24</v>
      </c>
      <c r="B178" s="617"/>
      <c r="C178" s="339" t="s">
        <v>20</v>
      </c>
      <c r="D178" s="339" t="s">
        <v>566</v>
      </c>
      <c r="E178" s="31" t="s">
        <v>690</v>
      </c>
      <c r="F178" s="340" t="s">
        <v>567</v>
      </c>
      <c r="G178" s="33" t="str">
        <f>G177</f>
        <v>LS</v>
      </c>
      <c r="H178" s="32">
        <v>150.0</v>
      </c>
      <c r="I178" s="521">
        <f>5*10</f>
        <v>50</v>
      </c>
      <c r="J178" s="620">
        <f t="shared" si="75"/>
        <v>7500</v>
      </c>
      <c r="K178" s="80" t="s">
        <v>748</v>
      </c>
      <c r="L178" s="53"/>
      <c r="M178" s="54"/>
      <c r="N178" s="53"/>
      <c r="O178" s="613"/>
      <c r="P178" s="297"/>
      <c r="Q178" s="582"/>
      <c r="R178" s="1"/>
      <c r="S178" s="282"/>
      <c r="T178" s="297"/>
      <c r="U178" s="297"/>
      <c r="V178" s="297"/>
      <c r="W178" s="297"/>
      <c r="X178" s="297"/>
      <c r="Y178" s="297"/>
      <c r="Z178" s="297"/>
      <c r="AA178" s="297"/>
      <c r="AB178" s="297"/>
      <c r="AC178" s="297"/>
      <c r="AD178" s="297"/>
      <c r="AE178" s="297"/>
      <c r="AF178" s="297"/>
      <c r="AG178" s="297"/>
      <c r="AH178" s="297"/>
      <c r="AI178" s="297"/>
      <c r="AJ178" s="297"/>
      <c r="AK178" s="297"/>
      <c r="AL178" s="297"/>
      <c r="AM178" s="297"/>
    </row>
    <row r="179">
      <c r="A179" s="432" t="s">
        <v>691</v>
      </c>
      <c r="B179" s="323"/>
      <c r="C179" s="323"/>
      <c r="D179" s="323"/>
      <c r="E179" s="323"/>
      <c r="F179" s="323"/>
      <c r="G179" s="323"/>
      <c r="H179" s="324"/>
      <c r="I179" s="322"/>
      <c r="J179" s="324"/>
      <c r="K179" s="294"/>
      <c r="L179" s="297"/>
      <c r="M179" s="314"/>
      <c r="N179" s="297"/>
      <c r="O179" s="297"/>
      <c r="P179" s="281"/>
      <c r="Q179" s="124"/>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row>
    <row r="180">
      <c r="A180" s="617" t="s">
        <v>16</v>
      </c>
      <c r="B180" s="617" t="s">
        <v>576</v>
      </c>
      <c r="C180" s="33" t="str">
        <f>VLOOKUP($B180,'Rate card'!$A$4:$G280,2,FALSE)</f>
        <v>Civil</v>
      </c>
      <c r="D180" s="31" t="s">
        <v>119</v>
      </c>
      <c r="E180" s="31" t="s">
        <v>119</v>
      </c>
      <c r="F180" s="33"/>
      <c r="G180" s="33" t="str">
        <f>VLOOKUP($B180,'Rate card'!$A$4:$G280,6,FALSE)</f>
        <v>Sqft</v>
      </c>
      <c r="H180" s="32">
        <v>2000.0</v>
      </c>
      <c r="I180" s="31">
        <f>3*1.5</f>
        <v>4.5</v>
      </c>
      <c r="J180" s="620">
        <f t="shared" ref="J180:J181" si="76">H180*I180</f>
        <v>9000</v>
      </c>
      <c r="K180" s="80" t="s">
        <v>746</v>
      </c>
      <c r="L180" s="53"/>
      <c r="M180" s="54"/>
      <c r="N180" s="53"/>
      <c r="O180" s="613"/>
      <c r="P180" s="297"/>
      <c r="Q180" s="582"/>
      <c r="R180" s="1"/>
      <c r="S180" s="282"/>
      <c r="T180" s="297"/>
      <c r="U180" s="297"/>
      <c r="V180" s="297"/>
      <c r="W180" s="297"/>
      <c r="X180" s="297"/>
      <c r="Y180" s="297"/>
      <c r="Z180" s="297"/>
      <c r="AA180" s="297"/>
      <c r="AB180" s="297"/>
      <c r="AC180" s="297"/>
      <c r="AD180" s="297"/>
      <c r="AE180" s="297"/>
      <c r="AF180" s="297"/>
      <c r="AG180" s="297"/>
      <c r="AH180" s="297"/>
      <c r="AI180" s="297"/>
      <c r="AJ180" s="297"/>
      <c r="AK180" s="297"/>
      <c r="AL180" s="297"/>
      <c r="AM180" s="297"/>
    </row>
    <row r="181">
      <c r="A181" s="617" t="s">
        <v>18</v>
      </c>
      <c r="B181" s="617" t="s">
        <v>689</v>
      </c>
      <c r="C181" s="33" t="str">
        <f>VLOOKUP($B181,'Rate card'!$A$4:$G280,2,FALSE)</f>
        <v>Civil</v>
      </c>
      <c r="D181" s="31" t="s">
        <v>117</v>
      </c>
      <c r="E181" s="33" t="str">
        <f>VLOOKUP($B181,'Rate card'!$A$4:$G280,4,FALSE)</f>
        <v/>
      </c>
      <c r="F181" s="33"/>
      <c r="G181" s="33" t="str">
        <f>VLOOKUP($B181,'Rate card'!$A$4:$G280,6,FALSE)</f>
        <v>Sqft</v>
      </c>
      <c r="H181" s="32">
        <v>5000.0</v>
      </c>
      <c r="I181" s="31" t="s">
        <v>18</v>
      </c>
      <c r="J181" s="620">
        <f t="shared" si="76"/>
        <v>10000</v>
      </c>
      <c r="K181" s="80" t="s">
        <v>747</v>
      </c>
      <c r="L181" s="53"/>
      <c r="M181" s="54"/>
      <c r="N181" s="53"/>
      <c r="O181" s="613"/>
      <c r="P181" s="297"/>
      <c r="Q181" s="582"/>
      <c r="R181" s="1"/>
      <c r="S181" s="282"/>
      <c r="T181" s="297"/>
      <c r="U181" s="297"/>
      <c r="V181" s="297"/>
      <c r="W181" s="297"/>
      <c r="X181" s="297"/>
      <c r="Y181" s="297"/>
      <c r="Z181" s="297"/>
      <c r="AA181" s="297"/>
      <c r="AB181" s="297"/>
      <c r="AC181" s="297"/>
      <c r="AD181" s="297"/>
      <c r="AE181" s="297"/>
      <c r="AF181" s="297"/>
      <c r="AG181" s="297"/>
      <c r="AH181" s="297"/>
      <c r="AI181" s="297"/>
      <c r="AJ181" s="297"/>
      <c r="AK181" s="297"/>
      <c r="AL181" s="297"/>
      <c r="AM181" s="297"/>
    </row>
    <row r="182">
      <c r="A182" s="432" t="s">
        <v>692</v>
      </c>
      <c r="B182" s="323"/>
      <c r="C182" s="323"/>
      <c r="D182" s="323"/>
      <c r="E182" s="323"/>
      <c r="F182" s="323"/>
      <c r="G182" s="323"/>
      <c r="H182" s="324"/>
      <c r="I182" s="322"/>
      <c r="J182" s="324"/>
      <c r="K182" s="294"/>
      <c r="L182" s="297"/>
      <c r="M182" s="314"/>
      <c r="N182" s="297"/>
      <c r="O182" s="297"/>
      <c r="P182" s="281"/>
      <c r="Q182" s="124"/>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row>
    <row r="183">
      <c r="A183" s="617" t="s">
        <v>16</v>
      </c>
      <c r="B183" s="617" t="s">
        <v>576</v>
      </c>
      <c r="C183" s="33" t="str">
        <f>VLOOKUP($B183,'Rate card'!$A$4:$G280,2,FALSE)</f>
        <v>Civil</v>
      </c>
      <c r="D183" s="31" t="s">
        <v>119</v>
      </c>
      <c r="E183" s="31" t="s">
        <v>119</v>
      </c>
      <c r="F183" s="33"/>
      <c r="G183" s="33" t="str">
        <f>VLOOKUP($B183,'Rate card'!$A$4:$G280,6,FALSE)</f>
        <v>Sqft</v>
      </c>
      <c r="H183" s="32">
        <v>2000.0</v>
      </c>
      <c r="I183" s="31">
        <f>3.3*1.6</f>
        <v>5.28</v>
      </c>
      <c r="J183" s="620">
        <f>I183*H183</f>
        <v>10560</v>
      </c>
      <c r="K183" s="80" t="s">
        <v>746</v>
      </c>
      <c r="L183" s="53"/>
      <c r="M183" s="54"/>
      <c r="N183" s="53"/>
      <c r="O183" s="613"/>
      <c r="P183" s="297"/>
      <c r="Q183" s="582"/>
      <c r="R183" s="1"/>
      <c r="S183" s="282"/>
      <c r="T183" s="297"/>
      <c r="U183" s="297"/>
      <c r="V183" s="297"/>
      <c r="W183" s="297"/>
      <c r="X183" s="297"/>
      <c r="Y183" s="297"/>
      <c r="Z183" s="297"/>
      <c r="AA183" s="297"/>
      <c r="AB183" s="297"/>
      <c r="AC183" s="297"/>
      <c r="AD183" s="297"/>
      <c r="AE183" s="297"/>
      <c r="AF183" s="297"/>
      <c r="AG183" s="297"/>
      <c r="AH183" s="297"/>
      <c r="AI183" s="297"/>
      <c r="AJ183" s="297"/>
      <c r="AK183" s="297"/>
      <c r="AL183" s="297"/>
      <c r="AM183" s="297"/>
    </row>
    <row r="184">
      <c r="A184" s="617" t="s">
        <v>18</v>
      </c>
      <c r="B184" s="617" t="s">
        <v>689</v>
      </c>
      <c r="C184" s="33" t="str">
        <f>VLOOKUP($B184,'Rate card'!$A$4:$G280,2,FALSE)</f>
        <v>Civil</v>
      </c>
      <c r="D184" s="31" t="s">
        <v>117</v>
      </c>
      <c r="E184" s="33" t="str">
        <f>VLOOKUP($B184,'Rate card'!$A$4:$G280,4,FALSE)</f>
        <v/>
      </c>
      <c r="F184" s="33"/>
      <c r="G184" s="33" t="str">
        <f>VLOOKUP($B184,'Rate card'!$A$4:$G280,6,FALSE)</f>
        <v>Sqft</v>
      </c>
      <c r="H184" s="32">
        <v>5000.0</v>
      </c>
      <c r="I184" s="31" t="s">
        <v>18</v>
      </c>
      <c r="J184" s="620">
        <f>I184*F184</f>
        <v>0</v>
      </c>
      <c r="K184" s="80"/>
      <c r="L184" s="53"/>
      <c r="M184" s="54"/>
      <c r="N184" s="53"/>
      <c r="O184" s="613"/>
      <c r="P184" s="297"/>
      <c r="Q184" s="582"/>
      <c r="R184" s="1"/>
      <c r="S184" s="282"/>
      <c r="T184" s="297"/>
      <c r="U184" s="297"/>
      <c r="V184" s="297"/>
      <c r="W184" s="297"/>
      <c r="X184" s="297"/>
      <c r="Y184" s="297"/>
      <c r="Z184" s="297"/>
      <c r="AA184" s="297"/>
      <c r="AB184" s="297"/>
      <c r="AC184" s="297"/>
      <c r="AD184" s="297"/>
      <c r="AE184" s="297"/>
      <c r="AF184" s="297"/>
      <c r="AG184" s="297"/>
      <c r="AH184" s="297"/>
      <c r="AI184" s="297"/>
      <c r="AJ184" s="297"/>
      <c r="AK184" s="297"/>
      <c r="AL184" s="297"/>
      <c r="AM184" s="297"/>
    </row>
    <row r="185" ht="75.0" customHeight="1">
      <c r="A185" s="617" t="s">
        <v>24</v>
      </c>
      <c r="B185" s="617"/>
      <c r="C185" s="339" t="s">
        <v>20</v>
      </c>
      <c r="D185" s="339" t="s">
        <v>566</v>
      </c>
      <c r="E185" s="31" t="s">
        <v>690</v>
      </c>
      <c r="F185" s="340" t="s">
        <v>567</v>
      </c>
      <c r="G185" s="33" t="str">
        <f>G184</f>
        <v>Sqft</v>
      </c>
      <c r="H185" s="32">
        <v>150.0</v>
      </c>
      <c r="I185" s="521" t="s">
        <v>693</v>
      </c>
      <c r="J185" s="620">
        <f>H185*I185</f>
        <v>4800</v>
      </c>
      <c r="K185" s="80" t="s">
        <v>749</v>
      </c>
      <c r="L185" s="53"/>
      <c r="M185" s="54"/>
      <c r="N185" s="53"/>
      <c r="O185" s="613"/>
      <c r="P185" s="297"/>
      <c r="Q185" s="582"/>
      <c r="R185" s="1"/>
      <c r="S185" s="282"/>
      <c r="T185" s="297"/>
      <c r="U185" s="297"/>
      <c r="V185" s="297"/>
      <c r="W185" s="297"/>
      <c r="X185" s="297"/>
      <c r="Y185" s="297"/>
      <c r="Z185" s="297"/>
      <c r="AA185" s="297"/>
      <c r="AB185" s="297"/>
      <c r="AC185" s="297"/>
      <c r="AD185" s="297"/>
      <c r="AE185" s="297"/>
      <c r="AF185" s="297"/>
      <c r="AG185" s="297"/>
      <c r="AH185" s="297"/>
      <c r="AI185" s="297"/>
      <c r="AJ185" s="297"/>
      <c r="AK185" s="297"/>
      <c r="AL185" s="297"/>
      <c r="AM185" s="297"/>
    </row>
    <row r="186">
      <c r="A186" s="432" t="s">
        <v>694</v>
      </c>
      <c r="B186" s="323"/>
      <c r="C186" s="323"/>
      <c r="D186" s="323"/>
      <c r="E186" s="323"/>
      <c r="F186" s="323"/>
      <c r="G186" s="323"/>
      <c r="H186" s="324"/>
      <c r="I186" s="322"/>
      <c r="J186" s="324"/>
      <c r="K186" s="294"/>
      <c r="L186" s="297"/>
      <c r="M186" s="314"/>
      <c r="N186" s="297"/>
      <c r="O186" s="297"/>
      <c r="P186" s="281"/>
      <c r="Q186" s="124"/>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row>
    <row r="187">
      <c r="A187" s="617" t="s">
        <v>16</v>
      </c>
      <c r="B187" s="617" t="s">
        <v>576</v>
      </c>
      <c r="C187" s="33" t="str">
        <f>VLOOKUP($B187,'Rate card'!$A$4:$G280,2,FALSE)</f>
        <v>Civil</v>
      </c>
      <c r="D187" s="31" t="s">
        <v>119</v>
      </c>
      <c r="E187" s="31" t="s">
        <v>119</v>
      </c>
      <c r="F187" s="33"/>
      <c r="G187" s="33" t="str">
        <f>VLOOKUP($B187,'Rate card'!$A$4:$G280,6,FALSE)</f>
        <v>Sqft</v>
      </c>
      <c r="H187" s="32">
        <v>2000.0</v>
      </c>
      <c r="I187" s="31" t="s">
        <v>24</v>
      </c>
      <c r="J187" s="620">
        <f>H187*I187</f>
        <v>6000</v>
      </c>
      <c r="K187" s="80" t="s">
        <v>746</v>
      </c>
      <c r="L187" s="53"/>
      <c r="M187" s="54"/>
      <c r="N187" s="53"/>
      <c r="O187" s="613"/>
      <c r="P187" s="297"/>
      <c r="Q187" s="582"/>
      <c r="R187" s="1"/>
      <c r="S187" s="282"/>
      <c r="T187" s="297"/>
      <c r="U187" s="297"/>
      <c r="V187" s="297"/>
      <c r="W187" s="297"/>
      <c r="X187" s="297"/>
      <c r="Y187" s="297"/>
      <c r="Z187" s="297"/>
      <c r="AA187" s="297"/>
      <c r="AB187" s="297"/>
      <c r="AC187" s="297"/>
      <c r="AD187" s="297"/>
      <c r="AE187" s="297"/>
      <c r="AF187" s="297"/>
      <c r="AG187" s="297"/>
      <c r="AH187" s="297"/>
      <c r="AI187" s="297"/>
      <c r="AJ187" s="297"/>
      <c r="AK187" s="297"/>
      <c r="AL187" s="297"/>
      <c r="AM187" s="297"/>
    </row>
    <row r="188">
      <c r="A188" s="432" t="s">
        <v>695</v>
      </c>
      <c r="B188" s="323"/>
      <c r="C188" s="323"/>
      <c r="D188" s="323"/>
      <c r="E188" s="323"/>
      <c r="F188" s="323"/>
      <c r="G188" s="323"/>
      <c r="H188" s="324"/>
      <c r="I188" s="322"/>
      <c r="J188" s="324"/>
      <c r="K188" s="294"/>
      <c r="L188" s="297"/>
      <c r="M188" s="314"/>
      <c r="N188" s="297"/>
      <c r="O188" s="297"/>
      <c r="P188" s="281"/>
      <c r="Q188" s="124"/>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row>
    <row r="189">
      <c r="A189" s="617" t="s">
        <v>16</v>
      </c>
      <c r="B189" s="618" t="s">
        <v>696</v>
      </c>
      <c r="C189" s="94" t="str">
        <f>VLOOKUP($B189,'Rate card'!$A$4:$G280,2,FALSE)</f>
        <v>Civil</v>
      </c>
      <c r="D189" s="94" t="str">
        <f>VLOOKUP($B189,'Rate card'!$A$4:$G280,3,FALSE)</f>
        <v>Marble fixing on Walls</v>
      </c>
      <c r="E189" s="62" t="s">
        <v>697</v>
      </c>
      <c r="F189" s="94"/>
      <c r="G189" s="94" t="str">
        <f>VLOOKUP($B189,'Rate card'!$A$4:$G280,6,FALSE)</f>
        <v>SFT</v>
      </c>
      <c r="H189" s="80"/>
      <c r="I189" s="617">
        <f>35</f>
        <v>35</v>
      </c>
      <c r="J189" s="415"/>
      <c r="K189" s="584"/>
      <c r="L189" s="314"/>
      <c r="M189" s="54"/>
      <c r="N189" s="314"/>
      <c r="O189" s="314"/>
      <c r="P189" s="283"/>
      <c r="Q189" s="283"/>
      <c r="R189" s="283"/>
      <c r="S189" s="283"/>
      <c r="T189" s="283"/>
      <c r="U189" s="283"/>
      <c r="V189" s="283"/>
      <c r="W189" s="283"/>
      <c r="X189" s="283"/>
      <c r="Y189" s="283"/>
      <c r="Z189" s="62" t="s">
        <v>750</v>
      </c>
      <c r="AA189" s="94" t="str">
        <f>VLOOKUP($B189,'Rate card'!$A$4:$G280,6,FALSE)</f>
        <v>SFT</v>
      </c>
      <c r="AB189" s="80"/>
      <c r="AC189" s="438"/>
      <c r="AD189" s="415"/>
      <c r="AE189" s="281"/>
      <c r="AF189" s="281"/>
      <c r="AG189" s="281"/>
      <c r="AH189" s="281"/>
      <c r="AI189" s="281"/>
      <c r="AJ189" s="281"/>
      <c r="AK189" s="281"/>
      <c r="AL189" s="281"/>
      <c r="AM189" s="281"/>
    </row>
    <row r="190">
      <c r="A190" s="621" t="s">
        <v>698</v>
      </c>
      <c r="B190" s="294"/>
      <c r="C190" s="294"/>
      <c r="D190" s="294"/>
      <c r="E190" s="294"/>
      <c r="F190" s="294"/>
      <c r="G190" s="294"/>
      <c r="H190" s="426"/>
      <c r="I190" s="426"/>
      <c r="J190" s="426"/>
      <c r="K190" s="616"/>
      <c r="L190" s="611"/>
      <c r="M190" s="611"/>
      <c r="N190" s="611"/>
      <c r="O190" s="611"/>
      <c r="P190" s="299"/>
      <c r="Q190" s="299"/>
      <c r="R190" s="297"/>
      <c r="S190" s="297"/>
      <c r="T190" s="297"/>
      <c r="U190" s="297"/>
      <c r="V190" s="281"/>
      <c r="W190" s="281"/>
      <c r="X190" s="281"/>
      <c r="Y190" s="281"/>
      <c r="Z190" s="281"/>
      <c r="AA190" s="281"/>
      <c r="AB190" s="281"/>
      <c r="AC190" s="281"/>
      <c r="AD190" s="281"/>
      <c r="AE190" s="281"/>
      <c r="AF190" s="281"/>
      <c r="AG190" s="281"/>
      <c r="AH190" s="281"/>
      <c r="AI190" s="281"/>
      <c r="AJ190" s="281"/>
      <c r="AK190" s="281"/>
      <c r="AL190" s="281"/>
      <c r="AM190" s="281"/>
    </row>
    <row r="191">
      <c r="A191" s="621" t="s">
        <v>699</v>
      </c>
      <c r="B191" s="294"/>
      <c r="C191" s="294"/>
      <c r="D191" s="294"/>
      <c r="E191" s="294"/>
      <c r="F191" s="294"/>
      <c r="G191" s="294"/>
      <c r="H191" s="426"/>
      <c r="I191" s="426"/>
      <c r="J191" s="426"/>
      <c r="K191" s="616"/>
      <c r="L191" s="611"/>
      <c r="M191" s="611"/>
      <c r="N191" s="611"/>
      <c r="O191" s="61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row>
    <row r="192">
      <c r="A192" s="321" t="s">
        <v>161</v>
      </c>
      <c r="B192" s="294"/>
      <c r="C192" s="294"/>
      <c r="D192" s="294"/>
      <c r="E192" s="294"/>
      <c r="F192" s="294"/>
      <c r="G192" s="294"/>
      <c r="H192" s="426"/>
      <c r="I192" s="426"/>
      <c r="J192" s="426"/>
      <c r="K192" s="616"/>
      <c r="L192" s="611"/>
      <c r="M192" s="611"/>
      <c r="N192" s="611"/>
      <c r="O192" s="61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row>
    <row r="193">
      <c r="A193" s="553"/>
      <c r="B193" s="553"/>
      <c r="C193" s="76" t="s">
        <v>31</v>
      </c>
      <c r="D193" s="75" t="s">
        <v>700</v>
      </c>
      <c r="E193" s="76" t="s">
        <v>701</v>
      </c>
      <c r="F193" s="76"/>
      <c r="G193" s="76" t="s">
        <v>560</v>
      </c>
      <c r="H193" s="75">
        <v>7000.0</v>
      </c>
      <c r="I193" s="31" t="s">
        <v>32</v>
      </c>
      <c r="J193" s="557">
        <f t="shared" ref="J193:J196" si="77">H193*I193</f>
        <v>42000</v>
      </c>
      <c r="K193" s="556" t="s">
        <v>751</v>
      </c>
      <c r="L193" s="314"/>
      <c r="M193" s="314"/>
      <c r="N193" s="297"/>
      <c r="O193" s="297"/>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row>
    <row r="194">
      <c r="A194" s="553"/>
      <c r="B194" s="553"/>
      <c r="C194" s="76" t="s">
        <v>31</v>
      </c>
      <c r="D194" s="76" t="s">
        <v>702</v>
      </c>
      <c r="E194" s="76" t="s">
        <v>703</v>
      </c>
      <c r="F194" s="67"/>
      <c r="G194" s="76" t="s">
        <v>560</v>
      </c>
      <c r="H194" s="75">
        <v>3500.0</v>
      </c>
      <c r="I194" s="31" t="s">
        <v>32</v>
      </c>
      <c r="J194" s="557">
        <f t="shared" si="77"/>
        <v>21000</v>
      </c>
      <c r="K194" s="556" t="s">
        <v>751</v>
      </c>
      <c r="L194" s="314"/>
      <c r="M194" s="314"/>
      <c r="N194" s="297"/>
      <c r="O194" s="297"/>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row>
    <row r="195">
      <c r="A195" s="554"/>
      <c r="B195" s="553"/>
      <c r="C195" s="94" t="str">
        <f>C95:F95</f>
        <v>Carpentry</v>
      </c>
      <c r="D195" s="94" t="str">
        <f t="shared" ref="D195:F195" si="78">D95</f>
        <v>Panelling with framing</v>
      </c>
      <c r="E195" s="94" t="str">
        <f t="shared" si="78"/>
        <v>Mirror Finish</v>
      </c>
      <c r="F195" s="94" t="str">
        <f t="shared" si="78"/>
        <v>MR ply + ply framing + 5mm clear mirror</v>
      </c>
      <c r="G195" s="62" t="s">
        <v>175</v>
      </c>
      <c r="H195" s="62">
        <v>750.0</v>
      </c>
      <c r="I195" s="584">
        <f>4.25*9+2.5*10</f>
        <v>63.25</v>
      </c>
      <c r="J195" s="557">
        <f t="shared" si="77"/>
        <v>47437.5</v>
      </c>
      <c r="K195" s="556" t="s">
        <v>751</v>
      </c>
      <c r="L195" s="314"/>
      <c r="M195" s="314"/>
      <c r="N195" s="297"/>
      <c r="O195" s="297"/>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row>
    <row r="196">
      <c r="A196" s="622"/>
      <c r="B196" s="623"/>
      <c r="C196" s="76" t="s">
        <v>31</v>
      </c>
      <c r="D196" s="75" t="s">
        <v>704</v>
      </c>
      <c r="E196" s="94" t="str">
        <f>E195</f>
        <v>Mirror Finish</v>
      </c>
      <c r="F196" s="67"/>
      <c r="G196" s="76" t="s">
        <v>560</v>
      </c>
      <c r="H196" s="75">
        <v>250.0</v>
      </c>
      <c r="I196" s="31">
        <f>2.75*10</f>
        <v>27.5</v>
      </c>
      <c r="J196" s="557">
        <f t="shared" si="77"/>
        <v>6875</v>
      </c>
      <c r="K196" s="556" t="s">
        <v>751</v>
      </c>
      <c r="L196" s="314"/>
      <c r="M196" s="314"/>
      <c r="N196" s="297"/>
      <c r="O196" s="297"/>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row>
    <row r="197">
      <c r="A197" s="622"/>
      <c r="B197" s="618"/>
      <c r="C197" s="293" t="s">
        <v>31</v>
      </c>
      <c r="D197" s="293" t="s">
        <v>177</v>
      </c>
      <c r="E197" s="293" t="s">
        <v>178</v>
      </c>
      <c r="F197" s="281"/>
      <c r="G197" s="293" t="s">
        <v>175</v>
      </c>
      <c r="H197" s="293">
        <v>3000.0</v>
      </c>
      <c r="I197" s="293">
        <v>15.0</v>
      </c>
      <c r="J197" s="281">
        <f>I197*H197</f>
        <v>45000</v>
      </c>
      <c r="K197" s="281"/>
      <c r="L197" s="314"/>
      <c r="M197" s="314"/>
      <c r="N197" s="297"/>
      <c r="O197" s="297"/>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row>
    <row r="198">
      <c r="A198" s="622"/>
      <c r="B198" s="623"/>
      <c r="C198" s="94" t="str">
        <f>C98:F98</f>
        <v>Carpentry</v>
      </c>
      <c r="D198" s="94" t="str">
        <f t="shared" ref="D198:F198" si="79">D98</f>
        <v>Panelling with framing</v>
      </c>
      <c r="E198" s="94" t="str">
        <f t="shared" si="79"/>
        <v>MDF</v>
      </c>
      <c r="F198" s="94" t="str">
        <f t="shared" si="79"/>
        <v>MR ply + ply framing + 12mm MDF</v>
      </c>
      <c r="G198" s="62" t="s">
        <v>175</v>
      </c>
      <c r="H198" s="62">
        <v>750.0</v>
      </c>
      <c r="I198" s="556" t="s">
        <v>216</v>
      </c>
      <c r="J198" s="557">
        <f>H198*I198</f>
        <v>22500</v>
      </c>
      <c r="K198" s="62" t="s">
        <v>752</v>
      </c>
      <c r="L198" s="314"/>
      <c r="M198" s="314"/>
      <c r="N198" s="297"/>
      <c r="O198" s="297"/>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row>
    <row r="199">
      <c r="A199" s="30" t="s">
        <v>705</v>
      </c>
      <c r="B199" s="294"/>
      <c r="C199" s="294"/>
      <c r="D199" s="294"/>
      <c r="E199" s="294"/>
      <c r="F199" s="294"/>
      <c r="G199" s="294"/>
      <c r="H199" s="426"/>
      <c r="I199" s="426"/>
      <c r="J199" s="426"/>
      <c r="K199" s="616"/>
      <c r="L199" s="611"/>
      <c r="M199" s="611"/>
      <c r="N199" s="611"/>
      <c r="O199" s="61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row>
    <row r="200">
      <c r="A200" s="553"/>
      <c r="B200" s="553"/>
      <c r="C200" s="553"/>
      <c r="D200" s="554" t="s">
        <v>706</v>
      </c>
      <c r="E200" s="553"/>
      <c r="F200" s="553"/>
      <c r="G200" s="553"/>
      <c r="H200" s="557"/>
      <c r="I200" s="556" t="s">
        <v>16</v>
      </c>
      <c r="J200" s="555">
        <v>40000.0</v>
      </c>
      <c r="K200" s="584"/>
      <c r="L200" s="283"/>
      <c r="M200" s="283"/>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row>
    <row r="201">
      <c r="A201" s="30" t="s">
        <v>707</v>
      </c>
      <c r="B201" s="294"/>
      <c r="C201" s="294"/>
      <c r="D201" s="294"/>
      <c r="E201" s="294"/>
      <c r="F201" s="294"/>
      <c r="G201" s="294"/>
      <c r="H201" s="426"/>
      <c r="I201" s="426"/>
      <c r="J201" s="426"/>
      <c r="K201" s="616"/>
      <c r="L201" s="611"/>
      <c r="M201" s="611"/>
      <c r="N201" s="611"/>
      <c r="O201" s="61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row>
    <row r="202">
      <c r="A202" s="553"/>
      <c r="B202" s="553"/>
      <c r="C202" s="553"/>
      <c r="D202" s="554" t="s">
        <v>708</v>
      </c>
      <c r="E202" s="553"/>
      <c r="F202" s="553"/>
      <c r="G202" s="554" t="s">
        <v>175</v>
      </c>
      <c r="H202" s="555">
        <v>850.0</v>
      </c>
      <c r="I202" s="556" t="s">
        <v>262</v>
      </c>
      <c r="J202" s="557">
        <f>I202*H202</f>
        <v>76500</v>
      </c>
      <c r="K202" s="584">
        <f>H202*120</f>
        <v>102000</v>
      </c>
      <c r="L202" s="283"/>
      <c r="M202" s="283"/>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row>
    <row r="203">
      <c r="A203" s="30" t="s">
        <v>709</v>
      </c>
      <c r="B203" s="294"/>
      <c r="C203" s="294"/>
      <c r="D203" s="294"/>
      <c r="E203" s="294"/>
      <c r="F203" s="294"/>
      <c r="G203" s="294"/>
      <c r="H203" s="426"/>
      <c r="I203" s="426"/>
      <c r="J203" s="426"/>
      <c r="K203" s="616"/>
      <c r="L203" s="611"/>
      <c r="M203" s="611"/>
      <c r="N203" s="611"/>
      <c r="O203" s="61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row>
    <row r="204">
      <c r="A204" s="553"/>
      <c r="B204" s="553"/>
      <c r="C204" s="553"/>
      <c r="D204" s="554" t="s">
        <v>215</v>
      </c>
      <c r="E204" s="553"/>
      <c r="F204" s="553"/>
      <c r="G204" s="554" t="s">
        <v>175</v>
      </c>
      <c r="H204" s="555">
        <v>950.0</v>
      </c>
      <c r="I204" s="556" t="s">
        <v>216</v>
      </c>
      <c r="J204" s="557">
        <f>I204*H204</f>
        <v>28500</v>
      </c>
      <c r="K204" s="584">
        <f>H204*40</f>
        <v>38000</v>
      </c>
      <c r="L204" s="283"/>
      <c r="M204" s="283"/>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row>
    <row r="205">
      <c r="A205" s="30" t="s">
        <v>710</v>
      </c>
      <c r="B205" s="294"/>
      <c r="C205" s="294"/>
      <c r="D205" s="294"/>
      <c r="E205" s="294"/>
      <c r="F205" s="294"/>
      <c r="G205" s="294"/>
      <c r="H205" s="426"/>
      <c r="I205" s="426"/>
      <c r="J205" s="426"/>
      <c r="K205" s="616"/>
      <c r="L205" s="611"/>
      <c r="M205" s="611"/>
      <c r="N205" s="611"/>
      <c r="O205" s="61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row>
    <row r="206">
      <c r="A206" s="553"/>
      <c r="B206" s="553"/>
      <c r="C206" s="553"/>
      <c r="D206" s="554" t="s">
        <v>294</v>
      </c>
      <c r="E206" s="553"/>
      <c r="F206" s="553"/>
      <c r="G206" s="553"/>
      <c r="H206" s="555">
        <v>750.0</v>
      </c>
      <c r="I206" s="556" t="s">
        <v>295</v>
      </c>
      <c r="J206" s="557">
        <f t="shared" ref="J206:J208" si="80">I206*H206</f>
        <v>103500</v>
      </c>
      <c r="K206" s="584"/>
      <c r="L206" s="283"/>
      <c r="M206" s="283"/>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row>
    <row r="207">
      <c r="A207" s="553"/>
      <c r="B207" s="553"/>
      <c r="C207" s="553"/>
      <c r="D207" s="554" t="s">
        <v>296</v>
      </c>
      <c r="E207" s="553"/>
      <c r="F207" s="553"/>
      <c r="G207" s="553"/>
      <c r="H207" s="555">
        <v>750.0</v>
      </c>
      <c r="I207" s="584">
        <f t="shared" ref="I207:I208" si="81">5.5*9</f>
        <v>49.5</v>
      </c>
      <c r="J207" s="557">
        <f t="shared" si="80"/>
        <v>37125</v>
      </c>
      <c r="K207" s="584"/>
      <c r="L207" s="283"/>
      <c r="M207" s="283"/>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row>
    <row r="208">
      <c r="A208" s="553"/>
      <c r="B208" s="553"/>
      <c r="C208" s="553"/>
      <c r="D208" s="554" t="s">
        <v>296</v>
      </c>
      <c r="E208" s="553"/>
      <c r="F208" s="553"/>
      <c r="G208" s="553"/>
      <c r="H208" s="555">
        <v>750.0</v>
      </c>
      <c r="I208" s="584">
        <f t="shared" si="81"/>
        <v>49.5</v>
      </c>
      <c r="J208" s="557">
        <f t="shared" si="80"/>
        <v>37125</v>
      </c>
      <c r="K208" s="584"/>
      <c r="L208" s="283"/>
      <c r="M208" s="283"/>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row>
    <row r="209">
      <c r="A209" s="553"/>
      <c r="B209" s="553"/>
      <c r="C209" s="553"/>
      <c r="D209" s="553"/>
      <c r="E209" s="553"/>
      <c r="F209" s="553"/>
      <c r="G209" s="553"/>
      <c r="H209" s="557"/>
      <c r="I209" s="584"/>
      <c r="J209" s="557"/>
      <c r="K209" s="584"/>
      <c r="L209" s="283"/>
      <c r="M209" s="283"/>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row>
    <row r="210">
      <c r="A210" s="553"/>
      <c r="B210" s="553"/>
      <c r="C210" s="553"/>
      <c r="D210" s="553"/>
      <c r="E210" s="553"/>
      <c r="F210" s="553"/>
      <c r="G210" s="553"/>
      <c r="H210" s="557"/>
      <c r="I210" s="584"/>
      <c r="J210" s="624">
        <f>SUM(J173:J209)</f>
        <v>597862.5</v>
      </c>
      <c r="K210" s="584"/>
      <c r="L210" s="283"/>
      <c r="M210" s="283"/>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row>
    <row r="211">
      <c r="A211" s="281"/>
      <c r="B211" s="281"/>
      <c r="C211" s="281"/>
      <c r="D211" s="281"/>
      <c r="E211" s="281"/>
      <c r="F211" s="281"/>
      <c r="G211" s="281"/>
      <c r="H211" s="282"/>
      <c r="I211" s="283"/>
      <c r="J211" s="282"/>
      <c r="K211" s="283"/>
      <c r="L211" s="283"/>
      <c r="M211" s="283"/>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row>
    <row r="212">
      <c r="A212" s="281"/>
      <c r="B212" s="281"/>
      <c r="C212" s="281"/>
      <c r="D212" s="281"/>
      <c r="E212" s="281"/>
      <c r="F212" s="281"/>
      <c r="G212" s="281"/>
      <c r="H212" s="282"/>
      <c r="I212" s="283"/>
      <c r="J212" s="282"/>
      <c r="K212" s="283"/>
      <c r="L212" s="283"/>
      <c r="M212" s="283"/>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row>
    <row r="213">
      <c r="A213" s="281"/>
      <c r="B213" s="281"/>
      <c r="C213" s="281"/>
      <c r="D213" s="281"/>
      <c r="E213" s="281"/>
      <c r="F213" s="281"/>
      <c r="G213" s="281"/>
      <c r="H213" s="282"/>
      <c r="I213" s="283"/>
      <c r="J213" s="282"/>
      <c r="K213" s="283"/>
      <c r="L213" s="283"/>
      <c r="M213" s="283"/>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row>
    <row r="214">
      <c r="A214" s="281"/>
      <c r="B214" s="281"/>
      <c r="C214" s="281"/>
      <c r="D214" s="281"/>
      <c r="E214" s="281"/>
      <c r="F214" s="281"/>
      <c r="G214" s="281"/>
      <c r="H214" s="282"/>
      <c r="I214" s="283"/>
      <c r="J214" s="282"/>
      <c r="K214" s="283"/>
      <c r="L214" s="283"/>
      <c r="M214" s="283"/>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row>
    <row r="215">
      <c r="A215" s="281"/>
      <c r="B215" s="281"/>
      <c r="C215" s="281"/>
      <c r="D215" s="281"/>
      <c r="E215" s="281"/>
      <c r="F215" s="281"/>
      <c r="G215" s="281"/>
      <c r="H215" s="282"/>
      <c r="I215" s="283"/>
      <c r="J215" s="282"/>
      <c r="K215" s="283"/>
      <c r="L215" s="283"/>
      <c r="M215" s="283"/>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row>
    <row r="216">
      <c r="A216" s="281"/>
      <c r="B216" s="281"/>
      <c r="C216" s="281"/>
      <c r="D216" s="281"/>
      <c r="E216" s="281"/>
      <c r="F216" s="281"/>
      <c r="G216" s="281"/>
      <c r="H216" s="282"/>
      <c r="I216" s="283"/>
      <c r="J216" s="282"/>
      <c r="K216" s="283"/>
      <c r="L216" s="283"/>
      <c r="M216" s="283"/>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row>
    <row r="217">
      <c r="A217" s="281"/>
      <c r="B217" s="281"/>
      <c r="C217" s="281"/>
      <c r="D217" s="281"/>
      <c r="E217" s="281"/>
      <c r="F217" s="281"/>
      <c r="G217" s="281"/>
      <c r="H217" s="282"/>
      <c r="I217" s="283"/>
      <c r="J217" s="282"/>
      <c r="K217" s="283"/>
      <c r="L217" s="283"/>
      <c r="M217" s="283"/>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row>
    <row r="218">
      <c r="A218" s="281"/>
      <c r="B218" s="281"/>
      <c r="C218" s="281"/>
      <c r="D218" s="281"/>
      <c r="E218" s="281"/>
      <c r="F218" s="281"/>
      <c r="G218" s="281"/>
      <c r="H218" s="282"/>
      <c r="I218" s="283"/>
      <c r="J218" s="282"/>
      <c r="K218" s="283"/>
      <c r="L218" s="283"/>
      <c r="M218" s="283"/>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row>
    <row r="219">
      <c r="A219" s="281"/>
      <c r="B219" s="281"/>
      <c r="C219" s="281"/>
      <c r="D219" s="281"/>
      <c r="E219" s="281"/>
      <c r="F219" s="281"/>
      <c r="G219" s="281"/>
      <c r="H219" s="282"/>
      <c r="I219" s="283"/>
      <c r="J219" s="282"/>
      <c r="K219" s="283"/>
      <c r="L219" s="283"/>
      <c r="M219" s="283"/>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row>
    <row r="220">
      <c r="A220" s="281"/>
      <c r="B220" s="281"/>
      <c r="C220" s="281"/>
      <c r="D220" s="281"/>
      <c r="E220" s="281"/>
      <c r="F220" s="281"/>
      <c r="G220" s="281"/>
      <c r="H220" s="282"/>
      <c r="I220" s="283"/>
      <c r="J220" s="282"/>
      <c r="K220" s="283"/>
      <c r="L220" s="283"/>
      <c r="M220" s="283"/>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row>
    <row r="221">
      <c r="A221" s="281"/>
      <c r="B221" s="281"/>
      <c r="C221" s="281"/>
      <c r="D221" s="281"/>
      <c r="E221" s="281"/>
      <c r="F221" s="281"/>
      <c r="G221" s="281"/>
      <c r="H221" s="282"/>
      <c r="I221" s="283"/>
      <c r="J221" s="282"/>
      <c r="K221" s="283"/>
      <c r="L221" s="283"/>
      <c r="M221" s="283"/>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row>
    <row r="222">
      <c r="A222" s="281"/>
      <c r="B222" s="281"/>
      <c r="C222" s="281"/>
      <c r="D222" s="281"/>
      <c r="E222" s="281"/>
      <c r="F222" s="281"/>
      <c r="G222" s="281"/>
      <c r="H222" s="282"/>
      <c r="I222" s="283"/>
      <c r="J222" s="282"/>
      <c r="K222" s="283"/>
      <c r="L222" s="283"/>
      <c r="M222" s="283"/>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row>
    <row r="223">
      <c r="A223" s="281"/>
      <c r="B223" s="281"/>
      <c r="C223" s="281"/>
      <c r="D223" s="281"/>
      <c r="E223" s="281"/>
      <c r="F223" s="281"/>
      <c r="G223" s="281"/>
      <c r="H223" s="282"/>
      <c r="I223" s="283"/>
      <c r="J223" s="282"/>
      <c r="K223" s="283"/>
      <c r="L223" s="283"/>
      <c r="M223" s="283"/>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row>
    <row r="224">
      <c r="A224" s="281"/>
      <c r="B224" s="281"/>
      <c r="C224" s="281"/>
      <c r="D224" s="281"/>
      <c r="E224" s="281"/>
      <c r="F224" s="281"/>
      <c r="G224" s="281"/>
      <c r="H224" s="282"/>
      <c r="I224" s="283"/>
      <c r="J224" s="282"/>
      <c r="K224" s="283"/>
      <c r="L224" s="283"/>
      <c r="M224" s="283"/>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row>
    <row r="225">
      <c r="A225" s="281"/>
      <c r="B225" s="281"/>
      <c r="C225" s="281"/>
      <c r="D225" s="281"/>
      <c r="E225" s="281"/>
      <c r="F225" s="281"/>
      <c r="G225" s="281"/>
      <c r="H225" s="282"/>
      <c r="I225" s="283"/>
      <c r="J225" s="282"/>
      <c r="K225" s="283"/>
      <c r="L225" s="283"/>
      <c r="M225" s="283"/>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row>
    <row r="226">
      <c r="A226" s="281"/>
      <c r="B226" s="281"/>
      <c r="C226" s="281"/>
      <c r="D226" s="281"/>
      <c r="E226" s="281"/>
      <c r="F226" s="281"/>
      <c r="G226" s="281"/>
      <c r="H226" s="282"/>
      <c r="I226" s="283"/>
      <c r="J226" s="282"/>
      <c r="K226" s="283"/>
      <c r="L226" s="283"/>
      <c r="M226" s="283"/>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row>
    <row r="227">
      <c r="A227" s="118" t="s">
        <v>309</v>
      </c>
      <c r="B227" s="281"/>
      <c r="C227" s="281"/>
      <c r="D227" s="281"/>
      <c r="E227" s="281"/>
      <c r="F227" s="281"/>
      <c r="G227" s="281"/>
      <c r="H227" s="282"/>
      <c r="I227" s="283"/>
      <c r="J227" s="282"/>
      <c r="K227" s="283"/>
      <c r="L227" s="283"/>
      <c r="M227" s="283"/>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row>
    <row r="228">
      <c r="A228" s="625" t="s">
        <v>310</v>
      </c>
      <c r="B228" s="281"/>
      <c r="C228" s="281"/>
      <c r="D228" s="281"/>
      <c r="E228" s="281"/>
      <c r="F228" s="281"/>
      <c r="G228" s="281"/>
      <c r="H228" s="282"/>
      <c r="I228" s="283"/>
      <c r="J228" s="282"/>
      <c r="K228" s="283"/>
      <c r="L228" s="283"/>
      <c r="M228" s="283"/>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row>
    <row r="229">
      <c r="A229" s="625" t="s">
        <v>311</v>
      </c>
      <c r="B229" s="281"/>
      <c r="C229" s="281"/>
      <c r="D229" s="281"/>
      <c r="E229" s="281"/>
      <c r="F229" s="281"/>
      <c r="G229" s="281"/>
      <c r="H229" s="282"/>
      <c r="I229" s="283"/>
      <c r="J229" s="282"/>
      <c r="K229" s="283"/>
      <c r="L229" s="283"/>
      <c r="M229" s="283"/>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row>
    <row r="230">
      <c r="A230" s="625" t="s">
        <v>312</v>
      </c>
      <c r="B230" s="281"/>
      <c r="C230" s="281"/>
      <c r="D230" s="281"/>
      <c r="E230" s="281"/>
      <c r="F230" s="281"/>
      <c r="G230" s="281"/>
      <c r="H230" s="282"/>
      <c r="I230" s="283"/>
      <c r="J230" s="282"/>
      <c r="K230" s="283"/>
      <c r="L230" s="283"/>
      <c r="M230" s="283"/>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row>
    <row r="231">
      <c r="A231" s="625" t="s">
        <v>313</v>
      </c>
      <c r="B231" s="281"/>
      <c r="C231" s="281"/>
      <c r="D231" s="281"/>
      <c r="E231" s="281"/>
      <c r="F231" s="281"/>
      <c r="G231" s="281"/>
      <c r="H231" s="282"/>
      <c r="I231" s="283"/>
      <c r="J231" s="282"/>
      <c r="K231" s="283"/>
      <c r="L231" s="283"/>
      <c r="M231" s="283"/>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row>
    <row r="232">
      <c r="A232" s="625" t="s">
        <v>314</v>
      </c>
      <c r="B232" s="281"/>
      <c r="C232" s="281"/>
      <c r="D232" s="281"/>
      <c r="E232" s="281"/>
      <c r="F232" s="281"/>
      <c r="G232" s="281"/>
      <c r="H232" s="282"/>
      <c r="I232" s="283"/>
      <c r="J232" s="282"/>
      <c r="K232" s="283"/>
      <c r="L232" s="283"/>
      <c r="M232" s="283"/>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row>
    <row r="233">
      <c r="A233" s="625" t="s">
        <v>315</v>
      </c>
      <c r="B233" s="281"/>
      <c r="C233" s="281"/>
      <c r="D233" s="281"/>
      <c r="E233" s="281"/>
      <c r="F233" s="281"/>
      <c r="G233" s="281"/>
      <c r="H233" s="282"/>
      <c r="I233" s="283"/>
      <c r="J233" s="282"/>
      <c r="K233" s="283"/>
      <c r="L233" s="283"/>
      <c r="M233" s="283"/>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row>
    <row r="234">
      <c r="A234" s="625" t="s">
        <v>316</v>
      </c>
      <c r="B234" s="281"/>
      <c r="C234" s="281"/>
      <c r="D234" s="281"/>
      <c r="E234" s="281"/>
      <c r="F234" s="281"/>
      <c r="G234" s="281"/>
      <c r="H234" s="282"/>
      <c r="I234" s="283"/>
      <c r="J234" s="282"/>
      <c r="K234" s="283"/>
      <c r="L234" s="283"/>
      <c r="M234" s="283"/>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row>
    <row r="235">
      <c r="A235" s="625" t="s">
        <v>317</v>
      </c>
      <c r="B235" s="281"/>
      <c r="C235" s="281"/>
      <c r="D235" s="281"/>
      <c r="E235" s="281"/>
      <c r="F235" s="281"/>
      <c r="G235" s="281"/>
      <c r="H235" s="282"/>
      <c r="I235" s="283"/>
      <c r="J235" s="282"/>
      <c r="K235" s="283"/>
      <c r="L235" s="283"/>
      <c r="M235" s="283"/>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row>
    <row r="236">
      <c r="A236" s="625" t="s">
        <v>318</v>
      </c>
      <c r="B236" s="281"/>
      <c r="C236" s="281"/>
      <c r="D236" s="281"/>
      <c r="E236" s="281"/>
      <c r="F236" s="281"/>
      <c r="G236" s="281"/>
      <c r="H236" s="282"/>
      <c r="I236" s="283"/>
      <c r="J236" s="282"/>
      <c r="K236" s="283"/>
      <c r="L236" s="283"/>
      <c r="M236" s="283"/>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row>
    <row r="237">
      <c r="A237" s="625" t="s">
        <v>319</v>
      </c>
      <c r="B237" s="281"/>
      <c r="C237" s="281"/>
      <c r="D237" s="281"/>
      <c r="E237" s="281"/>
      <c r="F237" s="281"/>
      <c r="G237" s="281"/>
      <c r="H237" s="282"/>
      <c r="I237" s="283"/>
      <c r="J237" s="282"/>
      <c r="K237" s="283"/>
      <c r="L237" s="283"/>
      <c r="M237" s="283"/>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row>
    <row r="238">
      <c r="A238" s="625" t="s">
        <v>320</v>
      </c>
      <c r="B238" s="281"/>
      <c r="C238" s="281"/>
      <c r="D238" s="281"/>
      <c r="E238" s="281"/>
      <c r="F238" s="281"/>
      <c r="G238" s="281"/>
      <c r="H238" s="282"/>
      <c r="I238" s="283"/>
      <c r="J238" s="282"/>
      <c r="K238" s="283"/>
      <c r="L238" s="283"/>
      <c r="M238" s="283"/>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row>
    <row r="239">
      <c r="A239" s="625" t="s">
        <v>321</v>
      </c>
      <c r="B239" s="281"/>
      <c r="C239" s="281"/>
      <c r="D239" s="281"/>
      <c r="E239" s="281"/>
      <c r="F239" s="281"/>
      <c r="G239" s="281"/>
      <c r="H239" s="282"/>
      <c r="I239" s="283"/>
      <c r="J239" s="282"/>
      <c r="K239" s="283"/>
      <c r="L239" s="283"/>
      <c r="M239" s="283"/>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row>
    <row r="240">
      <c r="A240" s="626" t="s">
        <v>322</v>
      </c>
      <c r="B240" s="467"/>
      <c r="C240" s="467"/>
      <c r="D240" s="467"/>
      <c r="E240" s="467"/>
      <c r="F240" s="467"/>
      <c r="G240" s="467"/>
      <c r="H240" s="468"/>
      <c r="I240" s="469"/>
      <c r="J240" s="468"/>
      <c r="K240" s="469"/>
      <c r="L240" s="469"/>
      <c r="M240" s="469"/>
      <c r="N240" s="467"/>
      <c r="O240" s="297"/>
      <c r="P240" s="297"/>
      <c r="Q240" s="297"/>
      <c r="R240" s="297"/>
      <c r="S240" s="297"/>
      <c r="T240" s="297"/>
      <c r="U240" s="297"/>
      <c r="V240" s="297"/>
      <c r="W240" s="297"/>
      <c r="X240" s="297"/>
      <c r="Y240" s="297"/>
      <c r="Z240" s="297"/>
      <c r="AA240" s="297"/>
      <c r="AB240" s="297"/>
      <c r="AC240" s="281"/>
      <c r="AD240" s="281"/>
      <c r="AE240" s="281"/>
      <c r="AF240" s="281"/>
      <c r="AG240" s="281"/>
      <c r="AH240" s="281"/>
      <c r="AI240" s="281"/>
      <c r="AJ240" s="281"/>
      <c r="AK240" s="281"/>
      <c r="AL240" s="281"/>
      <c r="AM240" s="281"/>
    </row>
    <row r="241">
      <c r="A241" s="24" t="s">
        <v>323</v>
      </c>
      <c r="B241" s="627"/>
      <c r="C241" s="627"/>
      <c r="D241" s="627"/>
      <c r="E241" s="627"/>
      <c r="F241" s="627"/>
      <c r="G241" s="627"/>
      <c r="H241" s="628"/>
      <c r="I241" s="629"/>
      <c r="J241" s="628"/>
      <c r="K241" s="629"/>
      <c r="L241" s="629"/>
      <c r="M241" s="629"/>
      <c r="N241" s="627"/>
      <c r="O241" s="297"/>
      <c r="P241" s="297"/>
      <c r="Q241" s="297"/>
      <c r="R241" s="297"/>
      <c r="S241" s="297"/>
      <c r="T241" s="297"/>
      <c r="U241" s="297"/>
      <c r="V241" s="297"/>
      <c r="W241" s="297"/>
      <c r="X241" s="297"/>
      <c r="Y241" s="297"/>
      <c r="Z241" s="297"/>
      <c r="AA241" s="297"/>
      <c r="AB241" s="297"/>
      <c r="AC241" s="297"/>
      <c r="AD241" s="297"/>
      <c r="AE241" s="297"/>
      <c r="AF241" s="297"/>
      <c r="AG241" s="297"/>
      <c r="AH241" s="297"/>
      <c r="AI241" s="297"/>
      <c r="AJ241" s="297"/>
      <c r="AK241" s="297"/>
      <c r="AL241" s="297"/>
      <c r="AM241" s="297"/>
    </row>
    <row r="242">
      <c r="A242" s="62">
        <v>1.0</v>
      </c>
      <c r="B242" s="623"/>
      <c r="C242" s="630" t="s">
        <v>324</v>
      </c>
      <c r="D242" s="631" t="s">
        <v>325</v>
      </c>
      <c r="E242" s="623"/>
      <c r="F242" s="62" t="s">
        <v>326</v>
      </c>
      <c r="G242" s="631" t="s">
        <v>289</v>
      </c>
      <c r="H242" s="532">
        <v>150000.0</v>
      </c>
      <c r="I242" s="632" t="s">
        <v>16</v>
      </c>
      <c r="J242" s="415">
        <f t="shared" ref="J242:J247" si="82">H242*I242</f>
        <v>150000</v>
      </c>
      <c r="K242" s="632" t="s">
        <v>16</v>
      </c>
      <c r="L242" s="632"/>
      <c r="M242" s="633" t="s">
        <v>16</v>
      </c>
      <c r="N242" s="532" t="s">
        <v>327</v>
      </c>
      <c r="O242" s="297"/>
      <c r="P242" s="297"/>
      <c r="Q242" s="297"/>
      <c r="R242" s="297"/>
      <c r="S242" s="297"/>
      <c r="T242" s="297"/>
      <c r="U242" s="297"/>
      <c r="V242" s="297"/>
      <c r="W242" s="297"/>
      <c r="X242" s="297"/>
      <c r="Y242" s="297"/>
      <c r="Z242" s="297"/>
      <c r="AA242" s="297"/>
      <c r="AB242" s="297"/>
      <c r="AC242" s="297"/>
      <c r="AD242" s="297"/>
      <c r="AE242" s="297"/>
      <c r="AF242" s="297"/>
      <c r="AG242" s="297"/>
      <c r="AH242" s="297"/>
      <c r="AI242" s="297"/>
      <c r="AJ242" s="297"/>
      <c r="AK242" s="297"/>
      <c r="AL242" s="297"/>
      <c r="AM242" s="297"/>
    </row>
    <row r="243">
      <c r="A243" s="62">
        <v>2.0</v>
      </c>
      <c r="B243" s="623"/>
      <c r="C243" s="630" t="s">
        <v>328</v>
      </c>
      <c r="D243" s="631"/>
      <c r="E243" s="623"/>
      <c r="F243" s="62" t="s">
        <v>326</v>
      </c>
      <c r="G243" s="631" t="s">
        <v>289</v>
      </c>
      <c r="H243" s="532">
        <v>25000.0</v>
      </c>
      <c r="I243" s="632" t="s">
        <v>18</v>
      </c>
      <c r="J243" s="415">
        <f t="shared" si="82"/>
        <v>50000</v>
      </c>
      <c r="K243" s="632" t="s">
        <v>18</v>
      </c>
      <c r="L243" s="632"/>
      <c r="M243" s="633" t="s">
        <v>18</v>
      </c>
      <c r="N243" s="532" t="s">
        <v>327</v>
      </c>
      <c r="O243" s="297"/>
      <c r="P243" s="297"/>
      <c r="Q243" s="297"/>
      <c r="R243" s="297"/>
      <c r="S243" s="297"/>
      <c r="T243" s="297"/>
      <c r="U243" s="297"/>
      <c r="V243" s="297"/>
      <c r="W243" s="297"/>
      <c r="X243" s="297"/>
      <c r="Y243" s="297"/>
      <c r="Z243" s="297"/>
      <c r="AA243" s="297"/>
      <c r="AB243" s="297"/>
      <c r="AC243" s="297"/>
      <c r="AD243" s="297"/>
      <c r="AE243" s="297"/>
      <c r="AF243" s="297"/>
      <c r="AG243" s="297"/>
      <c r="AH243" s="297"/>
      <c r="AI243" s="297"/>
      <c r="AJ243" s="297"/>
      <c r="AK243" s="297"/>
      <c r="AL243" s="297"/>
      <c r="AM243" s="297"/>
    </row>
    <row r="244">
      <c r="A244" s="62">
        <v>4.0</v>
      </c>
      <c r="B244" s="623"/>
      <c r="C244" s="75" t="s">
        <v>329</v>
      </c>
      <c r="D244" s="631"/>
      <c r="E244" s="623"/>
      <c r="F244" s="62" t="s">
        <v>326</v>
      </c>
      <c r="G244" s="631" t="s">
        <v>641</v>
      </c>
      <c r="H244" s="532">
        <v>50000.0</v>
      </c>
      <c r="I244" s="78" t="s">
        <v>16</v>
      </c>
      <c r="J244" s="415">
        <f t="shared" si="82"/>
        <v>50000</v>
      </c>
      <c r="K244" s="78" t="s">
        <v>16</v>
      </c>
      <c r="L244" s="78"/>
      <c r="M244" s="77" t="s">
        <v>16</v>
      </c>
      <c r="N244" s="532" t="s">
        <v>330</v>
      </c>
      <c r="O244" s="297"/>
      <c r="P244" s="297"/>
      <c r="Q244" s="297"/>
      <c r="R244" s="297"/>
      <c r="S244" s="297"/>
      <c r="T244" s="297"/>
      <c r="U244" s="297"/>
      <c r="V244" s="297"/>
      <c r="W244" s="297"/>
      <c r="X244" s="297"/>
      <c r="Y244" s="297"/>
      <c r="Z244" s="297"/>
      <c r="AA244" s="297"/>
      <c r="AB244" s="297"/>
      <c r="AC244" s="297"/>
      <c r="AD244" s="297"/>
      <c r="AE244" s="297"/>
      <c r="AF244" s="297"/>
      <c r="AG244" s="297"/>
      <c r="AH244" s="297"/>
      <c r="AI244" s="297"/>
      <c r="AJ244" s="297"/>
      <c r="AK244" s="297"/>
      <c r="AL244" s="297"/>
      <c r="AM244" s="297"/>
    </row>
    <row r="245">
      <c r="A245" s="62">
        <v>4.0</v>
      </c>
      <c r="B245" s="623"/>
      <c r="C245" s="75" t="s">
        <v>331</v>
      </c>
      <c r="D245" s="631"/>
      <c r="E245" s="623"/>
      <c r="F245" s="62" t="s">
        <v>326</v>
      </c>
      <c r="G245" s="631" t="s">
        <v>641</v>
      </c>
      <c r="H245" s="532">
        <v>20000.0</v>
      </c>
      <c r="I245" s="78" t="s">
        <v>18</v>
      </c>
      <c r="J245" s="415">
        <f t="shared" si="82"/>
        <v>40000</v>
      </c>
      <c r="K245" s="78" t="s">
        <v>18</v>
      </c>
      <c r="L245" s="78"/>
      <c r="M245" s="77" t="s">
        <v>18</v>
      </c>
      <c r="N245" s="532" t="s">
        <v>330</v>
      </c>
      <c r="O245" s="297"/>
      <c r="P245" s="297"/>
      <c r="Q245" s="297"/>
      <c r="R245" s="297"/>
      <c r="S245" s="297"/>
      <c r="T245" s="297"/>
      <c r="U245" s="297"/>
      <c r="V245" s="297"/>
      <c r="W245" s="297"/>
      <c r="X245" s="297"/>
      <c r="Y245" s="297"/>
      <c r="Z245" s="297"/>
      <c r="AA245" s="297"/>
      <c r="AB245" s="297"/>
      <c r="AC245" s="297"/>
      <c r="AD245" s="297"/>
      <c r="AE245" s="297"/>
      <c r="AF245" s="297"/>
      <c r="AG245" s="297"/>
      <c r="AH245" s="297"/>
      <c r="AI245" s="297"/>
      <c r="AJ245" s="297"/>
      <c r="AK245" s="297"/>
      <c r="AL245" s="297"/>
      <c r="AM245" s="297"/>
    </row>
    <row r="246">
      <c r="A246" s="62">
        <v>5.0</v>
      </c>
      <c r="B246" s="623"/>
      <c r="C246" s="630" t="s">
        <v>332</v>
      </c>
      <c r="D246" s="631" t="s">
        <v>333</v>
      </c>
      <c r="E246" s="623"/>
      <c r="F246" s="62" t="s">
        <v>326</v>
      </c>
      <c r="G246" s="631" t="s">
        <v>641</v>
      </c>
      <c r="H246" s="532">
        <v>150000.0</v>
      </c>
      <c r="I246" s="632" t="s">
        <v>16</v>
      </c>
      <c r="J246" s="415">
        <f t="shared" si="82"/>
        <v>150000</v>
      </c>
      <c r="K246" s="632" t="s">
        <v>16</v>
      </c>
      <c r="L246" s="632"/>
      <c r="M246" s="633" t="s">
        <v>16</v>
      </c>
      <c r="N246" s="532" t="s">
        <v>330</v>
      </c>
      <c r="O246" s="297"/>
      <c r="P246" s="297"/>
      <c r="Q246" s="297"/>
      <c r="R246" s="297"/>
      <c r="S246" s="297"/>
      <c r="T246" s="297"/>
      <c r="U246" s="297"/>
      <c r="V246" s="297"/>
      <c r="W246" s="297"/>
      <c r="X246" s="297"/>
      <c r="Y246" s="297"/>
      <c r="Z246" s="297"/>
      <c r="AA246" s="297"/>
      <c r="AB246" s="297"/>
      <c r="AC246" s="297"/>
      <c r="AD246" s="297"/>
      <c r="AE246" s="297"/>
      <c r="AF246" s="297"/>
      <c r="AG246" s="297"/>
      <c r="AH246" s="297"/>
      <c r="AI246" s="297"/>
      <c r="AJ246" s="297"/>
      <c r="AK246" s="297"/>
      <c r="AL246" s="297"/>
      <c r="AM246" s="297"/>
    </row>
    <row r="247">
      <c r="A247" s="62">
        <v>6.0</v>
      </c>
      <c r="B247" s="623"/>
      <c r="C247" s="62" t="s">
        <v>334</v>
      </c>
      <c r="D247" s="62" t="s">
        <v>335</v>
      </c>
      <c r="E247" s="623"/>
      <c r="F247" s="62" t="s">
        <v>326</v>
      </c>
      <c r="G247" s="631" t="s">
        <v>641</v>
      </c>
      <c r="H247" s="532">
        <v>10000.0</v>
      </c>
      <c r="I247" s="31" t="s">
        <v>18</v>
      </c>
      <c r="J247" s="415">
        <f t="shared" si="82"/>
        <v>20000</v>
      </c>
      <c r="K247" s="31" t="s">
        <v>18</v>
      </c>
      <c r="L247" s="31"/>
      <c r="M247" s="33" t="s">
        <v>18</v>
      </c>
      <c r="N247" s="532" t="s">
        <v>336</v>
      </c>
      <c r="O247" s="297"/>
      <c r="P247" s="297"/>
      <c r="Q247" s="297"/>
      <c r="R247" s="297"/>
      <c r="S247" s="297"/>
      <c r="T247" s="297"/>
      <c r="U247" s="297"/>
      <c r="V247" s="297"/>
      <c r="W247" s="297"/>
      <c r="X247" s="297"/>
      <c r="Y247" s="297"/>
      <c r="Z247" s="297"/>
      <c r="AA247" s="297"/>
      <c r="AB247" s="297"/>
      <c r="AC247" s="297"/>
      <c r="AD247" s="297"/>
      <c r="AE247" s="297"/>
      <c r="AF247" s="297"/>
      <c r="AG247" s="297"/>
      <c r="AH247" s="297"/>
      <c r="AI247" s="297"/>
      <c r="AJ247" s="297"/>
      <c r="AK247" s="297"/>
      <c r="AL247" s="297"/>
      <c r="AM247" s="297"/>
    </row>
    <row r="248">
      <c r="A248" s="634"/>
      <c r="B248" s="623"/>
      <c r="C248" s="623"/>
      <c r="D248" s="623"/>
      <c r="E248" s="623"/>
      <c r="F248" s="623"/>
      <c r="G248" s="623"/>
      <c r="H248" s="532"/>
      <c r="I248" s="369" t="s">
        <v>125</v>
      </c>
      <c r="J248" s="384">
        <f>SUM(J242:J247)</f>
        <v>460000</v>
      </c>
      <c r="K248" s="369" t="s">
        <v>125</v>
      </c>
      <c r="L248" s="369"/>
      <c r="M248" s="369" t="s">
        <v>125</v>
      </c>
      <c r="N248" s="623"/>
      <c r="O248" s="297"/>
      <c r="P248" s="297"/>
      <c r="Q248" s="297"/>
      <c r="R248" s="297"/>
      <c r="S248" s="297"/>
      <c r="T248" s="297"/>
      <c r="U248" s="297"/>
      <c r="V248" s="297"/>
      <c r="W248" s="297"/>
      <c r="X248" s="297"/>
      <c r="Y248" s="297"/>
      <c r="Z248" s="297"/>
      <c r="AA248" s="297"/>
      <c r="AB248" s="297"/>
      <c r="AC248" s="297"/>
      <c r="AD248" s="297"/>
      <c r="AE248" s="297"/>
      <c r="AF248" s="297"/>
      <c r="AG248" s="297"/>
      <c r="AH248" s="297"/>
      <c r="AI248" s="297"/>
      <c r="AJ248" s="297"/>
      <c r="AK248" s="297"/>
      <c r="AL248" s="297"/>
      <c r="AM248" s="297"/>
    </row>
    <row r="249">
      <c r="A249" s="424" t="s">
        <v>337</v>
      </c>
      <c r="B249" s="323"/>
      <c r="C249" s="323"/>
      <c r="D249" s="323"/>
      <c r="E249" s="323"/>
      <c r="F249" s="323"/>
      <c r="G249" s="323"/>
      <c r="H249" s="324"/>
      <c r="I249" s="460"/>
      <c r="J249" s="461"/>
      <c r="K249" s="460"/>
      <c r="L249" s="460"/>
      <c r="M249" s="322"/>
      <c r="N249" s="323"/>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row>
    <row r="250">
      <c r="A250" s="618">
        <v>1.0</v>
      </c>
      <c r="B250" s="457"/>
      <c r="C250" s="62" t="s">
        <v>338</v>
      </c>
      <c r="D250" s="635"/>
      <c r="E250" s="635"/>
      <c r="F250" s="635"/>
      <c r="G250" s="138" t="s">
        <v>339</v>
      </c>
      <c r="H250" s="636">
        <v>200000.0</v>
      </c>
      <c r="I250" s="632" t="s">
        <v>16</v>
      </c>
      <c r="J250" s="415">
        <f>(H250*I250)</f>
        <v>200000</v>
      </c>
      <c r="K250" s="632" t="s">
        <v>16</v>
      </c>
      <c r="L250" s="632">
        <f t="shared" ref="L250:L253" si="83">K250*H250</f>
        <v>200000</v>
      </c>
      <c r="M250" s="633" t="s">
        <v>16</v>
      </c>
      <c r="N250" s="62" t="s">
        <v>145</v>
      </c>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row>
    <row r="251">
      <c r="A251" s="618">
        <v>2.0</v>
      </c>
      <c r="B251" s="553"/>
      <c r="C251" s="553" t="s">
        <v>340</v>
      </c>
      <c r="D251" s="554" t="s">
        <v>341</v>
      </c>
      <c r="E251" s="553"/>
      <c r="F251" s="553"/>
      <c r="G251" s="553" t="s">
        <v>175</v>
      </c>
      <c r="H251" s="555">
        <v>120.0</v>
      </c>
      <c r="I251" s="556">
        <f>I31+I35</f>
        <v>1207.5</v>
      </c>
      <c r="J251" s="79">
        <f t="shared" ref="J251:J252" si="84">H251*I251</f>
        <v>144900</v>
      </c>
      <c r="K251" s="556">
        <f>K31+K35</f>
        <v>1200</v>
      </c>
      <c r="L251" s="632">
        <f t="shared" si="83"/>
        <v>144000</v>
      </c>
      <c r="M251" s="584">
        <f>M31+M35</f>
        <v>-900</v>
      </c>
      <c r="N251" s="554" t="s">
        <v>343</v>
      </c>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row>
    <row r="252">
      <c r="A252" s="618">
        <v>3.0</v>
      </c>
      <c r="B252" s="553"/>
      <c r="C252" s="553" t="s">
        <v>345</v>
      </c>
      <c r="D252" s="554" t="s">
        <v>346</v>
      </c>
      <c r="E252" s="554" t="s">
        <v>347</v>
      </c>
      <c r="F252" s="553"/>
      <c r="G252" s="553" t="s">
        <v>175</v>
      </c>
      <c r="H252" s="555">
        <v>400.0</v>
      </c>
      <c r="I252" s="556" t="s">
        <v>348</v>
      </c>
      <c r="J252" s="79">
        <f t="shared" si="84"/>
        <v>40000</v>
      </c>
      <c r="K252" s="556" t="s">
        <v>753</v>
      </c>
      <c r="L252" s="632">
        <f t="shared" si="83"/>
        <v>120000</v>
      </c>
      <c r="M252" s="584" t="s">
        <v>348</v>
      </c>
      <c r="N252" s="554" t="s">
        <v>349</v>
      </c>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row>
    <row r="253">
      <c r="A253" s="618">
        <v>4.0</v>
      </c>
      <c r="B253" s="623"/>
      <c r="C253" s="67" t="s">
        <v>350</v>
      </c>
      <c r="D253" s="637" t="s">
        <v>351</v>
      </c>
      <c r="E253" s="638" t="s">
        <v>352</v>
      </c>
      <c r="F253" s="457" t="s">
        <v>353</v>
      </c>
      <c r="G253" s="415">
        <v>400.0</v>
      </c>
      <c r="H253" s="639">
        <v>400.0</v>
      </c>
      <c r="I253" s="640">
        <f>I39+20</f>
        <v>42</v>
      </c>
      <c r="J253" s="79">
        <f>I253*G253</f>
        <v>16800</v>
      </c>
      <c r="K253" s="640">
        <f>K39+20</f>
        <v>42</v>
      </c>
      <c r="L253" s="632">
        <f t="shared" si="83"/>
        <v>16800</v>
      </c>
      <c r="M253" s="641">
        <f>M39+20</f>
        <v>20</v>
      </c>
      <c r="N253" s="62" t="s">
        <v>354</v>
      </c>
      <c r="O253" s="583"/>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row>
    <row r="254">
      <c r="A254" s="618">
        <v>5.0</v>
      </c>
      <c r="B254" s="623"/>
      <c r="C254" s="622" t="s">
        <v>355</v>
      </c>
      <c r="D254" s="532" t="s">
        <v>356</v>
      </c>
      <c r="E254" s="623"/>
      <c r="F254" s="623"/>
      <c r="G254" s="457" t="s">
        <v>339</v>
      </c>
      <c r="H254" s="642">
        <v>250000.0</v>
      </c>
      <c r="I254" s="438" t="s">
        <v>16</v>
      </c>
      <c r="J254" s="415">
        <f t="shared" ref="J254:J261" si="85">(H254*I254)</f>
        <v>250000</v>
      </c>
      <c r="K254" s="438" t="s">
        <v>16</v>
      </c>
      <c r="L254" s="642">
        <v>500000.0</v>
      </c>
      <c r="M254" s="643" t="s">
        <v>16</v>
      </c>
      <c r="N254" s="554" t="s">
        <v>357</v>
      </c>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row>
    <row r="255">
      <c r="A255" s="618">
        <v>6.0</v>
      </c>
      <c r="B255" s="623"/>
      <c r="C255" s="622" t="s">
        <v>358</v>
      </c>
      <c r="D255" s="644"/>
      <c r="E255" s="623"/>
      <c r="F255" s="645" t="s">
        <v>359</v>
      </c>
      <c r="G255" s="457" t="s">
        <v>339</v>
      </c>
      <c r="H255" s="646">
        <v>75000.0</v>
      </c>
      <c r="I255" s="521" t="s">
        <v>18</v>
      </c>
      <c r="J255" s="447">
        <f t="shared" si="85"/>
        <v>150000</v>
      </c>
      <c r="K255" s="521" t="s">
        <v>18</v>
      </c>
      <c r="L255" s="647">
        <v>1000000.0</v>
      </c>
      <c r="M255" s="340" t="s">
        <v>18</v>
      </c>
      <c r="N255" s="554" t="s">
        <v>360</v>
      </c>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row>
    <row r="256">
      <c r="A256" s="618">
        <v>7.0</v>
      </c>
      <c r="B256" s="623"/>
      <c r="C256" s="622"/>
      <c r="D256" s="644"/>
      <c r="E256" s="623"/>
      <c r="F256" s="623"/>
      <c r="G256" s="457" t="s">
        <v>339</v>
      </c>
      <c r="H256" s="646">
        <v>50000.0</v>
      </c>
      <c r="I256" s="521" t="s">
        <v>27</v>
      </c>
      <c r="J256" s="447">
        <f t="shared" si="85"/>
        <v>200000</v>
      </c>
      <c r="K256" s="521" t="s">
        <v>27</v>
      </c>
      <c r="L256" s="12"/>
      <c r="M256" s="340" t="s">
        <v>27</v>
      </c>
      <c r="N256" s="554" t="s">
        <v>361</v>
      </c>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row>
    <row r="257">
      <c r="A257" s="618">
        <v>8.0</v>
      </c>
      <c r="B257" s="623"/>
      <c r="C257" s="622" t="s">
        <v>362</v>
      </c>
      <c r="D257" s="644"/>
      <c r="E257" s="623"/>
      <c r="F257" s="623"/>
      <c r="G257" s="457" t="s">
        <v>339</v>
      </c>
      <c r="H257" s="642">
        <v>50000.0</v>
      </c>
      <c r="I257" s="438" t="s">
        <v>27</v>
      </c>
      <c r="J257" s="415">
        <f t="shared" si="85"/>
        <v>200000</v>
      </c>
      <c r="K257" s="438" t="s">
        <v>27</v>
      </c>
      <c r="L257" s="642">
        <v>250000.0</v>
      </c>
      <c r="M257" s="643" t="s">
        <v>27</v>
      </c>
      <c r="N257" s="554" t="s">
        <v>361</v>
      </c>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row>
    <row r="258">
      <c r="A258" s="618">
        <v>9.0</v>
      </c>
      <c r="B258" s="457"/>
      <c r="C258" s="618" t="s">
        <v>363</v>
      </c>
      <c r="D258" s="623"/>
      <c r="E258" s="623"/>
      <c r="F258" s="623"/>
      <c r="G258" s="457" t="s">
        <v>339</v>
      </c>
      <c r="H258" s="642">
        <v>200000.0</v>
      </c>
      <c r="I258" s="438" t="s">
        <v>16</v>
      </c>
      <c r="J258" s="415">
        <f t="shared" si="85"/>
        <v>200000</v>
      </c>
      <c r="K258" s="438" t="s">
        <v>16</v>
      </c>
      <c r="L258" s="632">
        <f t="shared" ref="L258:L261" si="86">K258*H258</f>
        <v>200000</v>
      </c>
      <c r="M258" s="643" t="s">
        <v>16</v>
      </c>
      <c r="N258" s="62" t="s">
        <v>145</v>
      </c>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row>
    <row r="259">
      <c r="A259" s="618">
        <v>10.0</v>
      </c>
      <c r="B259" s="457"/>
      <c r="C259" s="618" t="s">
        <v>364</v>
      </c>
      <c r="D259" s="457" t="s">
        <v>653</v>
      </c>
      <c r="E259" s="623"/>
      <c r="F259" s="623"/>
      <c r="G259" s="457" t="s">
        <v>339</v>
      </c>
      <c r="H259" s="642">
        <v>300000.0</v>
      </c>
      <c r="I259" s="438" t="s">
        <v>16</v>
      </c>
      <c r="J259" s="415">
        <f t="shared" si="85"/>
        <v>300000</v>
      </c>
      <c r="K259" s="438" t="s">
        <v>16</v>
      </c>
      <c r="L259" s="632">
        <f t="shared" si="86"/>
        <v>300000</v>
      </c>
      <c r="M259" s="643" t="s">
        <v>16</v>
      </c>
      <c r="N259" s="62" t="s">
        <v>145</v>
      </c>
      <c r="O259" s="507"/>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row>
    <row r="260">
      <c r="A260" s="618">
        <v>11.0</v>
      </c>
      <c r="B260" s="457"/>
      <c r="C260" s="62" t="s">
        <v>365</v>
      </c>
      <c r="D260" s="635"/>
      <c r="E260" s="635"/>
      <c r="F260" s="633" t="s">
        <v>366</v>
      </c>
      <c r="G260" s="631" t="s">
        <v>367</v>
      </c>
      <c r="H260" s="636">
        <v>800.0</v>
      </c>
      <c r="I260" s="632" t="s">
        <v>368</v>
      </c>
      <c r="J260" s="415">
        <f t="shared" si="85"/>
        <v>49600</v>
      </c>
      <c r="K260" s="632" t="s">
        <v>368</v>
      </c>
      <c r="L260" s="632">
        <f t="shared" si="86"/>
        <v>49600</v>
      </c>
      <c r="M260" s="633" t="s">
        <v>368</v>
      </c>
      <c r="N260" s="62" t="s">
        <v>369</v>
      </c>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row>
    <row r="261">
      <c r="A261" s="618">
        <v>12.0</v>
      </c>
      <c r="B261" s="457"/>
      <c r="C261" s="62" t="s">
        <v>370</v>
      </c>
      <c r="D261" s="635"/>
      <c r="E261" s="635"/>
      <c r="F261" s="633"/>
      <c r="G261" s="631" t="s">
        <v>339</v>
      </c>
      <c r="H261" s="636">
        <v>5000.0</v>
      </c>
      <c r="I261" s="632" t="s">
        <v>32</v>
      </c>
      <c r="J261" s="415">
        <f t="shared" si="85"/>
        <v>30000</v>
      </c>
      <c r="K261" s="632" t="s">
        <v>32</v>
      </c>
      <c r="L261" s="632">
        <f t="shared" si="86"/>
        <v>30000</v>
      </c>
      <c r="M261" s="633" t="s">
        <v>32</v>
      </c>
      <c r="N261" s="62" t="s">
        <v>371</v>
      </c>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row>
    <row r="262">
      <c r="A262" s="554"/>
      <c r="B262" s="457"/>
      <c r="C262" s="457"/>
      <c r="D262" s="457"/>
      <c r="E262" s="457"/>
      <c r="F262" s="457"/>
      <c r="G262" s="457"/>
      <c r="H262" s="415"/>
      <c r="I262" s="369" t="s">
        <v>125</v>
      </c>
      <c r="J262" s="384">
        <f>SUM(J250:J260)</f>
        <v>1751300</v>
      </c>
      <c r="K262" s="369" t="s">
        <v>125</v>
      </c>
      <c r="L262" s="369">
        <f>SUM(L250:L261)</f>
        <v>2810400</v>
      </c>
      <c r="M262" s="369" t="s">
        <v>125</v>
      </c>
      <c r="N262" s="67"/>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row>
    <row r="263">
      <c r="A263" s="281"/>
      <c r="B263" s="281"/>
      <c r="C263" s="281"/>
      <c r="D263" s="281"/>
      <c r="E263" s="281"/>
      <c r="F263" s="281"/>
      <c r="G263" s="281"/>
      <c r="H263" s="282"/>
      <c r="I263" s="283"/>
      <c r="J263" s="282"/>
      <c r="K263" s="283"/>
      <c r="L263" s="283"/>
      <c r="M263" s="283"/>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row>
    <row r="264">
      <c r="A264" s="281"/>
      <c r="B264" s="281"/>
      <c r="C264" s="295"/>
      <c r="D264" s="297"/>
      <c r="E264" s="295"/>
      <c r="F264" s="297"/>
      <c r="G264" s="281"/>
      <c r="H264" s="282"/>
      <c r="I264" s="283"/>
      <c r="J264" s="282"/>
      <c r="K264" s="283"/>
      <c r="L264" s="283"/>
      <c r="M264" s="283"/>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row>
    <row r="265">
      <c r="A265" s="281"/>
      <c r="B265" s="281"/>
      <c r="C265" s="297"/>
      <c r="D265" s="297"/>
      <c r="E265" s="295"/>
      <c r="F265" s="297"/>
      <c r="G265" s="281"/>
      <c r="H265" s="282"/>
      <c r="I265" s="283"/>
      <c r="J265" s="282"/>
      <c r="K265" s="282"/>
      <c r="L265" s="282"/>
      <c r="M265" s="282"/>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row>
    <row r="266">
      <c r="A266" s="281"/>
      <c r="B266" s="281"/>
      <c r="C266" s="295"/>
      <c r="D266" s="297"/>
      <c r="E266" s="295"/>
      <c r="F266" s="297"/>
      <c r="G266" s="281"/>
      <c r="H266" s="282"/>
      <c r="I266" s="283"/>
      <c r="J266" s="282"/>
      <c r="K266" s="282"/>
      <c r="L266" s="282"/>
      <c r="M266" s="282"/>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row>
    <row r="267">
      <c r="A267" s="281"/>
      <c r="B267" s="281"/>
      <c r="C267" s="295"/>
      <c r="D267" s="297"/>
      <c r="E267" s="295"/>
      <c r="F267" s="297"/>
      <c r="G267" s="281"/>
      <c r="H267" s="282"/>
      <c r="I267" s="283"/>
      <c r="J267" s="282"/>
      <c r="K267" s="282"/>
      <c r="L267" s="282"/>
      <c r="M267" s="282"/>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row>
    <row r="268">
      <c r="A268" s="281"/>
      <c r="B268" s="281"/>
      <c r="C268" s="297"/>
      <c r="D268" s="297"/>
      <c r="E268" s="295"/>
      <c r="F268" s="297"/>
      <c r="G268" s="281"/>
      <c r="H268" s="282"/>
      <c r="I268" s="283"/>
      <c r="J268" s="282"/>
      <c r="K268" s="282"/>
      <c r="L268" s="282"/>
      <c r="M268" s="282"/>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row>
    <row r="269">
      <c r="A269" s="281"/>
      <c r="B269" s="281"/>
      <c r="C269" s="297"/>
      <c r="D269" s="297"/>
      <c r="E269" s="295"/>
      <c r="F269" s="297"/>
      <c r="G269" s="281"/>
      <c r="H269" s="282"/>
      <c r="I269" s="283"/>
      <c r="J269" s="282"/>
      <c r="K269" s="282"/>
      <c r="L269" s="632"/>
      <c r="M269" s="282"/>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row>
    <row r="270">
      <c r="A270" s="281"/>
      <c r="B270" s="281"/>
      <c r="C270" s="297"/>
      <c r="D270" s="297"/>
      <c r="E270" s="297"/>
      <c r="F270" s="297"/>
      <c r="G270" s="281"/>
      <c r="H270" s="282"/>
      <c r="I270" s="283"/>
      <c r="J270" s="282"/>
      <c r="K270" s="282"/>
      <c r="L270" s="632"/>
      <c r="M270" s="282"/>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row>
    <row r="271">
      <c r="A271" s="281"/>
      <c r="B271" s="281"/>
      <c r="C271" s="295"/>
      <c r="D271" s="297"/>
      <c r="E271" s="295"/>
      <c r="F271" s="297"/>
      <c r="G271" s="281"/>
      <c r="H271" s="282"/>
      <c r="I271" s="283"/>
      <c r="J271" s="282"/>
      <c r="K271" s="282"/>
      <c r="L271" s="632"/>
      <c r="M271" s="282"/>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row>
    <row r="272">
      <c r="A272" s="281"/>
      <c r="B272" s="281"/>
      <c r="C272" s="295"/>
      <c r="D272" s="297"/>
      <c r="E272" s="295"/>
      <c r="F272" s="297"/>
      <c r="G272" s="281"/>
      <c r="H272" s="282"/>
      <c r="I272" s="283"/>
      <c r="J272" s="282"/>
      <c r="K272" s="282"/>
      <c r="L272" s="632"/>
      <c r="M272" s="282"/>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row>
    <row r="273">
      <c r="A273" s="281"/>
      <c r="B273" s="281"/>
      <c r="C273" s="297"/>
      <c r="D273" s="297"/>
      <c r="E273" s="295"/>
      <c r="F273" s="297"/>
      <c r="G273" s="281"/>
      <c r="H273" s="282"/>
      <c r="I273" s="283"/>
      <c r="J273" s="282"/>
      <c r="K273" s="282"/>
      <c r="L273" s="632"/>
      <c r="M273" s="282"/>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row>
    <row r="274">
      <c r="A274" s="281"/>
      <c r="B274" s="281"/>
      <c r="C274" s="297"/>
      <c r="D274" s="297"/>
      <c r="E274" s="295"/>
      <c r="F274" s="297"/>
      <c r="G274" s="281"/>
      <c r="H274" s="282"/>
      <c r="I274" s="283"/>
      <c r="J274" s="282"/>
      <c r="K274" s="282"/>
      <c r="L274" s="632"/>
      <c r="M274" s="282"/>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row>
    <row r="275">
      <c r="A275" s="281"/>
      <c r="B275" s="281"/>
      <c r="C275" s="297"/>
      <c r="D275" s="297"/>
      <c r="E275" s="295"/>
      <c r="F275" s="297"/>
      <c r="G275" s="281"/>
      <c r="H275" s="282"/>
      <c r="I275" s="283"/>
      <c r="J275" s="282"/>
      <c r="K275" s="282"/>
      <c r="L275" s="632"/>
      <c r="M275" s="282"/>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row>
    <row r="276">
      <c r="A276" s="281"/>
      <c r="B276" s="281"/>
      <c r="C276" s="297"/>
      <c r="D276" s="297"/>
      <c r="E276" s="295"/>
      <c r="F276" s="297"/>
      <c r="G276" s="281"/>
      <c r="H276" s="282"/>
      <c r="I276" s="283"/>
      <c r="J276" s="282"/>
      <c r="K276" s="282"/>
      <c r="L276" s="632"/>
      <c r="M276" s="282"/>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row>
    <row r="277">
      <c r="A277" s="281"/>
      <c r="B277" s="281"/>
      <c r="C277" s="297"/>
      <c r="D277" s="297"/>
      <c r="E277" s="297"/>
      <c r="F277" s="297"/>
      <c r="G277" s="281"/>
      <c r="H277" s="510"/>
      <c r="I277" s="511"/>
      <c r="J277" s="510"/>
      <c r="K277" s="510"/>
      <c r="L277" s="632"/>
      <c r="M277" s="510"/>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row>
    <row r="278">
      <c r="A278" s="281"/>
      <c r="B278" s="281"/>
      <c r="C278" s="297"/>
      <c r="D278" s="297"/>
      <c r="E278" s="297"/>
      <c r="F278" s="297"/>
      <c r="G278" s="281"/>
      <c r="H278" s="510"/>
      <c r="I278" s="511"/>
      <c r="J278" s="510"/>
      <c r="K278" s="510"/>
      <c r="L278" s="632"/>
      <c r="M278" s="510"/>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row>
    <row r="279">
      <c r="A279" s="281"/>
      <c r="B279" s="281"/>
      <c r="C279" s="297"/>
      <c r="D279" s="297"/>
      <c r="E279" s="297"/>
      <c r="F279" s="297"/>
      <c r="G279" s="281"/>
      <c r="H279" s="510"/>
      <c r="I279" s="511"/>
      <c r="J279" s="510"/>
      <c r="K279" s="510"/>
      <c r="L279" s="632"/>
      <c r="M279" s="510"/>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row>
    <row r="280">
      <c r="A280" s="281"/>
      <c r="B280" s="281"/>
      <c r="C280" s="297"/>
      <c r="D280" s="297"/>
      <c r="E280" s="297"/>
      <c r="F280" s="297"/>
      <c r="G280" s="281"/>
      <c r="H280" s="510"/>
      <c r="I280" s="511"/>
      <c r="J280" s="510"/>
      <c r="K280" s="510"/>
      <c r="L280" s="632"/>
      <c r="M280" s="510"/>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row>
  </sheetData>
  <mergeCells count="27">
    <mergeCell ref="A2:N4"/>
    <mergeCell ref="B6:D6"/>
    <mergeCell ref="F6:N6"/>
    <mergeCell ref="B7:D7"/>
    <mergeCell ref="F7:N7"/>
    <mergeCell ref="B8:D8"/>
    <mergeCell ref="F8:N8"/>
    <mergeCell ref="G16:I16"/>
    <mergeCell ref="G17:I17"/>
    <mergeCell ref="V17:X17"/>
    <mergeCell ref="A10:D10"/>
    <mergeCell ref="B11:C11"/>
    <mergeCell ref="B12:C12"/>
    <mergeCell ref="B13:C13"/>
    <mergeCell ref="B14:C14"/>
    <mergeCell ref="G14:H14"/>
    <mergeCell ref="G15:I15"/>
    <mergeCell ref="B22:C22"/>
    <mergeCell ref="B23:C23"/>
    <mergeCell ref="L255:L256"/>
    <mergeCell ref="B15:C15"/>
    <mergeCell ref="B16:C16"/>
    <mergeCell ref="B17:C17"/>
    <mergeCell ref="B18:C18"/>
    <mergeCell ref="B19:C19"/>
    <mergeCell ref="B20:C20"/>
    <mergeCell ref="B21:C21"/>
  </mergeCells>
  <conditionalFormatting sqref="S27:S165">
    <cfRule type="colorScale" priority="1">
      <colorScale>
        <cfvo type="min"/>
        <cfvo type="percentile" val="50"/>
        <cfvo type="max"/>
        <color rgb="FF57BB8A"/>
        <color rgb="FFFFFFFF"/>
        <color rgb="FFE67C73"/>
      </colorScale>
    </cfRule>
  </conditionalFormatting>
  <dataValidations>
    <dataValidation type="list" allowBlank="1" showDropDown="1" showErrorMessage="1" sqref="B27:B39 B42:B43 B48:B49 B54:B59 B63:B77 B79:B84 B86:B88 B90:B98 B100:B111 B113:B123 B125:B134 B136:B138 B140:B142 B144:B146 B148:B150 B152 B155:B159 B162:B164 B173:B174 B176:B178 B180:B181 B183:B185 B187 B189 B197">
      <formula1>'Rate card'!$A$4:$A280</formula1>
    </dataValidation>
    <dataValidation type="list" allowBlank="1" showDropDown="1" showErrorMessage="1" sqref="O27:O46 O48:O166 S169 O173:O188">
      <formula1>"Scope added,Scope removed,Scope changed,Qty ⬆️,Qty ⬇️,Rate ⬆️,Rate ⬇️,Design not finalised,No changes"</formula1>
    </dataValidation>
    <dataValidation type="list" allowBlank="1" showDropDown="1" showErrorMessage="1" sqref="Q84">
      <formula1>"Scope added,Scope removed,Scope changed,Qty ⬆️,Qty ⬇️,Rate ⬆️,Rate ⬇️,Design not finalised"</formula1>
    </dataValidation>
  </dataValidations>
  <hyperlinks>
    <hyperlink r:id="rId1" ref="G10"/>
    <hyperlink r:id="rId2" ref="A12"/>
    <hyperlink r:id="rId3" ref="A25"/>
    <hyperlink r:id="rId4" ref="A170"/>
  </hyperlinks>
  <printOptions horizontalCentered="1"/>
  <pageMargins bottom="0.75" footer="0.0" header="0.0" left="0.25" right="0.25" top="0.75"/>
  <pageSetup fitToHeight="0" paperSize="9" cellComments="atEnd" orientation="landscape" pageOrder="overThenDown"/>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63"/>
    <col hidden="1" min="2" max="2" width="12.63"/>
    <col customWidth="1" min="6" max="6" width="19.63"/>
    <col hidden="1" min="8" max="8" width="12.63"/>
    <col hidden="1" min="11" max="12" width="12.63"/>
    <col hidden="1" min="14" max="14" width="12.63"/>
  </cols>
  <sheetData>
    <row r="1">
      <c r="A1" s="5"/>
      <c r="B1" s="6"/>
      <c r="C1" s="6"/>
      <c r="D1" s="6"/>
      <c r="E1" s="6"/>
      <c r="F1" s="6"/>
      <c r="G1" s="6"/>
      <c r="H1" s="6"/>
      <c r="I1" s="6"/>
      <c r="J1" s="6"/>
      <c r="K1" s="6"/>
      <c r="L1" s="6"/>
      <c r="M1" s="6"/>
      <c r="N1" s="7"/>
      <c r="O1" s="67"/>
      <c r="P1" s="67"/>
      <c r="Q1" s="67"/>
      <c r="R1" s="67"/>
      <c r="S1" s="67"/>
      <c r="T1" s="67"/>
      <c r="U1" s="67"/>
      <c r="V1" s="67"/>
      <c r="W1" s="67"/>
      <c r="X1" s="67"/>
      <c r="Y1" s="67"/>
      <c r="Z1" s="1"/>
      <c r="AA1" s="1"/>
      <c r="AB1" s="1"/>
      <c r="AC1" s="1"/>
    </row>
    <row r="2">
      <c r="A2" s="8"/>
      <c r="N2" s="9"/>
      <c r="O2" s="67"/>
      <c r="P2" s="67"/>
      <c r="Q2" s="67"/>
      <c r="R2" s="67"/>
      <c r="S2" s="67"/>
      <c r="T2" s="67"/>
      <c r="U2" s="67"/>
      <c r="V2" s="67"/>
      <c r="W2" s="67"/>
      <c r="X2" s="67"/>
      <c r="Y2" s="67"/>
      <c r="Z2" s="1"/>
      <c r="AA2" s="1"/>
      <c r="AB2" s="1"/>
      <c r="AC2" s="1"/>
    </row>
    <row r="3">
      <c r="A3" s="10"/>
      <c r="B3" s="11"/>
      <c r="C3" s="11"/>
      <c r="D3" s="11"/>
      <c r="E3" s="11"/>
      <c r="F3" s="11"/>
      <c r="G3" s="11"/>
      <c r="H3" s="11"/>
      <c r="I3" s="11"/>
      <c r="J3" s="11"/>
      <c r="K3" s="11"/>
      <c r="L3" s="11"/>
      <c r="M3" s="11"/>
      <c r="N3" s="12"/>
      <c r="O3" s="67"/>
      <c r="P3" s="67"/>
      <c r="Q3" s="62"/>
      <c r="R3" s="62"/>
      <c r="S3" s="67"/>
      <c r="T3" s="67"/>
      <c r="U3" s="67"/>
      <c r="V3" s="67"/>
      <c r="W3" s="67"/>
      <c r="X3" s="67"/>
      <c r="Y3" s="67"/>
      <c r="Z3" s="1"/>
      <c r="AA3" s="1"/>
      <c r="AB3" s="1"/>
      <c r="AC3" s="1"/>
    </row>
    <row r="4">
      <c r="A4" s="67"/>
      <c r="B4" s="67"/>
      <c r="C4" s="67"/>
      <c r="D4" s="67"/>
      <c r="E4" s="67"/>
      <c r="F4" s="67"/>
      <c r="G4" s="67"/>
      <c r="H4" s="79"/>
      <c r="I4" s="77"/>
      <c r="J4" s="77"/>
      <c r="K4" s="79"/>
      <c r="L4" s="79"/>
      <c r="M4" s="79"/>
      <c r="N4" s="67"/>
      <c r="O4" s="67"/>
      <c r="P4" s="67"/>
      <c r="Q4" s="67"/>
      <c r="R4" s="67"/>
      <c r="S4" s="67"/>
      <c r="T4" s="67"/>
      <c r="U4" s="67"/>
      <c r="V4" s="67"/>
      <c r="W4" s="67"/>
      <c r="X4" s="67"/>
      <c r="Y4" s="67"/>
      <c r="Z4" s="1"/>
      <c r="AA4" s="1"/>
      <c r="AB4" s="1"/>
      <c r="AC4" s="1"/>
    </row>
    <row r="5">
      <c r="A5" s="14" t="s">
        <v>2</v>
      </c>
      <c r="B5" s="15">
        <v>45999.0</v>
      </c>
      <c r="C5" s="16"/>
      <c r="D5" s="17"/>
      <c r="E5" s="14" t="s">
        <v>3</v>
      </c>
      <c r="F5" s="18"/>
      <c r="G5" s="16"/>
      <c r="H5" s="16"/>
      <c r="I5" s="16"/>
      <c r="J5" s="16"/>
      <c r="K5" s="16"/>
      <c r="L5" s="16"/>
      <c r="M5" s="16"/>
      <c r="N5" s="17"/>
      <c r="O5" s="67"/>
      <c r="P5" s="67"/>
      <c r="Q5" s="67"/>
      <c r="R5" s="67"/>
      <c r="S5" s="67"/>
      <c r="T5" s="67"/>
      <c r="U5" s="67"/>
      <c r="V5" s="67"/>
      <c r="W5" s="67"/>
      <c r="X5" s="67"/>
      <c r="Y5" s="67"/>
      <c r="Z5" s="1"/>
      <c r="AA5" s="1"/>
      <c r="AB5" s="1"/>
      <c r="AC5" s="1"/>
    </row>
    <row r="6">
      <c r="A6" s="14" t="s">
        <v>4</v>
      </c>
      <c r="B6" s="18" t="s">
        <v>5</v>
      </c>
      <c r="C6" s="16"/>
      <c r="D6" s="17"/>
      <c r="E6" s="159" t="s">
        <v>383</v>
      </c>
      <c r="F6" s="18" t="s">
        <v>754</v>
      </c>
      <c r="G6" s="16"/>
      <c r="H6" s="16"/>
      <c r="I6" s="16"/>
      <c r="J6" s="16"/>
      <c r="K6" s="16"/>
      <c r="L6" s="16"/>
      <c r="M6" s="16"/>
      <c r="N6" s="17"/>
      <c r="O6" s="67"/>
      <c r="P6" s="67"/>
      <c r="Q6" s="67"/>
      <c r="R6" s="67"/>
      <c r="S6" s="67"/>
      <c r="T6" s="67"/>
      <c r="U6" s="67"/>
      <c r="V6" s="67"/>
      <c r="W6" s="67"/>
      <c r="X6" s="67"/>
      <c r="Y6" s="67"/>
      <c r="Z6" s="1"/>
      <c r="AA6" s="1"/>
      <c r="AB6" s="1"/>
      <c r="AC6" s="1"/>
    </row>
    <row r="7">
      <c r="A7" s="14" t="s">
        <v>7</v>
      </c>
      <c r="B7" s="18" t="s">
        <v>8</v>
      </c>
      <c r="C7" s="16"/>
      <c r="D7" s="17"/>
      <c r="E7" s="14" t="s">
        <v>9</v>
      </c>
      <c r="F7" s="18" t="s">
        <v>10</v>
      </c>
      <c r="G7" s="16"/>
      <c r="H7" s="16"/>
      <c r="I7" s="16"/>
      <c r="J7" s="16"/>
      <c r="K7" s="16"/>
      <c r="L7" s="16"/>
      <c r="M7" s="16"/>
      <c r="N7" s="17"/>
      <c r="O7" s="67"/>
      <c r="P7" s="67"/>
      <c r="Q7" s="67"/>
      <c r="R7" s="67"/>
      <c r="S7" s="67"/>
      <c r="T7" s="67"/>
      <c r="U7" s="67"/>
      <c r="V7" s="67"/>
      <c r="W7" s="67"/>
      <c r="X7" s="67"/>
      <c r="Y7" s="67"/>
      <c r="Z7" s="1"/>
      <c r="AA7" s="1"/>
      <c r="AB7" s="1"/>
      <c r="AC7" s="1"/>
    </row>
    <row r="8">
      <c r="A8" s="55" t="s">
        <v>40</v>
      </c>
      <c r="B8" s="56" t="s">
        <v>41</v>
      </c>
      <c r="C8" s="57" t="s">
        <v>42</v>
      </c>
      <c r="D8" s="57" t="s">
        <v>43</v>
      </c>
      <c r="E8" s="57" t="s">
        <v>44</v>
      </c>
      <c r="F8" s="57" t="s">
        <v>45</v>
      </c>
      <c r="G8" s="57" t="s">
        <v>46</v>
      </c>
      <c r="H8" s="58" t="s">
        <v>47</v>
      </c>
      <c r="I8" s="59" t="s">
        <v>755</v>
      </c>
      <c r="J8" s="59" t="s">
        <v>48</v>
      </c>
      <c r="K8" s="58" t="s">
        <v>14</v>
      </c>
      <c r="L8" s="60" t="s">
        <v>49</v>
      </c>
      <c r="M8" s="59" t="s">
        <v>756</v>
      </c>
      <c r="N8" s="56" t="s">
        <v>14</v>
      </c>
      <c r="O8" s="56" t="s">
        <v>53</v>
      </c>
      <c r="P8" s="56" t="s">
        <v>54</v>
      </c>
      <c r="Q8" s="67"/>
      <c r="R8" s="67"/>
      <c r="S8" s="67"/>
      <c r="T8" s="67"/>
      <c r="U8" s="67"/>
      <c r="V8" s="67"/>
      <c r="W8" s="67"/>
      <c r="X8" s="67"/>
      <c r="Y8" s="67"/>
      <c r="Z8" s="1"/>
      <c r="AA8" s="1"/>
      <c r="AB8" s="1"/>
      <c r="AC8" s="1"/>
    </row>
    <row r="9">
      <c r="A9" s="273" t="s">
        <v>161</v>
      </c>
      <c r="B9" s="144"/>
      <c r="C9" s="144"/>
      <c r="D9" s="144"/>
      <c r="E9" s="144"/>
      <c r="F9" s="144"/>
      <c r="G9" s="141"/>
      <c r="H9" s="143"/>
      <c r="I9" s="167"/>
      <c r="J9" s="144"/>
      <c r="K9" s="143"/>
      <c r="L9" s="143"/>
      <c r="M9" s="144"/>
      <c r="N9" s="141"/>
      <c r="O9" s="141"/>
      <c r="P9" s="141"/>
      <c r="Q9" s="147"/>
      <c r="R9" s="147"/>
      <c r="S9" s="147"/>
      <c r="T9" s="147"/>
      <c r="U9" s="147"/>
      <c r="V9" s="147"/>
      <c r="W9" s="147"/>
      <c r="X9" s="147"/>
      <c r="Y9" s="147"/>
      <c r="Z9" s="148"/>
      <c r="AA9" s="148"/>
      <c r="AB9" s="148"/>
      <c r="AC9" s="148"/>
    </row>
    <row r="10">
      <c r="A10" s="170" t="s">
        <v>16</v>
      </c>
      <c r="B10" s="150" t="s">
        <v>162</v>
      </c>
      <c r="C10" s="71" t="str">
        <f>VLOOKUP($B10,'Rate card'!$A$4:$G1005,2,FALSE)</f>
        <v>Carpentry</v>
      </c>
      <c r="D10" s="71" t="s">
        <v>163</v>
      </c>
      <c r="E10" s="71" t="s">
        <v>164</v>
      </c>
      <c r="F10" s="71" t="s">
        <v>165</v>
      </c>
      <c r="G10" s="71" t="str">
        <f>VLOOKUP($B10,'Rate card'!$A$4:$G1005,6,FALSE)</f>
        <v>Nos</v>
      </c>
      <c r="H10" s="150">
        <v>65000.0</v>
      </c>
      <c r="I10" s="180" t="s">
        <v>757</v>
      </c>
      <c r="J10" s="154" t="s">
        <v>16</v>
      </c>
      <c r="K10" s="155">
        <f t="shared" ref="K10:K11" si="1">H10*J10</f>
        <v>65000</v>
      </c>
      <c r="L10" s="150">
        <v>1.0</v>
      </c>
      <c r="M10" s="147"/>
      <c r="N10" s="146">
        <f t="shared" ref="N10:N16" si="2">L10*H10</f>
        <v>65000</v>
      </c>
      <c r="O10" s="71" t="s">
        <v>166</v>
      </c>
      <c r="P10" s="147"/>
      <c r="Q10" s="147"/>
      <c r="R10" s="147"/>
      <c r="S10" s="147"/>
      <c r="T10" s="147"/>
      <c r="U10" s="147"/>
      <c r="V10" s="147"/>
      <c r="W10" s="147"/>
      <c r="X10" s="147"/>
      <c r="Y10" s="147"/>
      <c r="Z10" s="148"/>
      <c r="AA10" s="148"/>
      <c r="AB10" s="148"/>
      <c r="AC10" s="148"/>
    </row>
    <row r="11">
      <c r="A11" s="170" t="s">
        <v>18</v>
      </c>
      <c r="B11" s="150" t="s">
        <v>162</v>
      </c>
      <c r="C11" s="71" t="s">
        <v>31</v>
      </c>
      <c r="D11" s="71" t="s">
        <v>167</v>
      </c>
      <c r="E11" s="71" t="s">
        <v>164</v>
      </c>
      <c r="F11" s="71" t="s">
        <v>168</v>
      </c>
      <c r="G11" s="71" t="s">
        <v>120</v>
      </c>
      <c r="H11" s="150">
        <v>750.0</v>
      </c>
      <c r="I11" s="180" t="s">
        <v>758</v>
      </c>
      <c r="J11" s="154">
        <f>4+9+9</f>
        <v>22</v>
      </c>
      <c r="K11" s="155">
        <f t="shared" si="1"/>
        <v>16500</v>
      </c>
      <c r="L11" s="150">
        <v>22.0</v>
      </c>
      <c r="M11" s="147"/>
      <c r="N11" s="146">
        <f t="shared" si="2"/>
        <v>16500</v>
      </c>
      <c r="O11" s="71" t="s">
        <v>169</v>
      </c>
      <c r="P11" s="147"/>
      <c r="Q11" s="147"/>
      <c r="R11" s="147"/>
      <c r="S11" s="147"/>
      <c r="T11" s="147"/>
      <c r="U11" s="147"/>
      <c r="V11" s="147"/>
      <c r="W11" s="147"/>
      <c r="X11" s="147"/>
      <c r="Y11" s="147"/>
      <c r="Z11" s="148"/>
      <c r="AA11" s="148"/>
      <c r="AB11" s="148"/>
      <c r="AC11" s="148"/>
    </row>
    <row r="12">
      <c r="A12" s="149" t="s">
        <v>24</v>
      </c>
      <c r="B12" s="173"/>
      <c r="C12" s="71" t="s">
        <v>31</v>
      </c>
      <c r="D12" s="170" t="s">
        <v>173</v>
      </c>
      <c r="E12" s="71" t="s">
        <v>174</v>
      </c>
      <c r="F12" s="173"/>
      <c r="G12" s="71" t="s">
        <v>175</v>
      </c>
      <c r="H12" s="71">
        <v>650.0</v>
      </c>
      <c r="I12" s="648" t="s">
        <v>70</v>
      </c>
      <c r="J12" s="175"/>
      <c r="K12" s="649"/>
      <c r="L12" s="150">
        <f>6*8.5</f>
        <v>51</v>
      </c>
      <c r="M12" s="147"/>
      <c r="N12" s="146">
        <f t="shared" si="2"/>
        <v>33150</v>
      </c>
      <c r="O12" s="146" t="s">
        <v>176</v>
      </c>
      <c r="P12" s="147"/>
      <c r="Q12" s="173"/>
      <c r="R12" s="173"/>
      <c r="S12" s="173"/>
      <c r="T12" s="173"/>
      <c r="U12" s="173"/>
      <c r="V12" s="173"/>
      <c r="W12" s="173"/>
      <c r="X12" s="173"/>
      <c r="Y12" s="173"/>
      <c r="Z12" s="179"/>
      <c r="AA12" s="179"/>
      <c r="AB12" s="179"/>
      <c r="AC12" s="179"/>
    </row>
    <row r="13">
      <c r="A13" s="149" t="s">
        <v>27</v>
      </c>
      <c r="B13" s="71" t="s">
        <v>179</v>
      </c>
      <c r="C13" s="71" t="s">
        <v>31</v>
      </c>
      <c r="D13" s="170" t="s">
        <v>180</v>
      </c>
      <c r="E13" s="71" t="s">
        <v>164</v>
      </c>
      <c r="F13" s="71" t="s">
        <v>181</v>
      </c>
      <c r="G13" s="71" t="str">
        <f>VLOOKUP($B13,'Rate card'!$A$4:$G1005,6,FALSE)</f>
        <v>Sqft</v>
      </c>
      <c r="H13" s="71">
        <v>1800.0</v>
      </c>
      <c r="I13" s="648" t="s">
        <v>723</v>
      </c>
      <c r="J13" s="170" t="s">
        <v>16</v>
      </c>
      <c r="K13" s="146">
        <f t="shared" ref="K13:K16" si="3">H13*J13</f>
        <v>1800</v>
      </c>
      <c r="L13" s="150">
        <f>22*8.5</f>
        <v>187</v>
      </c>
      <c r="M13" s="147"/>
      <c r="N13" s="146">
        <f t="shared" si="2"/>
        <v>336600</v>
      </c>
      <c r="O13" s="146" t="s">
        <v>182</v>
      </c>
      <c r="P13" s="147"/>
      <c r="Q13" s="173"/>
      <c r="R13" s="71"/>
      <c r="S13" s="173"/>
      <c r="T13" s="173"/>
      <c r="U13" s="173"/>
      <c r="V13" s="173"/>
      <c r="W13" s="173"/>
      <c r="X13" s="173"/>
      <c r="Y13" s="173"/>
      <c r="Z13" s="179"/>
      <c r="AA13" s="179"/>
      <c r="AB13" s="179"/>
      <c r="AC13" s="179"/>
    </row>
    <row r="14">
      <c r="A14" s="149" t="s">
        <v>30</v>
      </c>
      <c r="B14" s="71" t="s">
        <v>179</v>
      </c>
      <c r="C14" s="71" t="s">
        <v>31</v>
      </c>
      <c r="D14" s="170" t="s">
        <v>180</v>
      </c>
      <c r="E14" s="71" t="s">
        <v>198</v>
      </c>
      <c r="F14" s="71" t="s">
        <v>181</v>
      </c>
      <c r="G14" s="71" t="str">
        <f>VLOOKUP($B14,'Rate card'!$A$4:$G1005,6,FALSE)</f>
        <v>Sqft</v>
      </c>
      <c r="H14" s="71">
        <v>1500.0</v>
      </c>
      <c r="I14" s="648" t="s">
        <v>723</v>
      </c>
      <c r="J14" s="170">
        <f>12*10</f>
        <v>120</v>
      </c>
      <c r="K14" s="146">
        <f t="shared" si="3"/>
        <v>180000</v>
      </c>
      <c r="L14" s="150">
        <f>12.5*8.5</f>
        <v>106.25</v>
      </c>
      <c r="M14" s="147"/>
      <c r="N14" s="146">
        <f t="shared" si="2"/>
        <v>159375</v>
      </c>
      <c r="O14" s="146" t="s">
        <v>199</v>
      </c>
      <c r="P14" s="150" t="s">
        <v>200</v>
      </c>
      <c r="Q14" s="173"/>
      <c r="R14" s="173"/>
      <c r="S14" s="173"/>
      <c r="T14" s="173"/>
      <c r="U14" s="173"/>
      <c r="V14" s="173"/>
      <c r="W14" s="173"/>
      <c r="X14" s="173"/>
      <c r="Y14" s="173"/>
      <c r="Z14" s="179"/>
      <c r="AA14" s="179"/>
      <c r="AB14" s="179"/>
      <c r="AC14" s="179"/>
    </row>
    <row r="15">
      <c r="A15" s="149" t="s">
        <v>32</v>
      </c>
      <c r="B15" s="71" t="s">
        <v>179</v>
      </c>
      <c r="C15" s="71" t="s">
        <v>31</v>
      </c>
      <c r="D15" s="170" t="s">
        <v>180</v>
      </c>
      <c r="E15" s="71" t="s">
        <v>201</v>
      </c>
      <c r="F15" s="71" t="s">
        <v>192</v>
      </c>
      <c r="G15" s="71" t="str">
        <f>VLOOKUP($B15,'Rate card'!$A$4:$G1005,6,FALSE)</f>
        <v>Sqft</v>
      </c>
      <c r="H15" s="71">
        <v>1800.0</v>
      </c>
      <c r="I15" s="648" t="s">
        <v>723</v>
      </c>
      <c r="J15" s="170">
        <f>29*10</f>
        <v>290</v>
      </c>
      <c r="K15" s="146">
        <f t="shared" si="3"/>
        <v>522000</v>
      </c>
      <c r="L15" s="150">
        <f>34*8.5</f>
        <v>289</v>
      </c>
      <c r="M15" s="147"/>
      <c r="N15" s="146">
        <f t="shared" si="2"/>
        <v>520200</v>
      </c>
      <c r="O15" s="146" t="s">
        <v>202</v>
      </c>
      <c r="P15" s="147"/>
      <c r="Q15" s="173"/>
      <c r="R15" s="71"/>
      <c r="S15" s="173"/>
      <c r="T15" s="173"/>
      <c r="U15" s="173"/>
      <c r="V15" s="173"/>
      <c r="W15" s="173"/>
      <c r="X15" s="173"/>
      <c r="Y15" s="173"/>
      <c r="Z15" s="179"/>
      <c r="AA15" s="179"/>
      <c r="AB15" s="179"/>
      <c r="AC15" s="179"/>
    </row>
    <row r="16">
      <c r="A16" s="149" t="s">
        <v>34</v>
      </c>
      <c r="B16" s="71" t="s">
        <v>179</v>
      </c>
      <c r="C16" s="71" t="s">
        <v>31</v>
      </c>
      <c r="D16" s="170" t="s">
        <v>180</v>
      </c>
      <c r="E16" s="71" t="s">
        <v>174</v>
      </c>
      <c r="F16" s="71" t="s">
        <v>181</v>
      </c>
      <c r="G16" s="71" t="str">
        <f>VLOOKUP($B16,'Rate card'!$A$4:$G1005,6,FALSE)</f>
        <v>Sqft</v>
      </c>
      <c r="H16" s="71">
        <v>850.0</v>
      </c>
      <c r="I16" s="648" t="s">
        <v>70</v>
      </c>
      <c r="J16" s="170">
        <f>12*10</f>
        <v>120</v>
      </c>
      <c r="K16" s="146">
        <f t="shared" si="3"/>
        <v>102000</v>
      </c>
      <c r="L16" s="150">
        <f>5*8.5</f>
        <v>42.5</v>
      </c>
      <c r="M16" s="147"/>
      <c r="N16" s="146">
        <f t="shared" si="2"/>
        <v>36125</v>
      </c>
      <c r="O16" s="146" t="s">
        <v>203</v>
      </c>
      <c r="P16" s="150" t="s">
        <v>204</v>
      </c>
      <c r="Q16" s="173"/>
      <c r="R16" s="173"/>
      <c r="S16" s="173"/>
      <c r="T16" s="173"/>
      <c r="U16" s="173"/>
      <c r="V16" s="173"/>
      <c r="W16" s="173"/>
      <c r="X16" s="173"/>
      <c r="Y16" s="173"/>
      <c r="Z16" s="179"/>
      <c r="AA16" s="179"/>
      <c r="AB16" s="179"/>
      <c r="AC16" s="179"/>
    </row>
    <row r="17">
      <c r="A17" s="31" t="s">
        <v>36</v>
      </c>
      <c r="B17" s="95"/>
      <c r="C17" s="75" t="s">
        <v>31</v>
      </c>
      <c r="D17" s="33"/>
      <c r="E17" s="75"/>
      <c r="F17" s="75"/>
      <c r="G17" s="95"/>
      <c r="H17" s="75"/>
      <c r="I17" s="31"/>
      <c r="J17" s="31"/>
      <c r="K17" s="69"/>
      <c r="L17" s="67"/>
      <c r="M17" s="67"/>
      <c r="N17" s="32">
        <v>45000.0</v>
      </c>
      <c r="O17" s="32"/>
      <c r="P17" s="62"/>
      <c r="Q17" s="76"/>
      <c r="R17" s="76"/>
      <c r="S17" s="76"/>
      <c r="T17" s="76"/>
      <c r="U17" s="76"/>
      <c r="V17" s="76"/>
      <c r="W17" s="76"/>
      <c r="X17" s="76"/>
      <c r="Y17" s="76"/>
      <c r="Z17" s="52"/>
      <c r="AA17" s="52"/>
      <c r="AB17" s="52"/>
      <c r="AC17" s="52"/>
    </row>
    <row r="18">
      <c r="A18" s="140" t="s">
        <v>226</v>
      </c>
      <c r="B18" s="141"/>
      <c r="C18" s="141"/>
      <c r="D18" s="141"/>
      <c r="E18" s="141"/>
      <c r="F18" s="141"/>
      <c r="G18" s="141"/>
      <c r="H18" s="143"/>
      <c r="I18" s="167"/>
      <c r="J18" s="144"/>
      <c r="K18" s="143"/>
      <c r="L18" s="143"/>
      <c r="M18" s="144"/>
      <c r="N18" s="141"/>
      <c r="O18" s="141"/>
      <c r="P18" s="141"/>
      <c r="Q18" s="147"/>
      <c r="R18" s="147"/>
      <c r="S18" s="147"/>
      <c r="T18" s="147"/>
      <c r="U18" s="147"/>
      <c r="V18" s="147"/>
      <c r="W18" s="147"/>
      <c r="X18" s="147"/>
      <c r="Y18" s="147"/>
      <c r="Z18" s="148"/>
      <c r="AA18" s="148"/>
      <c r="AB18" s="148"/>
      <c r="AC18" s="148"/>
    </row>
    <row r="19">
      <c r="A19" s="149" t="s">
        <v>16</v>
      </c>
      <c r="B19" s="150" t="s">
        <v>236</v>
      </c>
      <c r="C19" s="150" t="str">
        <f>VLOOKUP($B19,'Rate card'!$A$4:$G1005,2,FALSE)</f>
        <v>Carpentry</v>
      </c>
      <c r="D19" s="150" t="str">
        <f>VLOOKUP($B19,'Rate card'!$A$4:$G1005,3,FALSE)</f>
        <v>Panelling with framing</v>
      </c>
      <c r="E19" s="150" t="str">
        <f>VLOOKUP($B19,'Rate card'!$A$4:$G1005,4,FALSE)</f>
        <v>Mirror Finish</v>
      </c>
      <c r="F19" s="150" t="str">
        <f>VLOOKUP($B19,'Rate card'!$A$4:$G1005,5,FALSE)</f>
        <v>MR ply + ply framing + 5mm clear mirror</v>
      </c>
      <c r="G19" s="150" t="str">
        <f>VLOOKUP($B19,'Rate card'!$A$4:$G1005,6,FALSE)</f>
        <v>Sqft</v>
      </c>
      <c r="H19" s="150">
        <f>VLOOKUP($B19,'Rate card'!$A$4:$J1005,8,FALSE)</f>
        <v>750</v>
      </c>
      <c r="I19" s="180" t="s">
        <v>70</v>
      </c>
      <c r="J19" s="154">
        <f>2.5*7</f>
        <v>17.5</v>
      </c>
      <c r="K19" s="155">
        <f t="shared" ref="K19:K21" si="4">H19*J19</f>
        <v>13125</v>
      </c>
      <c r="L19" s="150">
        <f>7*2</f>
        <v>14</v>
      </c>
      <c r="M19" s="147"/>
      <c r="N19" s="170">
        <f t="shared" ref="N19:N21" si="5">L19*H19</f>
        <v>10500</v>
      </c>
      <c r="O19" s="71" t="s">
        <v>237</v>
      </c>
      <c r="P19" s="147"/>
      <c r="Q19" s="147"/>
      <c r="R19" s="147"/>
      <c r="S19" s="147"/>
      <c r="T19" s="147"/>
      <c r="U19" s="147"/>
      <c r="V19" s="147"/>
      <c r="W19" s="147"/>
      <c r="X19" s="147"/>
      <c r="Y19" s="147"/>
      <c r="Z19" s="148"/>
      <c r="AA19" s="148"/>
      <c r="AB19" s="148"/>
      <c r="AC19" s="148"/>
    </row>
    <row r="20">
      <c r="A20" s="149" t="s">
        <v>18</v>
      </c>
      <c r="B20" s="71" t="s">
        <v>238</v>
      </c>
      <c r="C20" s="71" t="s">
        <v>31</v>
      </c>
      <c r="D20" s="170" t="s">
        <v>180</v>
      </c>
      <c r="E20" s="71" t="str">
        <f>VLOOKUP($B20,'Rate card'!$A$4:$G1005,4,FALSE)</f>
        <v>Laminate Finish</v>
      </c>
      <c r="F20" s="71" t="s">
        <v>239</v>
      </c>
      <c r="G20" s="71" t="str">
        <f>VLOOKUP($B20,'Rate card'!$A$4:$G1005,6,FALSE)</f>
        <v>Sqft</v>
      </c>
      <c r="H20" s="71">
        <v>950.0</v>
      </c>
      <c r="I20" s="648" t="s">
        <v>759</v>
      </c>
      <c r="J20" s="170" t="s">
        <v>240</v>
      </c>
      <c r="K20" s="146">
        <f t="shared" si="4"/>
        <v>76000</v>
      </c>
      <c r="L20" s="150">
        <f>9*5</f>
        <v>45</v>
      </c>
      <c r="M20" s="147"/>
      <c r="N20" s="170">
        <f t="shared" si="5"/>
        <v>42750</v>
      </c>
      <c r="O20" s="146" t="s">
        <v>241</v>
      </c>
      <c r="P20" s="150" t="s">
        <v>242</v>
      </c>
      <c r="Q20" s="173"/>
      <c r="R20" s="173"/>
      <c r="S20" s="173"/>
      <c r="T20" s="173"/>
      <c r="U20" s="173"/>
      <c r="V20" s="173"/>
      <c r="W20" s="173"/>
      <c r="X20" s="173"/>
      <c r="Y20" s="173"/>
      <c r="Z20" s="179"/>
      <c r="AA20" s="179"/>
      <c r="AB20" s="179"/>
      <c r="AC20" s="179"/>
    </row>
    <row r="21">
      <c r="A21" s="149" t="s">
        <v>24</v>
      </c>
      <c r="B21" s="150" t="s">
        <v>179</v>
      </c>
      <c r="C21" s="150" t="str">
        <f>VLOOKUP($B21,'Rate card'!$A$4:$G1005,2,FALSE)</f>
        <v>Carpentry</v>
      </c>
      <c r="D21" s="150" t="str">
        <f>VLOOKUP($B21,'Rate card'!$A$4:$G1005,3,FALSE)</f>
        <v>Panelling with framing</v>
      </c>
      <c r="E21" s="150" t="str">
        <f>VLOOKUP($B21,'Rate card'!$A$4:$G1005,4,FALSE)</f>
        <v>MDF</v>
      </c>
      <c r="F21" s="150" t="str">
        <f>VLOOKUP($B21,'Rate card'!$A$4:$G1005,5,FALSE)</f>
        <v>MR ply + ply framing + 12mm MDF</v>
      </c>
      <c r="G21" s="150" t="str">
        <f>VLOOKUP($B21,'Rate card'!$A$4:$G1005,6,FALSE)</f>
        <v>Sqft</v>
      </c>
      <c r="H21" s="150">
        <v>600.0</v>
      </c>
      <c r="I21" s="180" t="s">
        <v>759</v>
      </c>
      <c r="J21" s="154">
        <f>12*2.5</f>
        <v>30</v>
      </c>
      <c r="K21" s="155">
        <f t="shared" si="4"/>
        <v>18000</v>
      </c>
      <c r="L21" s="150">
        <f>10*2</f>
        <v>20</v>
      </c>
      <c r="M21" s="147"/>
      <c r="N21" s="170">
        <f t="shared" si="5"/>
        <v>12000</v>
      </c>
      <c r="O21" s="71" t="s">
        <v>245</v>
      </c>
      <c r="P21" s="147"/>
      <c r="Q21" s="147"/>
      <c r="R21" s="147"/>
      <c r="S21" s="147"/>
      <c r="T21" s="147"/>
      <c r="U21" s="147"/>
      <c r="V21" s="147"/>
      <c r="W21" s="147"/>
      <c r="X21" s="147"/>
      <c r="Y21" s="147"/>
      <c r="Z21" s="148"/>
      <c r="AA21" s="148"/>
      <c r="AB21" s="148"/>
      <c r="AC21" s="148"/>
    </row>
    <row r="22">
      <c r="A22" s="140" t="s">
        <v>246</v>
      </c>
      <c r="B22" s="141"/>
      <c r="C22" s="141"/>
      <c r="D22" s="141"/>
      <c r="E22" s="141"/>
      <c r="F22" s="141"/>
      <c r="G22" s="141"/>
      <c r="H22" s="143"/>
      <c r="I22" s="167"/>
      <c r="J22" s="144"/>
      <c r="K22" s="143"/>
      <c r="L22" s="143"/>
      <c r="M22" s="144"/>
      <c r="N22" s="141"/>
      <c r="O22" s="141"/>
      <c r="P22" s="141"/>
      <c r="Q22" s="147"/>
      <c r="R22" s="147"/>
      <c r="S22" s="147"/>
      <c r="T22" s="147"/>
      <c r="U22" s="147"/>
      <c r="V22" s="147"/>
      <c r="W22" s="147"/>
      <c r="X22" s="147"/>
      <c r="Y22" s="147"/>
      <c r="Z22" s="148"/>
      <c r="AA22" s="148"/>
      <c r="AB22" s="148"/>
      <c r="AC22" s="148"/>
    </row>
    <row r="23">
      <c r="A23" s="149" t="s">
        <v>16</v>
      </c>
      <c r="B23" s="150" t="s">
        <v>236</v>
      </c>
      <c r="C23" s="150" t="str">
        <f>VLOOKUP($B23,'Rate card'!$A$4:$G1005,2,FALSE)</f>
        <v>Carpentry</v>
      </c>
      <c r="D23" s="150" t="str">
        <f>VLOOKUP($B23,'Rate card'!$A$4:$G1005,3,FALSE)</f>
        <v>Panelling with framing</v>
      </c>
      <c r="E23" s="150" t="str">
        <f>VLOOKUP($B23,'Rate card'!$A$4:$G1005,4,FALSE)</f>
        <v>Mirror Finish</v>
      </c>
      <c r="F23" s="150" t="str">
        <f>VLOOKUP($B23,'Rate card'!$A$4:$G1005,5,FALSE)</f>
        <v>MR ply + ply framing + 5mm clear mirror</v>
      </c>
      <c r="G23" s="150" t="str">
        <f>VLOOKUP($B23,'Rate card'!$A$4:$G1005,6,FALSE)</f>
        <v>Sqft</v>
      </c>
      <c r="H23" s="150">
        <f>VLOOKUP($B23,'Rate card'!$A$4:$J1005,8,FALSE)</f>
        <v>750</v>
      </c>
      <c r="I23" s="180" t="s">
        <v>70</v>
      </c>
      <c r="J23" s="154">
        <f>2*5</f>
        <v>10</v>
      </c>
      <c r="K23" s="155">
        <f t="shared" ref="K23:K25" si="6">H23*J23</f>
        <v>7500</v>
      </c>
      <c r="L23" s="150">
        <f>3*3</f>
        <v>9</v>
      </c>
      <c r="M23" s="147"/>
      <c r="N23" s="155">
        <f t="shared" ref="N23:N25" si="7">L23*H23</f>
        <v>6750</v>
      </c>
      <c r="O23" s="71" t="s">
        <v>237</v>
      </c>
      <c r="P23" s="147"/>
      <c r="Q23" s="147"/>
      <c r="R23" s="147"/>
      <c r="S23" s="147"/>
      <c r="T23" s="147"/>
      <c r="U23" s="147"/>
      <c r="V23" s="147"/>
      <c r="W23" s="147"/>
      <c r="X23" s="147"/>
      <c r="Y23" s="147"/>
      <c r="Z23" s="148"/>
      <c r="AA23" s="148"/>
      <c r="AB23" s="148"/>
      <c r="AC23" s="148"/>
    </row>
    <row r="24">
      <c r="A24" s="149" t="s">
        <v>18</v>
      </c>
      <c r="B24" s="150" t="s">
        <v>238</v>
      </c>
      <c r="C24" s="150" t="s">
        <v>31</v>
      </c>
      <c r="D24" s="154" t="s">
        <v>180</v>
      </c>
      <c r="E24" s="150" t="str">
        <f>VLOOKUP($B24,'Rate card'!$A$4:$G1005,4,FALSE)</f>
        <v>Laminate Finish</v>
      </c>
      <c r="F24" s="71" t="s">
        <v>239</v>
      </c>
      <c r="G24" s="150" t="str">
        <f>VLOOKUP($B24,'Rate card'!$A$4:$G1005,6,FALSE)</f>
        <v>Sqft</v>
      </c>
      <c r="H24" s="150">
        <f>VLOOKUP($B24,'Rate card'!$A$4:$J1005,8,FALSE)</f>
        <v>650</v>
      </c>
      <c r="I24" s="180" t="s">
        <v>759</v>
      </c>
      <c r="J24" s="154" t="s">
        <v>64</v>
      </c>
      <c r="K24" s="155">
        <f t="shared" si="6"/>
        <v>26000</v>
      </c>
      <c r="L24" s="150">
        <v>0.0</v>
      </c>
      <c r="M24" s="147"/>
      <c r="N24" s="155">
        <f t="shared" si="7"/>
        <v>0</v>
      </c>
      <c r="O24" s="155" t="s">
        <v>241</v>
      </c>
      <c r="P24" s="147"/>
      <c r="Q24" s="147"/>
      <c r="R24" s="147"/>
      <c r="S24" s="147"/>
      <c r="T24" s="147"/>
      <c r="U24" s="147"/>
      <c r="V24" s="147"/>
      <c r="W24" s="147"/>
      <c r="X24" s="147"/>
      <c r="Y24" s="147"/>
      <c r="Z24" s="148"/>
      <c r="AA24" s="148"/>
      <c r="AB24" s="148"/>
      <c r="AC24" s="148"/>
    </row>
    <row r="25">
      <c r="A25" s="149" t="s">
        <v>24</v>
      </c>
      <c r="B25" s="150" t="s">
        <v>179</v>
      </c>
      <c r="C25" s="150" t="str">
        <f>VLOOKUP($B25,'Rate card'!$A$4:$G1005,2,FALSE)</f>
        <v>Carpentry</v>
      </c>
      <c r="D25" s="150" t="str">
        <f>VLOOKUP($B25,'Rate card'!$A$4:$G1005,3,FALSE)</f>
        <v>Panelling with framing</v>
      </c>
      <c r="E25" s="150" t="str">
        <f>VLOOKUP($B25,'Rate card'!$A$4:$G1005,4,FALSE)</f>
        <v>MDF</v>
      </c>
      <c r="F25" s="150" t="str">
        <f>VLOOKUP($B25,'Rate card'!$A$4:$G1005,5,FALSE)</f>
        <v>MR ply + ply framing + 12mm MDF</v>
      </c>
      <c r="G25" s="150" t="str">
        <f>VLOOKUP($B25,'Rate card'!$A$4:$G1005,6,FALSE)</f>
        <v>Sqft</v>
      </c>
      <c r="H25" s="150">
        <v>600.0</v>
      </c>
      <c r="I25" s="180" t="s">
        <v>759</v>
      </c>
      <c r="J25" s="154">
        <f>12*2.5</f>
        <v>30</v>
      </c>
      <c r="K25" s="155">
        <f t="shared" si="6"/>
        <v>18000</v>
      </c>
      <c r="L25" s="150">
        <f>10*2</f>
        <v>20</v>
      </c>
      <c r="M25" s="147"/>
      <c r="N25" s="155">
        <f t="shared" si="7"/>
        <v>12000</v>
      </c>
      <c r="O25" s="71" t="s">
        <v>245</v>
      </c>
      <c r="P25" s="147"/>
      <c r="Q25" s="147"/>
      <c r="R25" s="147"/>
      <c r="S25" s="147"/>
      <c r="T25" s="147"/>
      <c r="U25" s="147"/>
      <c r="V25" s="147"/>
      <c r="W25" s="147"/>
      <c r="X25" s="147"/>
      <c r="Y25" s="147"/>
      <c r="Z25" s="148"/>
      <c r="AA25" s="148"/>
      <c r="AB25" s="148"/>
      <c r="AC25" s="148"/>
    </row>
    <row r="26">
      <c r="A26" s="140" t="s">
        <v>256</v>
      </c>
      <c r="B26" s="141"/>
      <c r="C26" s="141"/>
      <c r="D26" s="141"/>
      <c r="E26" s="141"/>
      <c r="F26" s="141"/>
      <c r="G26" s="141"/>
      <c r="H26" s="143"/>
      <c r="I26" s="167"/>
      <c r="J26" s="144"/>
      <c r="K26" s="143"/>
      <c r="L26" s="143"/>
      <c r="M26" s="144"/>
      <c r="N26" s="141"/>
      <c r="O26" s="141"/>
      <c r="P26" s="141"/>
      <c r="Q26" s="147"/>
      <c r="R26" s="147"/>
      <c r="S26" s="147"/>
      <c r="T26" s="147"/>
      <c r="U26" s="147"/>
      <c r="V26" s="147"/>
      <c r="W26" s="147"/>
      <c r="X26" s="147"/>
      <c r="Y26" s="147"/>
      <c r="Z26" s="148"/>
      <c r="AA26" s="148"/>
      <c r="AB26" s="148"/>
      <c r="AC26" s="148"/>
    </row>
    <row r="27">
      <c r="A27" s="149" t="s">
        <v>16</v>
      </c>
      <c r="B27" s="150" t="s">
        <v>179</v>
      </c>
      <c r="C27" s="150" t="str">
        <f>VLOOKUP($B27,'Rate card'!$A$4:$G1005,2,FALSE)</f>
        <v>Carpentry</v>
      </c>
      <c r="D27" s="150" t="str">
        <f>VLOOKUP($B27,'Rate card'!$A$4:$G1005,3,FALSE)</f>
        <v>Panelling with framing</v>
      </c>
      <c r="E27" s="150" t="s">
        <v>259</v>
      </c>
      <c r="F27" s="150" t="str">
        <f>VLOOKUP($B27,'Rate card'!$A$4:$G1005,5,FALSE)</f>
        <v>MR ply + ply framing + 12mm MDF</v>
      </c>
      <c r="G27" s="150" t="str">
        <f>VLOOKUP($B27,'Rate card'!$A$4:$G1005,6,FALSE)</f>
        <v>Sqft</v>
      </c>
      <c r="H27" s="150">
        <v>850.0</v>
      </c>
      <c r="I27" s="180" t="s">
        <v>759</v>
      </c>
      <c r="J27" s="154">
        <f>12*2.5</f>
        <v>30</v>
      </c>
      <c r="K27" s="155">
        <f t="shared" ref="K27:K30" si="8">H27*J27</f>
        <v>25500</v>
      </c>
      <c r="L27" s="150">
        <f>12*9</f>
        <v>108</v>
      </c>
      <c r="M27" s="147"/>
      <c r="N27" s="155">
        <f t="shared" ref="N27:N30" si="9">L27*H27</f>
        <v>91800</v>
      </c>
      <c r="O27" s="71" t="s">
        <v>260</v>
      </c>
      <c r="P27" s="147"/>
      <c r="Q27" s="147"/>
      <c r="R27" s="147"/>
      <c r="S27" s="147"/>
      <c r="T27" s="147"/>
      <c r="U27" s="147"/>
      <c r="V27" s="147"/>
      <c r="W27" s="147"/>
      <c r="X27" s="147"/>
      <c r="Y27" s="147"/>
      <c r="Z27" s="148"/>
      <c r="AA27" s="148"/>
      <c r="AB27" s="148"/>
      <c r="AC27" s="148"/>
    </row>
    <row r="28">
      <c r="A28" s="149" t="s">
        <v>18</v>
      </c>
      <c r="B28" s="150" t="s">
        <v>236</v>
      </c>
      <c r="C28" s="150" t="str">
        <f>VLOOKUP($B28,'Rate card'!$A$4:$G1005,2,FALSE)</f>
        <v>Carpentry</v>
      </c>
      <c r="D28" s="150" t="str">
        <f>VLOOKUP($B28,'Rate card'!$A$4:$G1005,3,FALSE)</f>
        <v>Panelling with framing</v>
      </c>
      <c r="E28" s="150" t="str">
        <f>VLOOKUP($B28,'Rate card'!$A$4:$G1005,4,FALSE)</f>
        <v>Mirror Finish</v>
      </c>
      <c r="F28" s="150" t="str">
        <f>VLOOKUP($B28,'Rate card'!$A$4:$G1005,5,FALSE)</f>
        <v>MR ply + ply framing + 5mm clear mirror</v>
      </c>
      <c r="G28" s="150" t="str">
        <f>VLOOKUP($B28,'Rate card'!$A$4:$G1005,6,FALSE)</f>
        <v>Sqft</v>
      </c>
      <c r="H28" s="150">
        <f>VLOOKUP($B28,'Rate card'!$A$4:$J1005,8,FALSE)</f>
        <v>750</v>
      </c>
      <c r="I28" s="180" t="s">
        <v>70</v>
      </c>
      <c r="J28" s="154">
        <f>2.5*10</f>
        <v>25</v>
      </c>
      <c r="K28" s="155">
        <f t="shared" si="8"/>
        <v>18750</v>
      </c>
      <c r="L28" s="150">
        <f>2.5*9</f>
        <v>22.5</v>
      </c>
      <c r="M28" s="147"/>
      <c r="N28" s="154">
        <f t="shared" si="9"/>
        <v>16875</v>
      </c>
      <c r="O28" s="71" t="s">
        <v>237</v>
      </c>
      <c r="P28" s="147"/>
      <c r="Q28" s="147"/>
      <c r="R28" s="147"/>
      <c r="S28" s="147"/>
      <c r="T28" s="147"/>
      <c r="U28" s="147"/>
      <c r="V28" s="147"/>
      <c r="W28" s="147"/>
      <c r="X28" s="147"/>
      <c r="Y28" s="147"/>
      <c r="Z28" s="148"/>
      <c r="AA28" s="148"/>
      <c r="AB28" s="148"/>
      <c r="AC28" s="148"/>
    </row>
    <row r="29">
      <c r="A29" s="149" t="s">
        <v>24</v>
      </c>
      <c r="B29" s="150" t="s">
        <v>238</v>
      </c>
      <c r="C29" s="150" t="s">
        <v>31</v>
      </c>
      <c r="D29" s="154" t="s">
        <v>180</v>
      </c>
      <c r="E29" s="150" t="str">
        <f>VLOOKUP($B29,'Rate card'!$A$4:$G1005,4,FALSE)</f>
        <v>Laminate Finish</v>
      </c>
      <c r="F29" s="71" t="s">
        <v>239</v>
      </c>
      <c r="G29" s="150" t="str">
        <f>VLOOKUP($B29,'Rate card'!$A$4:$G1005,6,FALSE)</f>
        <v>Sqft</v>
      </c>
      <c r="H29" s="150">
        <v>1500.0</v>
      </c>
      <c r="I29" s="180" t="s">
        <v>759</v>
      </c>
      <c r="J29" s="154" t="s">
        <v>262</v>
      </c>
      <c r="K29" s="155">
        <f t="shared" si="8"/>
        <v>135000</v>
      </c>
      <c r="L29" s="150">
        <f>9*9</f>
        <v>81</v>
      </c>
      <c r="M29" s="147"/>
      <c r="N29" s="154">
        <f t="shared" si="9"/>
        <v>121500</v>
      </c>
      <c r="O29" s="155" t="s">
        <v>241</v>
      </c>
      <c r="P29" s="147"/>
      <c r="Q29" s="147"/>
      <c r="R29" s="147"/>
      <c r="S29" s="147"/>
      <c r="T29" s="147"/>
      <c r="U29" s="147"/>
      <c r="V29" s="147"/>
      <c r="W29" s="147"/>
      <c r="X29" s="147"/>
      <c r="Y29" s="147"/>
      <c r="Z29" s="148"/>
      <c r="AA29" s="148"/>
      <c r="AB29" s="148"/>
      <c r="AC29" s="148"/>
    </row>
    <row r="30">
      <c r="A30" s="149" t="s">
        <v>27</v>
      </c>
      <c r="B30" s="150" t="s">
        <v>179</v>
      </c>
      <c r="C30" s="150" t="str">
        <f>VLOOKUP($B30,'Rate card'!$A$4:$G1005,2,FALSE)</f>
        <v>Carpentry</v>
      </c>
      <c r="D30" s="150" t="str">
        <f>VLOOKUP($B30,'Rate card'!$A$4:$G1005,3,FALSE)</f>
        <v>Panelling with framing</v>
      </c>
      <c r="E30" s="150" t="str">
        <f>VLOOKUP($B30,'Rate card'!$A$4:$G1005,4,FALSE)</f>
        <v>MDF</v>
      </c>
      <c r="F30" s="150" t="str">
        <f>VLOOKUP($B30,'Rate card'!$A$4:$G1005,5,FALSE)</f>
        <v>MR ply + ply framing + 12mm MDF</v>
      </c>
      <c r="G30" s="150" t="str">
        <f>VLOOKUP($B30,'Rate card'!$A$4:$G1005,6,FALSE)</f>
        <v>Sqft</v>
      </c>
      <c r="H30" s="150">
        <v>600.0</v>
      </c>
      <c r="I30" s="180" t="s">
        <v>759</v>
      </c>
      <c r="J30" s="154">
        <f>11*2.5</f>
        <v>27.5</v>
      </c>
      <c r="K30" s="155">
        <f t="shared" si="8"/>
        <v>16500</v>
      </c>
      <c r="L30" s="150">
        <f>10*2</f>
        <v>20</v>
      </c>
      <c r="M30" s="147"/>
      <c r="N30" s="154">
        <f t="shared" si="9"/>
        <v>12000</v>
      </c>
      <c r="O30" s="71" t="s">
        <v>245</v>
      </c>
      <c r="P30" s="147"/>
      <c r="Q30" s="147"/>
      <c r="R30" s="147"/>
      <c r="S30" s="147"/>
      <c r="T30" s="147"/>
      <c r="U30" s="147"/>
      <c r="V30" s="147"/>
      <c r="W30" s="147"/>
      <c r="X30" s="147"/>
      <c r="Y30" s="147"/>
      <c r="Z30" s="148"/>
      <c r="AA30" s="148"/>
      <c r="AB30" s="148"/>
      <c r="AC30" s="148"/>
    </row>
    <row r="31">
      <c r="A31" s="140" t="s">
        <v>265</v>
      </c>
      <c r="B31" s="141"/>
      <c r="C31" s="141"/>
      <c r="D31" s="141"/>
      <c r="E31" s="141"/>
      <c r="F31" s="141"/>
      <c r="G31" s="141"/>
      <c r="H31" s="143"/>
      <c r="I31" s="167"/>
      <c r="J31" s="144"/>
      <c r="K31" s="143"/>
      <c r="L31" s="143"/>
      <c r="M31" s="144"/>
      <c r="N31" s="141"/>
      <c r="O31" s="141"/>
      <c r="P31" s="141"/>
      <c r="Q31" s="147"/>
      <c r="R31" s="147"/>
      <c r="S31" s="147"/>
      <c r="T31" s="147"/>
      <c r="U31" s="147"/>
      <c r="V31" s="147"/>
      <c r="W31" s="147"/>
      <c r="X31" s="147"/>
      <c r="Y31" s="147"/>
      <c r="Z31" s="148"/>
      <c r="AA31" s="148"/>
      <c r="AB31" s="148"/>
      <c r="AC31" s="148"/>
    </row>
    <row r="32">
      <c r="A32" s="149" t="s">
        <v>16</v>
      </c>
      <c r="B32" s="150" t="s">
        <v>236</v>
      </c>
      <c r="C32" s="150" t="str">
        <f>VLOOKUP($B32,'Rate card'!$A$4:$G1005,2,FALSE)</f>
        <v>Carpentry</v>
      </c>
      <c r="D32" s="150" t="str">
        <f>VLOOKUP($B32,'Rate card'!$A$4:$G1005,3,FALSE)</f>
        <v>Panelling with framing</v>
      </c>
      <c r="E32" s="150" t="s">
        <v>267</v>
      </c>
      <c r="F32" s="150" t="str">
        <f>VLOOKUP($B32,'Rate card'!$A$4:$G1005,5,FALSE)</f>
        <v>MR ply + ply framing + 5mm clear mirror</v>
      </c>
      <c r="G32" s="150" t="str">
        <f>VLOOKUP($B32,'Rate card'!$A$4:$G1005,6,FALSE)</f>
        <v>Sqft</v>
      </c>
      <c r="H32" s="150">
        <v>1500.0</v>
      </c>
      <c r="I32" s="180" t="s">
        <v>723</v>
      </c>
      <c r="J32" s="154">
        <f>3*10</f>
        <v>30</v>
      </c>
      <c r="K32" s="155">
        <f t="shared" ref="K32:K34" si="10">H32*J32</f>
        <v>45000</v>
      </c>
      <c r="L32" s="150">
        <f t="shared" ref="L32:L33" si="11">12*9</f>
        <v>108</v>
      </c>
      <c r="M32" s="147"/>
      <c r="N32" s="154">
        <f t="shared" ref="N32:N36" si="12">L32*H32</f>
        <v>162000</v>
      </c>
      <c r="O32" s="71" t="s">
        <v>268</v>
      </c>
      <c r="P32" s="147"/>
      <c r="Q32" s="147"/>
      <c r="R32" s="147"/>
      <c r="S32" s="147"/>
      <c r="T32" s="147"/>
      <c r="U32" s="147"/>
      <c r="V32" s="147"/>
      <c r="W32" s="147"/>
      <c r="X32" s="147"/>
      <c r="Y32" s="147"/>
      <c r="Z32" s="148"/>
      <c r="AA32" s="148"/>
      <c r="AB32" s="148"/>
      <c r="AC32" s="148"/>
    </row>
    <row r="33">
      <c r="A33" s="149" t="s">
        <v>18</v>
      </c>
      <c r="B33" s="150" t="s">
        <v>238</v>
      </c>
      <c r="C33" s="150" t="s">
        <v>31</v>
      </c>
      <c r="D33" s="154" t="s">
        <v>180</v>
      </c>
      <c r="E33" s="150" t="str">
        <f>VLOOKUP($B33,'Rate card'!$A$4:$G1005,4,FALSE)</f>
        <v>Laminate Finish</v>
      </c>
      <c r="F33" s="71" t="s">
        <v>239</v>
      </c>
      <c r="G33" s="150" t="str">
        <f>VLOOKUP($B33,'Rate card'!$A$4:$G1005,6,FALSE)</f>
        <v>Sqft</v>
      </c>
      <c r="H33" s="150">
        <v>800.0</v>
      </c>
      <c r="I33" s="180" t="s">
        <v>759</v>
      </c>
      <c r="J33" s="154" t="s">
        <v>270</v>
      </c>
      <c r="K33" s="155">
        <f t="shared" si="10"/>
        <v>40000</v>
      </c>
      <c r="L33" s="150">
        <f t="shared" si="11"/>
        <v>108</v>
      </c>
      <c r="M33" s="147"/>
      <c r="N33" s="154">
        <f t="shared" si="12"/>
        <v>86400</v>
      </c>
      <c r="O33" s="155" t="s">
        <v>271</v>
      </c>
      <c r="P33" s="150" t="s">
        <v>272</v>
      </c>
      <c r="Q33" s="147"/>
      <c r="R33" s="147"/>
      <c r="S33" s="147"/>
      <c r="T33" s="147"/>
      <c r="U33" s="147"/>
      <c r="V33" s="147"/>
      <c r="W33" s="147"/>
      <c r="X33" s="147"/>
      <c r="Y33" s="147"/>
      <c r="Z33" s="148"/>
      <c r="AA33" s="148"/>
      <c r="AB33" s="148"/>
      <c r="AC33" s="148"/>
    </row>
    <row r="34">
      <c r="A34" s="149" t="s">
        <v>24</v>
      </c>
      <c r="B34" s="150" t="s">
        <v>179</v>
      </c>
      <c r="C34" s="150" t="str">
        <f>VLOOKUP($B34,'Rate card'!$A$4:$G1005,2,FALSE)</f>
        <v>Carpentry</v>
      </c>
      <c r="D34" s="150" t="str">
        <f>VLOOKUP($B34,'Rate card'!$A$4:$G1005,3,FALSE)</f>
        <v>Panelling with framing</v>
      </c>
      <c r="E34" s="150" t="str">
        <f>VLOOKUP($B34,'Rate card'!$A$4:$G1005,4,FALSE)</f>
        <v>MDF</v>
      </c>
      <c r="F34" s="150" t="str">
        <f>VLOOKUP($B34,'Rate card'!$A$4:$G1005,5,FALSE)</f>
        <v>MR ply + ply framing + 12mm MDF</v>
      </c>
      <c r="G34" s="150" t="str">
        <f>VLOOKUP($B34,'Rate card'!$A$4:$G1005,6,FALSE)</f>
        <v>Sqft</v>
      </c>
      <c r="H34" s="150">
        <v>600.0</v>
      </c>
      <c r="I34" s="180" t="s">
        <v>759</v>
      </c>
      <c r="J34" s="154">
        <f>14.25*2.5</f>
        <v>35.625</v>
      </c>
      <c r="K34" s="155">
        <f t="shared" si="10"/>
        <v>21375</v>
      </c>
      <c r="L34" s="150">
        <f>10*2</f>
        <v>20</v>
      </c>
      <c r="M34" s="147"/>
      <c r="N34" s="154">
        <f t="shared" si="12"/>
        <v>12000</v>
      </c>
      <c r="O34" s="71" t="s">
        <v>245</v>
      </c>
      <c r="P34" s="147"/>
      <c r="Q34" s="147"/>
      <c r="R34" s="147"/>
      <c r="S34" s="147"/>
      <c r="T34" s="147"/>
      <c r="U34" s="147"/>
      <c r="V34" s="147"/>
      <c r="W34" s="147"/>
      <c r="X34" s="147"/>
      <c r="Y34" s="147"/>
      <c r="Z34" s="148"/>
      <c r="AA34" s="148"/>
      <c r="AB34" s="148"/>
      <c r="AC34" s="148"/>
    </row>
    <row r="35">
      <c r="A35" s="140" t="s">
        <v>278</v>
      </c>
      <c r="B35" s="141"/>
      <c r="C35" s="141"/>
      <c r="D35" s="141"/>
      <c r="E35" s="141"/>
      <c r="F35" s="141"/>
      <c r="G35" s="141"/>
      <c r="H35" s="143"/>
      <c r="I35" s="167"/>
      <c r="J35" s="144"/>
      <c r="K35" s="143"/>
      <c r="L35" s="143"/>
      <c r="M35" s="144"/>
      <c r="N35" s="278">
        <f t="shared" si="12"/>
        <v>0</v>
      </c>
      <c r="O35" s="141"/>
      <c r="P35" s="141"/>
      <c r="Q35" s="147"/>
      <c r="R35" s="147"/>
      <c r="S35" s="147"/>
      <c r="T35" s="147"/>
      <c r="U35" s="147"/>
      <c r="V35" s="147"/>
      <c r="W35" s="147"/>
      <c r="X35" s="147"/>
      <c r="Y35" s="147"/>
      <c r="Z35" s="148"/>
      <c r="AA35" s="148"/>
      <c r="AB35" s="148"/>
      <c r="AC35" s="148"/>
    </row>
    <row r="36">
      <c r="A36" s="149" t="s">
        <v>16</v>
      </c>
      <c r="B36" s="150" t="s">
        <v>280</v>
      </c>
      <c r="C36" s="71" t="str">
        <f>VLOOKUP($B36,'Rate card'!$A$4:$G1005,2,FALSE)</f>
        <v>Carpentry</v>
      </c>
      <c r="D36" s="170" t="str">
        <f>VLOOKUP($B36,'Rate card'!$A$4:$G1005,3,FALSE)</f>
        <v>Mirror panelling</v>
      </c>
      <c r="E36" s="170" t="str">
        <f>VLOOKUP($B36,'Rate card'!$A$4:$G1005,4,FALSE)</f>
        <v>Mirror finish</v>
      </c>
      <c r="F36" s="170" t="str">
        <f>VLOOKUP($B36,'Rate card'!$A$4:$G1005,5,FALSE)</f>
        <v>MRply + ply framing + finish mirror</v>
      </c>
      <c r="G36" s="71" t="str">
        <f>VLOOKUP($B36,'Rate card'!$A$4:$G1005,6,FALSE)</f>
        <v>Ls</v>
      </c>
      <c r="H36" s="150">
        <f>VLOOKUP($B36,'Rate card'!$A$4:$J1005,8,FALSE)</f>
        <v>7000</v>
      </c>
      <c r="I36" s="180" t="s">
        <v>70</v>
      </c>
      <c r="J36" s="154" t="s">
        <v>16</v>
      </c>
      <c r="K36" s="146">
        <f>H36*J36</f>
        <v>7000</v>
      </c>
      <c r="L36" s="154" t="s">
        <v>16</v>
      </c>
      <c r="M36" s="147"/>
      <c r="N36" s="150">
        <f t="shared" si="12"/>
        <v>7000</v>
      </c>
      <c r="O36" s="150" t="s">
        <v>281</v>
      </c>
      <c r="P36" s="147"/>
      <c r="Q36" s="147"/>
      <c r="R36" s="147"/>
      <c r="S36" s="147"/>
      <c r="T36" s="147"/>
      <c r="U36" s="147"/>
      <c r="V36" s="147"/>
      <c r="W36" s="147"/>
      <c r="X36" s="147"/>
      <c r="Y36" s="147"/>
      <c r="Z36" s="148"/>
      <c r="AA36" s="148"/>
      <c r="AB36" s="148"/>
      <c r="AC36" s="148"/>
    </row>
    <row r="37">
      <c r="A37" s="140" t="s">
        <v>284</v>
      </c>
      <c r="B37" s="141"/>
      <c r="C37" s="141"/>
      <c r="D37" s="141"/>
      <c r="E37" s="141"/>
      <c r="F37" s="141"/>
      <c r="G37" s="141"/>
      <c r="H37" s="143"/>
      <c r="I37" s="167"/>
      <c r="J37" s="144"/>
      <c r="K37" s="143"/>
      <c r="L37" s="144"/>
      <c r="M37" s="141"/>
      <c r="N37" s="141"/>
      <c r="O37" s="141"/>
      <c r="P37" s="147"/>
      <c r="Q37" s="147"/>
      <c r="R37" s="147"/>
      <c r="S37" s="147"/>
      <c r="T37" s="147"/>
      <c r="U37" s="147"/>
      <c r="V37" s="147"/>
      <c r="W37" s="147"/>
      <c r="X37" s="147"/>
      <c r="Y37" s="147"/>
      <c r="Z37" s="148"/>
      <c r="AA37" s="148"/>
      <c r="AB37" s="148"/>
      <c r="AC37" s="148"/>
    </row>
    <row r="38">
      <c r="A38" s="149" t="s">
        <v>16</v>
      </c>
      <c r="B38" s="150" t="s">
        <v>280</v>
      </c>
      <c r="C38" s="71" t="str">
        <f>VLOOKUP($B38,'Rate card'!$A$4:$G1005,2,FALSE)</f>
        <v>Carpentry</v>
      </c>
      <c r="D38" s="170" t="str">
        <f>VLOOKUP($B38,'Rate card'!$A$4:$G1005,3,FALSE)</f>
        <v>Mirror panelling</v>
      </c>
      <c r="E38" s="170" t="str">
        <f>VLOOKUP($B38,'Rate card'!$A$4:$G1005,4,FALSE)</f>
        <v>Mirror finish</v>
      </c>
      <c r="F38" s="170" t="str">
        <f>VLOOKUP($B38,'Rate card'!$A$4:$G1005,5,FALSE)</f>
        <v>MRply + ply framing + finish mirror</v>
      </c>
      <c r="G38" s="71" t="str">
        <f>VLOOKUP($B38,'Rate card'!$A$4:$G1005,6,FALSE)</f>
        <v>Ls</v>
      </c>
      <c r="H38" s="150">
        <f>VLOOKUP($B38,'Rate card'!$A$4:$J1005,8,FALSE)</f>
        <v>7000</v>
      </c>
      <c r="I38" s="180" t="s">
        <v>70</v>
      </c>
      <c r="J38" s="154" t="s">
        <v>16</v>
      </c>
      <c r="K38" s="146">
        <f>H38*J38</f>
        <v>7000</v>
      </c>
      <c r="L38" s="154" t="s">
        <v>16</v>
      </c>
      <c r="M38" s="147"/>
      <c r="N38" s="150">
        <f t="shared" ref="N38:N40" si="13">L38*H38</f>
        <v>7000</v>
      </c>
      <c r="O38" s="150" t="s">
        <v>281</v>
      </c>
      <c r="P38" s="147"/>
      <c r="Q38" s="147"/>
      <c r="R38" s="147"/>
      <c r="S38" s="147"/>
      <c r="T38" s="147"/>
      <c r="U38" s="147"/>
      <c r="V38" s="147"/>
      <c r="W38" s="147"/>
      <c r="X38" s="147"/>
      <c r="Y38" s="147"/>
      <c r="Z38" s="148"/>
      <c r="AA38" s="148"/>
      <c r="AB38" s="148"/>
      <c r="AC38" s="148"/>
    </row>
    <row r="39">
      <c r="A39" s="140" t="s">
        <v>285</v>
      </c>
      <c r="B39" s="141"/>
      <c r="C39" s="141"/>
      <c r="D39" s="141"/>
      <c r="E39" s="141"/>
      <c r="F39" s="141"/>
      <c r="G39" s="141"/>
      <c r="H39" s="143"/>
      <c r="I39" s="167"/>
      <c r="J39" s="144"/>
      <c r="K39" s="143"/>
      <c r="L39" s="144"/>
      <c r="M39" s="141"/>
      <c r="N39" s="168">
        <f t="shared" si="13"/>
        <v>0</v>
      </c>
      <c r="O39" s="141"/>
      <c r="P39" s="147"/>
      <c r="Q39" s="147"/>
      <c r="R39" s="147"/>
      <c r="S39" s="147"/>
      <c r="T39" s="147"/>
      <c r="U39" s="147"/>
      <c r="V39" s="147"/>
      <c r="W39" s="147"/>
      <c r="X39" s="147"/>
      <c r="Y39" s="147"/>
      <c r="Z39" s="148"/>
      <c r="AA39" s="148"/>
      <c r="AB39" s="148"/>
      <c r="AC39" s="148"/>
    </row>
    <row r="40">
      <c r="A40" s="149" t="s">
        <v>16</v>
      </c>
      <c r="B40" s="150" t="s">
        <v>280</v>
      </c>
      <c r="C40" s="71" t="str">
        <f>VLOOKUP($B40,'Rate card'!$A$4:$G1005,2,FALSE)</f>
        <v>Carpentry</v>
      </c>
      <c r="D40" s="170" t="str">
        <f>VLOOKUP($B40,'Rate card'!$A$4:$G1005,3,FALSE)</f>
        <v>Mirror panelling</v>
      </c>
      <c r="E40" s="170" t="str">
        <f>VLOOKUP($B40,'Rate card'!$A$4:$G1005,4,FALSE)</f>
        <v>Mirror finish</v>
      </c>
      <c r="F40" s="170" t="str">
        <f>VLOOKUP($B40,'Rate card'!$A$4:$G1005,5,FALSE)</f>
        <v>MRply + ply framing + finish mirror</v>
      </c>
      <c r="G40" s="71" t="str">
        <f>VLOOKUP($B40,'Rate card'!$A$4:$G1005,6,FALSE)</f>
        <v>Ls</v>
      </c>
      <c r="H40" s="150">
        <f>VLOOKUP($B40,'Rate card'!$A$4:$J1005,8,FALSE)</f>
        <v>7000</v>
      </c>
      <c r="I40" s="180" t="s">
        <v>70</v>
      </c>
      <c r="J40" s="154" t="s">
        <v>16</v>
      </c>
      <c r="K40" s="146">
        <f>H40*J40</f>
        <v>7000</v>
      </c>
      <c r="L40" s="154" t="s">
        <v>16</v>
      </c>
      <c r="M40" s="147"/>
      <c r="N40" s="150">
        <f t="shared" si="13"/>
        <v>7000</v>
      </c>
      <c r="O40" s="150" t="s">
        <v>281</v>
      </c>
      <c r="P40" s="147"/>
      <c r="Q40" s="147"/>
      <c r="R40" s="147"/>
      <c r="S40" s="147"/>
      <c r="T40" s="147"/>
      <c r="U40" s="147"/>
      <c r="V40" s="147"/>
      <c r="W40" s="147"/>
      <c r="X40" s="147"/>
      <c r="Y40" s="147"/>
      <c r="Z40" s="148"/>
      <c r="AA40" s="148"/>
      <c r="AB40" s="148"/>
      <c r="AC40" s="148"/>
    </row>
    <row r="41">
      <c r="A41" s="140" t="s">
        <v>286</v>
      </c>
      <c r="B41" s="141"/>
      <c r="C41" s="141"/>
      <c r="D41" s="141"/>
      <c r="E41" s="141"/>
      <c r="F41" s="141"/>
      <c r="G41" s="141"/>
      <c r="H41" s="143"/>
      <c r="I41" s="167"/>
      <c r="J41" s="144"/>
      <c r="K41" s="143"/>
      <c r="L41" s="144"/>
      <c r="M41" s="141"/>
      <c r="N41" s="141"/>
      <c r="O41" s="141"/>
      <c r="P41" s="147"/>
      <c r="Q41" s="147"/>
      <c r="R41" s="147"/>
      <c r="S41" s="147"/>
      <c r="T41" s="147"/>
      <c r="U41" s="147"/>
      <c r="V41" s="147"/>
      <c r="W41" s="147"/>
      <c r="X41" s="147"/>
      <c r="Y41" s="147"/>
      <c r="Z41" s="148"/>
      <c r="AA41" s="148"/>
      <c r="AB41" s="148"/>
      <c r="AC41" s="148"/>
    </row>
    <row r="42">
      <c r="A42" s="149" t="s">
        <v>16</v>
      </c>
      <c r="B42" s="150" t="s">
        <v>280</v>
      </c>
      <c r="C42" s="71" t="str">
        <f>VLOOKUP($B42,'Rate card'!$A$4:$G1005,2,FALSE)</f>
        <v>Carpentry</v>
      </c>
      <c r="D42" s="170" t="str">
        <f>VLOOKUP($B42,'Rate card'!$A$4:$G1005,3,FALSE)</f>
        <v>Mirror panelling</v>
      </c>
      <c r="E42" s="170" t="str">
        <f>VLOOKUP($B42,'Rate card'!$A$4:$G1005,4,FALSE)</f>
        <v>Mirror finish</v>
      </c>
      <c r="F42" s="170" t="str">
        <f>VLOOKUP($B42,'Rate card'!$A$4:$G1005,5,FALSE)</f>
        <v>MRply + ply framing + finish mirror</v>
      </c>
      <c r="G42" s="71" t="str">
        <f>VLOOKUP($B42,'Rate card'!$A$4:$G1005,6,FALSE)</f>
        <v>Ls</v>
      </c>
      <c r="H42" s="150">
        <f>VLOOKUP($B42,'Rate card'!$A$4:$J1005,8,FALSE)</f>
        <v>7000</v>
      </c>
      <c r="I42" s="180" t="s">
        <v>70</v>
      </c>
      <c r="J42" s="154" t="s">
        <v>16</v>
      </c>
      <c r="K42" s="146">
        <f>H42*J42</f>
        <v>7000</v>
      </c>
      <c r="L42" s="154" t="s">
        <v>16</v>
      </c>
      <c r="M42" s="147"/>
      <c r="N42" s="150">
        <f>L42*H42</f>
        <v>7000</v>
      </c>
      <c r="O42" s="150" t="s">
        <v>281</v>
      </c>
      <c r="P42" s="147"/>
      <c r="Q42" s="147"/>
      <c r="R42" s="147"/>
      <c r="S42" s="147"/>
      <c r="T42" s="147"/>
      <c r="U42" s="147"/>
      <c r="V42" s="147"/>
      <c r="W42" s="147"/>
      <c r="X42" s="147"/>
      <c r="Y42" s="147"/>
      <c r="Z42" s="148"/>
      <c r="AA42" s="148"/>
      <c r="AB42" s="148"/>
      <c r="AC42" s="148"/>
    </row>
    <row r="43">
      <c r="A43" s="650" t="s">
        <v>760</v>
      </c>
      <c r="B43" s="651"/>
      <c r="C43" s="651"/>
      <c r="D43" s="651"/>
      <c r="E43" s="651"/>
      <c r="F43" s="651"/>
      <c r="G43" s="651"/>
      <c r="H43" s="651"/>
      <c r="I43" s="562"/>
      <c r="J43" s="651"/>
      <c r="K43" s="651"/>
      <c r="L43" s="651"/>
      <c r="M43" s="651"/>
      <c r="N43" s="651"/>
      <c r="O43" s="651"/>
      <c r="P43" s="651"/>
    </row>
    <row r="44">
      <c r="A44" s="188">
        <v>1.0</v>
      </c>
      <c r="B44" s="189"/>
      <c r="C44" s="72" t="s">
        <v>547</v>
      </c>
      <c r="D44" s="149" t="s">
        <v>761</v>
      </c>
      <c r="E44" s="188" t="s">
        <v>762</v>
      </c>
      <c r="F44" s="652" t="s">
        <v>763</v>
      </c>
      <c r="G44" s="188" t="s">
        <v>339</v>
      </c>
      <c r="H44" s="189"/>
      <c r="I44" s="190">
        <v>500.0</v>
      </c>
      <c r="J44" s="188">
        <v>4.0</v>
      </c>
      <c r="K44" s="189"/>
      <c r="L44" s="189"/>
      <c r="M44" s="189"/>
      <c r="N44" s="189"/>
      <c r="O44" s="189"/>
      <c r="P44" s="189"/>
    </row>
    <row r="45">
      <c r="I45" s="38"/>
    </row>
    <row r="46">
      <c r="I46" s="38"/>
    </row>
    <row r="47">
      <c r="I47" s="38"/>
    </row>
    <row r="48">
      <c r="I48" s="38"/>
    </row>
    <row r="49">
      <c r="I49" s="38"/>
    </row>
    <row r="50">
      <c r="I50" s="38"/>
    </row>
    <row r="51">
      <c r="I51" s="38"/>
    </row>
    <row r="52">
      <c r="I52" s="38"/>
    </row>
    <row r="53">
      <c r="I53" s="38"/>
    </row>
    <row r="54">
      <c r="I54" s="38"/>
    </row>
    <row r="55">
      <c r="I55" s="38"/>
    </row>
    <row r="56">
      <c r="I56" s="38"/>
    </row>
    <row r="57">
      <c r="I57" s="38"/>
    </row>
    <row r="58">
      <c r="I58" s="38"/>
    </row>
    <row r="59">
      <c r="I59" s="38"/>
    </row>
    <row r="60">
      <c r="I60" s="38"/>
    </row>
    <row r="61">
      <c r="I61" s="38"/>
    </row>
    <row r="62">
      <c r="I62" s="38"/>
    </row>
    <row r="63">
      <c r="I63" s="38"/>
    </row>
    <row r="64">
      <c r="I64" s="38"/>
    </row>
    <row r="65">
      <c r="I65" s="38"/>
    </row>
    <row r="66">
      <c r="I66" s="38"/>
    </row>
    <row r="67">
      <c r="I67" s="38"/>
    </row>
    <row r="68">
      <c r="I68" s="38"/>
    </row>
    <row r="69">
      <c r="I69" s="38"/>
    </row>
    <row r="70">
      <c r="I70" s="38"/>
    </row>
    <row r="71">
      <c r="I71" s="38"/>
    </row>
    <row r="72">
      <c r="I72" s="38"/>
    </row>
    <row r="73">
      <c r="I73" s="38"/>
    </row>
    <row r="74">
      <c r="I74" s="38"/>
    </row>
    <row r="75">
      <c r="I75" s="38"/>
    </row>
    <row r="76">
      <c r="I76" s="38"/>
    </row>
    <row r="77">
      <c r="I77" s="38"/>
    </row>
    <row r="78">
      <c r="I78" s="38"/>
    </row>
    <row r="79">
      <c r="I79" s="38"/>
    </row>
    <row r="80">
      <c r="I80" s="38"/>
    </row>
    <row r="81">
      <c r="I81" s="38"/>
    </row>
    <row r="82">
      <c r="I82" s="38"/>
    </row>
    <row r="83">
      <c r="I83" s="38"/>
    </row>
    <row r="84">
      <c r="I84" s="38"/>
    </row>
    <row r="85">
      <c r="I85" s="38"/>
    </row>
    <row r="86">
      <c r="I86" s="38"/>
    </row>
    <row r="87">
      <c r="I87" s="38"/>
    </row>
    <row r="88">
      <c r="I88" s="38"/>
    </row>
    <row r="89">
      <c r="I89" s="38"/>
    </row>
    <row r="90">
      <c r="I90" s="38"/>
    </row>
    <row r="91">
      <c r="I91" s="38"/>
    </row>
    <row r="92">
      <c r="I92" s="38"/>
    </row>
    <row r="93">
      <c r="I93" s="38"/>
    </row>
    <row r="94">
      <c r="I94" s="38"/>
    </row>
    <row r="95">
      <c r="I95" s="38"/>
    </row>
    <row r="96">
      <c r="I96" s="38"/>
    </row>
    <row r="97">
      <c r="I97" s="38"/>
    </row>
    <row r="98">
      <c r="I98" s="38"/>
    </row>
    <row r="99">
      <c r="I99" s="38"/>
    </row>
    <row r="100">
      <c r="I100" s="38"/>
    </row>
    <row r="101">
      <c r="I101" s="38"/>
    </row>
    <row r="102">
      <c r="I102" s="38"/>
    </row>
    <row r="103">
      <c r="I103" s="38"/>
    </row>
    <row r="104">
      <c r="I104" s="38"/>
    </row>
    <row r="105">
      <c r="I105" s="38"/>
    </row>
    <row r="106">
      <c r="I106" s="38"/>
    </row>
    <row r="107">
      <c r="I107" s="38"/>
    </row>
    <row r="108">
      <c r="I108" s="38"/>
    </row>
    <row r="109">
      <c r="I109" s="38"/>
    </row>
    <row r="110">
      <c r="I110" s="38"/>
    </row>
    <row r="111">
      <c r="I111" s="38"/>
    </row>
    <row r="112">
      <c r="I112" s="38"/>
    </row>
    <row r="113">
      <c r="I113" s="38"/>
    </row>
    <row r="114">
      <c r="I114" s="38"/>
    </row>
    <row r="115">
      <c r="I115" s="38"/>
    </row>
    <row r="116">
      <c r="I116" s="38"/>
    </row>
    <row r="117">
      <c r="I117" s="38"/>
    </row>
    <row r="118">
      <c r="I118" s="38"/>
    </row>
    <row r="119">
      <c r="I119" s="38"/>
    </row>
    <row r="120">
      <c r="I120" s="38"/>
    </row>
    <row r="121">
      <c r="I121" s="38"/>
    </row>
    <row r="122">
      <c r="I122" s="38"/>
    </row>
    <row r="123">
      <c r="I123" s="38"/>
    </row>
    <row r="124">
      <c r="I124" s="38"/>
    </row>
    <row r="125">
      <c r="I125" s="38"/>
    </row>
    <row r="126">
      <c r="I126" s="38"/>
    </row>
    <row r="127">
      <c r="I127" s="38"/>
    </row>
    <row r="128">
      <c r="I128" s="38"/>
    </row>
    <row r="129">
      <c r="I129" s="38"/>
    </row>
    <row r="130">
      <c r="I130" s="38"/>
    </row>
    <row r="131">
      <c r="I131" s="38"/>
    </row>
    <row r="132">
      <c r="I132" s="38"/>
    </row>
    <row r="133">
      <c r="I133" s="38"/>
    </row>
    <row r="134">
      <c r="I134" s="38"/>
    </row>
    <row r="135">
      <c r="I135" s="38"/>
    </row>
    <row r="136">
      <c r="I136" s="38"/>
    </row>
    <row r="137">
      <c r="I137" s="38"/>
    </row>
    <row r="138">
      <c r="I138" s="38"/>
    </row>
    <row r="139">
      <c r="I139" s="38"/>
    </row>
    <row r="140">
      <c r="I140" s="38"/>
    </row>
    <row r="141">
      <c r="I141" s="38"/>
    </row>
    <row r="142">
      <c r="I142" s="38"/>
    </row>
    <row r="143">
      <c r="I143" s="38"/>
    </row>
    <row r="144">
      <c r="I144" s="38"/>
    </row>
    <row r="145">
      <c r="I145" s="38"/>
    </row>
    <row r="146">
      <c r="I146" s="38"/>
    </row>
    <row r="147">
      <c r="I147" s="38"/>
    </row>
    <row r="148">
      <c r="I148" s="38"/>
    </row>
    <row r="149">
      <c r="I149" s="38"/>
    </row>
    <row r="150">
      <c r="I150" s="38"/>
    </row>
    <row r="151">
      <c r="I151" s="38"/>
    </row>
    <row r="152">
      <c r="I152" s="38"/>
    </row>
    <row r="153">
      <c r="I153" s="38"/>
    </row>
    <row r="154">
      <c r="I154" s="38"/>
    </row>
    <row r="155">
      <c r="I155" s="38"/>
    </row>
    <row r="156">
      <c r="I156" s="38"/>
    </row>
    <row r="157">
      <c r="I157" s="38"/>
    </row>
    <row r="158">
      <c r="I158" s="38"/>
    </row>
    <row r="159">
      <c r="I159" s="38"/>
    </row>
    <row r="160">
      <c r="I160" s="38"/>
    </row>
    <row r="161">
      <c r="I161" s="38"/>
    </row>
    <row r="162">
      <c r="I162" s="38"/>
    </row>
    <row r="163">
      <c r="I163" s="38"/>
    </row>
    <row r="164">
      <c r="I164" s="38"/>
    </row>
    <row r="165">
      <c r="I165" s="38"/>
    </row>
    <row r="166">
      <c r="I166" s="38"/>
    </row>
    <row r="167">
      <c r="I167" s="38"/>
    </row>
    <row r="168">
      <c r="I168" s="38"/>
    </row>
    <row r="169">
      <c r="I169" s="38"/>
    </row>
    <row r="170">
      <c r="I170" s="38"/>
    </row>
    <row r="171">
      <c r="I171" s="38"/>
    </row>
    <row r="172">
      <c r="I172" s="38"/>
    </row>
    <row r="173">
      <c r="I173" s="38"/>
    </row>
    <row r="174">
      <c r="I174" s="38"/>
    </row>
    <row r="175">
      <c r="I175" s="38"/>
    </row>
    <row r="176">
      <c r="I176" s="38"/>
    </row>
    <row r="177">
      <c r="I177" s="38"/>
    </row>
    <row r="178">
      <c r="I178" s="38"/>
    </row>
    <row r="179">
      <c r="I179" s="38"/>
    </row>
    <row r="180">
      <c r="I180" s="38"/>
    </row>
    <row r="181">
      <c r="I181" s="38"/>
    </row>
    <row r="182">
      <c r="I182" s="38"/>
    </row>
    <row r="183">
      <c r="I183" s="38"/>
    </row>
    <row r="184">
      <c r="I184" s="38"/>
    </row>
    <row r="185">
      <c r="I185" s="38"/>
    </row>
    <row r="186">
      <c r="I186" s="38"/>
    </row>
    <row r="187">
      <c r="I187" s="38"/>
    </row>
    <row r="188">
      <c r="I188" s="38"/>
    </row>
    <row r="189">
      <c r="I189" s="38"/>
    </row>
    <row r="190">
      <c r="I190" s="38"/>
    </row>
    <row r="191">
      <c r="I191" s="38"/>
    </row>
    <row r="192">
      <c r="I192" s="38"/>
    </row>
    <row r="193">
      <c r="I193" s="38"/>
    </row>
    <row r="194">
      <c r="I194" s="38"/>
    </row>
    <row r="195">
      <c r="I195" s="38"/>
    </row>
    <row r="196">
      <c r="I196" s="38"/>
    </row>
    <row r="197">
      <c r="I197" s="38"/>
    </row>
    <row r="198">
      <c r="I198" s="38"/>
    </row>
    <row r="199">
      <c r="I199" s="38"/>
    </row>
    <row r="200">
      <c r="I200" s="38"/>
    </row>
    <row r="201">
      <c r="I201" s="38"/>
    </row>
    <row r="202">
      <c r="I202" s="38"/>
    </row>
    <row r="203">
      <c r="I203" s="38"/>
    </row>
    <row r="204">
      <c r="I204" s="38"/>
    </row>
    <row r="205">
      <c r="I205" s="38"/>
    </row>
    <row r="206">
      <c r="I206" s="38"/>
    </row>
    <row r="207">
      <c r="I207" s="38"/>
    </row>
    <row r="208">
      <c r="I208" s="38"/>
    </row>
    <row r="209">
      <c r="I209" s="38"/>
    </row>
    <row r="210">
      <c r="I210" s="38"/>
    </row>
    <row r="211">
      <c r="I211" s="38"/>
    </row>
    <row r="212">
      <c r="I212" s="38"/>
    </row>
    <row r="213">
      <c r="I213" s="38"/>
    </row>
    <row r="214">
      <c r="I214" s="38"/>
    </row>
    <row r="215">
      <c r="I215" s="38"/>
    </row>
    <row r="216">
      <c r="I216" s="38"/>
    </row>
    <row r="217">
      <c r="I217" s="38"/>
    </row>
    <row r="218">
      <c r="I218" s="38"/>
    </row>
    <row r="219">
      <c r="I219" s="38"/>
    </row>
    <row r="220">
      <c r="I220" s="38"/>
    </row>
    <row r="221">
      <c r="I221" s="38"/>
    </row>
    <row r="222">
      <c r="I222" s="38"/>
    </row>
    <row r="223">
      <c r="I223" s="38"/>
    </row>
    <row r="224">
      <c r="I224" s="38"/>
    </row>
    <row r="225">
      <c r="I225" s="38"/>
    </row>
    <row r="226">
      <c r="I226" s="38"/>
    </row>
    <row r="227">
      <c r="I227" s="38"/>
    </row>
    <row r="228">
      <c r="I228" s="38"/>
    </row>
    <row r="229">
      <c r="I229" s="38"/>
    </row>
    <row r="230">
      <c r="I230" s="38"/>
    </row>
    <row r="231">
      <c r="I231" s="38"/>
    </row>
    <row r="232">
      <c r="I232" s="38"/>
    </row>
    <row r="233">
      <c r="I233" s="38"/>
    </row>
    <row r="234">
      <c r="I234" s="38"/>
    </row>
    <row r="235">
      <c r="I235" s="38"/>
    </row>
    <row r="236">
      <c r="I236" s="38"/>
    </row>
    <row r="237">
      <c r="I237" s="38"/>
    </row>
    <row r="238">
      <c r="I238" s="38"/>
    </row>
    <row r="239">
      <c r="I239" s="38"/>
    </row>
    <row r="240">
      <c r="I240" s="38"/>
    </row>
    <row r="241">
      <c r="I241" s="38"/>
    </row>
    <row r="242">
      <c r="I242" s="38"/>
    </row>
    <row r="243">
      <c r="I243" s="38"/>
    </row>
    <row r="244">
      <c r="I244" s="38"/>
    </row>
    <row r="245">
      <c r="I245" s="38"/>
    </row>
    <row r="246">
      <c r="I246" s="38"/>
    </row>
    <row r="247">
      <c r="I247" s="38"/>
    </row>
    <row r="248">
      <c r="I248" s="38"/>
    </row>
    <row r="249">
      <c r="I249" s="38"/>
    </row>
    <row r="250">
      <c r="I250" s="38"/>
    </row>
    <row r="251">
      <c r="I251" s="38"/>
    </row>
    <row r="252">
      <c r="I252" s="38"/>
    </row>
    <row r="253">
      <c r="I253" s="38"/>
    </row>
    <row r="254">
      <c r="I254" s="38"/>
    </row>
    <row r="255">
      <c r="I255" s="38"/>
    </row>
    <row r="256">
      <c r="I256" s="38"/>
    </row>
    <row r="257">
      <c r="I257" s="38"/>
    </row>
    <row r="258">
      <c r="I258" s="38"/>
    </row>
    <row r="259">
      <c r="I259" s="38"/>
    </row>
    <row r="260">
      <c r="I260" s="38"/>
    </row>
    <row r="261">
      <c r="I261" s="38"/>
    </row>
    <row r="262">
      <c r="I262" s="38"/>
    </row>
    <row r="263">
      <c r="I263" s="38"/>
    </row>
    <row r="264">
      <c r="I264" s="38"/>
    </row>
    <row r="265">
      <c r="I265" s="38"/>
    </row>
    <row r="266">
      <c r="I266" s="38"/>
    </row>
    <row r="267">
      <c r="I267" s="38"/>
    </row>
    <row r="268">
      <c r="I268" s="38"/>
    </row>
    <row r="269">
      <c r="I269" s="38"/>
    </row>
    <row r="270">
      <c r="I270" s="38"/>
    </row>
    <row r="271">
      <c r="I271" s="38"/>
    </row>
    <row r="272">
      <c r="I272" s="38"/>
    </row>
    <row r="273">
      <c r="I273" s="38"/>
    </row>
    <row r="274">
      <c r="I274" s="38"/>
    </row>
    <row r="275">
      <c r="I275" s="38"/>
    </row>
    <row r="276">
      <c r="I276" s="38"/>
    </row>
    <row r="277">
      <c r="I277" s="38"/>
    </row>
    <row r="278">
      <c r="I278" s="38"/>
    </row>
    <row r="279">
      <c r="I279" s="38"/>
    </row>
    <row r="280">
      <c r="I280" s="38"/>
    </row>
    <row r="281">
      <c r="I281" s="38"/>
    </row>
    <row r="282">
      <c r="I282" s="38"/>
    </row>
    <row r="283">
      <c r="I283" s="38"/>
    </row>
    <row r="284">
      <c r="I284" s="38"/>
    </row>
    <row r="285">
      <c r="I285" s="38"/>
    </row>
    <row r="286">
      <c r="I286" s="38"/>
    </row>
    <row r="287">
      <c r="I287" s="38"/>
    </row>
    <row r="288">
      <c r="I288" s="38"/>
    </row>
    <row r="289">
      <c r="I289" s="38"/>
    </row>
    <row r="290">
      <c r="I290" s="38"/>
    </row>
    <row r="291">
      <c r="I291" s="38"/>
    </row>
    <row r="292">
      <c r="I292" s="38"/>
    </row>
    <row r="293">
      <c r="I293" s="38"/>
    </row>
    <row r="294">
      <c r="I294" s="38"/>
    </row>
    <row r="295">
      <c r="I295" s="38"/>
    </row>
    <row r="296">
      <c r="I296" s="38"/>
    </row>
    <row r="297">
      <c r="I297" s="38"/>
    </row>
    <row r="298">
      <c r="I298" s="38"/>
    </row>
    <row r="299">
      <c r="I299" s="38"/>
    </row>
    <row r="300">
      <c r="I300" s="38"/>
    </row>
    <row r="301">
      <c r="I301" s="38"/>
    </row>
    <row r="302">
      <c r="I302" s="38"/>
    </row>
    <row r="303">
      <c r="I303" s="38"/>
    </row>
    <row r="304">
      <c r="I304" s="38"/>
    </row>
    <row r="305">
      <c r="I305" s="38"/>
    </row>
    <row r="306">
      <c r="I306" s="38"/>
    </row>
    <row r="307">
      <c r="I307" s="38"/>
    </row>
    <row r="308">
      <c r="I308" s="38"/>
    </row>
    <row r="309">
      <c r="I309" s="38"/>
    </row>
    <row r="310">
      <c r="I310" s="38"/>
    </row>
    <row r="311">
      <c r="I311" s="38"/>
    </row>
    <row r="312">
      <c r="I312" s="38"/>
    </row>
    <row r="313">
      <c r="I313" s="38"/>
    </row>
    <row r="314">
      <c r="I314" s="38"/>
    </row>
    <row r="315">
      <c r="I315" s="38"/>
    </row>
    <row r="316">
      <c r="I316" s="38"/>
    </row>
    <row r="317">
      <c r="I317" s="38"/>
    </row>
    <row r="318">
      <c r="I318" s="38"/>
    </row>
    <row r="319">
      <c r="I319" s="38"/>
    </row>
    <row r="320">
      <c r="I320" s="38"/>
    </row>
    <row r="321">
      <c r="I321" s="38"/>
    </row>
    <row r="322">
      <c r="I322" s="38"/>
    </row>
    <row r="323">
      <c r="I323" s="38"/>
    </row>
    <row r="324">
      <c r="I324" s="38"/>
    </row>
    <row r="325">
      <c r="I325" s="38"/>
    </row>
    <row r="326">
      <c r="I326" s="38"/>
    </row>
    <row r="327">
      <c r="I327" s="38"/>
    </row>
    <row r="328">
      <c r="I328" s="38"/>
    </row>
    <row r="329">
      <c r="I329" s="38"/>
    </row>
    <row r="330">
      <c r="I330" s="38"/>
    </row>
    <row r="331">
      <c r="I331" s="38"/>
    </row>
    <row r="332">
      <c r="I332" s="38"/>
    </row>
    <row r="333">
      <c r="I333" s="38"/>
    </row>
    <row r="334">
      <c r="I334" s="38"/>
    </row>
    <row r="335">
      <c r="I335" s="38"/>
    </row>
    <row r="336">
      <c r="I336" s="38"/>
    </row>
    <row r="337">
      <c r="I337" s="38"/>
    </row>
    <row r="338">
      <c r="I338" s="38"/>
    </row>
    <row r="339">
      <c r="I339" s="38"/>
    </row>
    <row r="340">
      <c r="I340" s="38"/>
    </row>
    <row r="341">
      <c r="I341" s="38"/>
    </row>
    <row r="342">
      <c r="I342" s="38"/>
    </row>
    <row r="343">
      <c r="I343" s="38"/>
    </row>
    <row r="344">
      <c r="I344" s="38"/>
    </row>
    <row r="345">
      <c r="I345" s="38"/>
    </row>
    <row r="346">
      <c r="I346" s="38"/>
    </row>
    <row r="347">
      <c r="I347" s="38"/>
    </row>
    <row r="348">
      <c r="I348" s="38"/>
    </row>
    <row r="349">
      <c r="I349" s="38"/>
    </row>
    <row r="350">
      <c r="I350" s="38"/>
    </row>
    <row r="351">
      <c r="I351" s="38"/>
    </row>
    <row r="352">
      <c r="I352" s="38"/>
    </row>
    <row r="353">
      <c r="I353" s="38"/>
    </row>
    <row r="354">
      <c r="I354" s="38"/>
    </row>
    <row r="355">
      <c r="I355" s="38"/>
    </row>
    <row r="356">
      <c r="I356" s="38"/>
    </row>
    <row r="357">
      <c r="I357" s="38"/>
    </row>
    <row r="358">
      <c r="I358" s="38"/>
    </row>
    <row r="359">
      <c r="I359" s="38"/>
    </row>
    <row r="360">
      <c r="I360" s="38"/>
    </row>
    <row r="361">
      <c r="I361" s="38"/>
    </row>
    <row r="362">
      <c r="I362" s="38"/>
    </row>
    <row r="363">
      <c r="I363" s="38"/>
    </row>
    <row r="364">
      <c r="I364" s="38"/>
    </row>
    <row r="365">
      <c r="I365" s="38"/>
    </row>
    <row r="366">
      <c r="I366" s="38"/>
    </row>
    <row r="367">
      <c r="I367" s="38"/>
    </row>
    <row r="368">
      <c r="I368" s="38"/>
    </row>
    <row r="369">
      <c r="I369" s="38"/>
    </row>
    <row r="370">
      <c r="I370" s="38"/>
    </row>
    <row r="371">
      <c r="I371" s="38"/>
    </row>
    <row r="372">
      <c r="I372" s="38"/>
    </row>
    <row r="373">
      <c r="I373" s="38"/>
    </row>
    <row r="374">
      <c r="I374" s="38"/>
    </row>
    <row r="375">
      <c r="I375" s="38"/>
    </row>
    <row r="376">
      <c r="I376" s="38"/>
    </row>
    <row r="377">
      <c r="I377" s="38"/>
    </row>
    <row r="378">
      <c r="I378" s="38"/>
    </row>
    <row r="379">
      <c r="I379" s="38"/>
    </row>
    <row r="380">
      <c r="I380" s="38"/>
    </row>
    <row r="381">
      <c r="I381" s="38"/>
    </row>
    <row r="382">
      <c r="I382" s="38"/>
    </row>
    <row r="383">
      <c r="I383" s="38"/>
    </row>
    <row r="384">
      <c r="I384" s="38"/>
    </row>
    <row r="385">
      <c r="I385" s="38"/>
    </row>
    <row r="386">
      <c r="I386" s="38"/>
    </row>
    <row r="387">
      <c r="I387" s="38"/>
    </row>
    <row r="388">
      <c r="I388" s="38"/>
    </row>
    <row r="389">
      <c r="I389" s="38"/>
    </row>
    <row r="390">
      <c r="I390" s="38"/>
    </row>
    <row r="391">
      <c r="I391" s="38"/>
    </row>
    <row r="392">
      <c r="I392" s="38"/>
    </row>
    <row r="393">
      <c r="I393" s="38"/>
    </row>
    <row r="394">
      <c r="I394" s="38"/>
    </row>
    <row r="395">
      <c r="I395" s="38"/>
    </row>
    <row r="396">
      <c r="I396" s="38"/>
    </row>
    <row r="397">
      <c r="I397" s="38"/>
    </row>
    <row r="398">
      <c r="I398" s="38"/>
    </row>
    <row r="399">
      <c r="I399" s="38"/>
    </row>
    <row r="400">
      <c r="I400" s="38"/>
    </row>
    <row r="401">
      <c r="I401" s="38"/>
    </row>
    <row r="402">
      <c r="I402" s="38"/>
    </row>
    <row r="403">
      <c r="I403" s="38"/>
    </row>
    <row r="404">
      <c r="I404" s="38"/>
    </row>
    <row r="405">
      <c r="I405" s="38"/>
    </row>
    <row r="406">
      <c r="I406" s="38"/>
    </row>
    <row r="407">
      <c r="I407" s="38"/>
    </row>
    <row r="408">
      <c r="I408" s="38"/>
    </row>
    <row r="409">
      <c r="I409" s="38"/>
    </row>
    <row r="410">
      <c r="I410" s="38"/>
    </row>
    <row r="411">
      <c r="I411" s="38"/>
    </row>
    <row r="412">
      <c r="I412" s="38"/>
    </row>
    <row r="413">
      <c r="I413" s="38"/>
    </row>
    <row r="414">
      <c r="I414" s="38"/>
    </row>
    <row r="415">
      <c r="I415" s="38"/>
    </row>
    <row r="416">
      <c r="I416" s="38"/>
    </row>
    <row r="417">
      <c r="I417" s="38"/>
    </row>
    <row r="418">
      <c r="I418" s="38"/>
    </row>
    <row r="419">
      <c r="I419" s="38"/>
    </row>
    <row r="420">
      <c r="I420" s="38"/>
    </row>
    <row r="421">
      <c r="I421" s="38"/>
    </row>
    <row r="422">
      <c r="I422" s="38"/>
    </row>
    <row r="423">
      <c r="I423" s="38"/>
    </row>
    <row r="424">
      <c r="I424" s="38"/>
    </row>
    <row r="425">
      <c r="I425" s="38"/>
    </row>
    <row r="426">
      <c r="I426" s="38"/>
    </row>
    <row r="427">
      <c r="I427" s="38"/>
    </row>
    <row r="428">
      <c r="I428" s="38"/>
    </row>
    <row r="429">
      <c r="I429" s="38"/>
    </row>
    <row r="430">
      <c r="I430" s="38"/>
    </row>
    <row r="431">
      <c r="I431" s="38"/>
    </row>
    <row r="432">
      <c r="I432" s="38"/>
    </row>
    <row r="433">
      <c r="I433" s="38"/>
    </row>
    <row r="434">
      <c r="I434" s="38"/>
    </row>
    <row r="435">
      <c r="I435" s="38"/>
    </row>
    <row r="436">
      <c r="I436" s="38"/>
    </row>
    <row r="437">
      <c r="I437" s="38"/>
    </row>
    <row r="438">
      <c r="I438" s="38"/>
    </row>
    <row r="439">
      <c r="I439" s="38"/>
    </row>
    <row r="440">
      <c r="I440" s="38"/>
    </row>
    <row r="441">
      <c r="I441" s="38"/>
    </row>
    <row r="442">
      <c r="I442" s="38"/>
    </row>
    <row r="443">
      <c r="I443" s="38"/>
    </row>
    <row r="444">
      <c r="I444" s="38"/>
    </row>
    <row r="445">
      <c r="I445" s="38"/>
    </row>
    <row r="446">
      <c r="I446" s="38"/>
    </row>
    <row r="447">
      <c r="I447" s="38"/>
    </row>
    <row r="448">
      <c r="I448" s="38"/>
    </row>
    <row r="449">
      <c r="I449" s="38"/>
    </row>
    <row r="450">
      <c r="I450" s="38"/>
    </row>
    <row r="451">
      <c r="I451" s="38"/>
    </row>
    <row r="452">
      <c r="I452" s="38"/>
    </row>
    <row r="453">
      <c r="I453" s="38"/>
    </row>
    <row r="454">
      <c r="I454" s="38"/>
    </row>
    <row r="455">
      <c r="I455" s="38"/>
    </row>
    <row r="456">
      <c r="I456" s="38"/>
    </row>
    <row r="457">
      <c r="I457" s="38"/>
    </row>
    <row r="458">
      <c r="I458" s="38"/>
    </row>
    <row r="459">
      <c r="I459" s="38"/>
    </row>
    <row r="460">
      <c r="I460" s="38"/>
    </row>
    <row r="461">
      <c r="I461" s="38"/>
    </row>
    <row r="462">
      <c r="I462" s="38"/>
    </row>
    <row r="463">
      <c r="I463" s="38"/>
    </row>
    <row r="464">
      <c r="I464" s="38"/>
    </row>
    <row r="465">
      <c r="I465" s="38"/>
    </row>
    <row r="466">
      <c r="I466" s="38"/>
    </row>
    <row r="467">
      <c r="I467" s="38"/>
    </row>
    <row r="468">
      <c r="I468" s="38"/>
    </row>
    <row r="469">
      <c r="I469" s="38"/>
    </row>
    <row r="470">
      <c r="I470" s="38"/>
    </row>
    <row r="471">
      <c r="I471" s="38"/>
    </row>
    <row r="472">
      <c r="I472" s="38"/>
    </row>
    <row r="473">
      <c r="I473" s="38"/>
    </row>
    <row r="474">
      <c r="I474" s="38"/>
    </row>
    <row r="475">
      <c r="I475" s="38"/>
    </row>
    <row r="476">
      <c r="I476" s="38"/>
    </row>
    <row r="477">
      <c r="I477" s="38"/>
    </row>
    <row r="478">
      <c r="I478" s="38"/>
    </row>
    <row r="479">
      <c r="I479" s="38"/>
    </row>
    <row r="480">
      <c r="I480" s="38"/>
    </row>
    <row r="481">
      <c r="I481" s="38"/>
    </row>
    <row r="482">
      <c r="I482" s="38"/>
    </row>
    <row r="483">
      <c r="I483" s="38"/>
    </row>
    <row r="484">
      <c r="I484" s="38"/>
    </row>
    <row r="485">
      <c r="I485" s="38"/>
    </row>
    <row r="486">
      <c r="I486" s="38"/>
    </row>
    <row r="487">
      <c r="I487" s="38"/>
    </row>
    <row r="488">
      <c r="I488" s="38"/>
    </row>
    <row r="489">
      <c r="I489" s="38"/>
    </row>
    <row r="490">
      <c r="I490" s="38"/>
    </row>
    <row r="491">
      <c r="I491" s="38"/>
    </row>
    <row r="492">
      <c r="I492" s="38"/>
    </row>
    <row r="493">
      <c r="I493" s="38"/>
    </row>
    <row r="494">
      <c r="I494" s="38"/>
    </row>
    <row r="495">
      <c r="I495" s="38"/>
    </row>
    <row r="496">
      <c r="I496" s="38"/>
    </row>
    <row r="497">
      <c r="I497" s="38"/>
    </row>
    <row r="498">
      <c r="I498" s="38"/>
    </row>
    <row r="499">
      <c r="I499" s="38"/>
    </row>
    <row r="500">
      <c r="I500" s="38"/>
    </row>
    <row r="501">
      <c r="I501" s="38"/>
    </row>
    <row r="502">
      <c r="I502" s="38"/>
    </row>
    <row r="503">
      <c r="I503" s="38"/>
    </row>
    <row r="504">
      <c r="I504" s="38"/>
    </row>
    <row r="505">
      <c r="I505" s="38"/>
    </row>
    <row r="506">
      <c r="I506" s="38"/>
    </row>
    <row r="507">
      <c r="I507" s="38"/>
    </row>
    <row r="508">
      <c r="I508" s="38"/>
    </row>
    <row r="509">
      <c r="I509" s="38"/>
    </row>
    <row r="510">
      <c r="I510" s="38"/>
    </row>
    <row r="511">
      <c r="I511" s="38"/>
    </row>
    <row r="512">
      <c r="I512" s="38"/>
    </row>
    <row r="513">
      <c r="I513" s="38"/>
    </row>
    <row r="514">
      <c r="I514" s="38"/>
    </row>
    <row r="515">
      <c r="I515" s="38"/>
    </row>
    <row r="516">
      <c r="I516" s="38"/>
    </row>
    <row r="517">
      <c r="I517" s="38"/>
    </row>
    <row r="518">
      <c r="I518" s="38"/>
    </row>
    <row r="519">
      <c r="I519" s="38"/>
    </row>
    <row r="520">
      <c r="I520" s="38"/>
    </row>
    <row r="521">
      <c r="I521" s="38"/>
    </row>
    <row r="522">
      <c r="I522" s="38"/>
    </row>
    <row r="523">
      <c r="I523" s="38"/>
    </row>
    <row r="524">
      <c r="I524" s="38"/>
    </row>
    <row r="525">
      <c r="I525" s="38"/>
    </row>
    <row r="526">
      <c r="I526" s="38"/>
    </row>
    <row r="527">
      <c r="I527" s="38"/>
    </row>
    <row r="528">
      <c r="I528" s="38"/>
    </row>
    <row r="529">
      <c r="I529" s="38"/>
    </row>
    <row r="530">
      <c r="I530" s="38"/>
    </row>
    <row r="531">
      <c r="I531" s="38"/>
    </row>
    <row r="532">
      <c r="I532" s="38"/>
    </row>
    <row r="533">
      <c r="I533" s="38"/>
    </row>
    <row r="534">
      <c r="I534" s="38"/>
    </row>
    <row r="535">
      <c r="I535" s="38"/>
    </row>
    <row r="536">
      <c r="I536" s="38"/>
    </row>
    <row r="537">
      <c r="I537" s="38"/>
    </row>
    <row r="538">
      <c r="I538" s="38"/>
    </row>
    <row r="539">
      <c r="I539" s="38"/>
    </row>
    <row r="540">
      <c r="I540" s="38"/>
    </row>
    <row r="541">
      <c r="I541" s="38"/>
    </row>
    <row r="542">
      <c r="I542" s="38"/>
    </row>
    <row r="543">
      <c r="I543" s="38"/>
    </row>
    <row r="544">
      <c r="I544" s="38"/>
    </row>
    <row r="545">
      <c r="I545" s="38"/>
    </row>
    <row r="546">
      <c r="I546" s="38"/>
    </row>
    <row r="547">
      <c r="I547" s="38"/>
    </row>
    <row r="548">
      <c r="I548" s="38"/>
    </row>
    <row r="549">
      <c r="I549" s="38"/>
    </row>
    <row r="550">
      <c r="I550" s="38"/>
    </row>
    <row r="551">
      <c r="I551" s="38"/>
    </row>
    <row r="552">
      <c r="I552" s="38"/>
    </row>
    <row r="553">
      <c r="I553" s="38"/>
    </row>
    <row r="554">
      <c r="I554" s="38"/>
    </row>
    <row r="555">
      <c r="I555" s="38"/>
    </row>
    <row r="556">
      <c r="I556" s="38"/>
    </row>
    <row r="557">
      <c r="I557" s="38"/>
    </row>
    <row r="558">
      <c r="I558" s="38"/>
    </row>
    <row r="559">
      <c r="I559" s="38"/>
    </row>
    <row r="560">
      <c r="I560" s="38"/>
    </row>
    <row r="561">
      <c r="I561" s="38"/>
    </row>
    <row r="562">
      <c r="I562" s="38"/>
    </row>
    <row r="563">
      <c r="I563" s="38"/>
    </row>
    <row r="564">
      <c r="I564" s="38"/>
    </row>
    <row r="565">
      <c r="I565" s="38"/>
    </row>
    <row r="566">
      <c r="I566" s="38"/>
    </row>
    <row r="567">
      <c r="I567" s="38"/>
    </row>
    <row r="568">
      <c r="I568" s="38"/>
    </row>
    <row r="569">
      <c r="I569" s="38"/>
    </row>
    <row r="570">
      <c r="I570" s="38"/>
    </row>
    <row r="571">
      <c r="I571" s="38"/>
    </row>
    <row r="572">
      <c r="I572" s="38"/>
    </row>
    <row r="573">
      <c r="I573" s="38"/>
    </row>
    <row r="574">
      <c r="I574" s="38"/>
    </row>
    <row r="575">
      <c r="I575" s="38"/>
    </row>
    <row r="576">
      <c r="I576" s="38"/>
    </row>
    <row r="577">
      <c r="I577" s="38"/>
    </row>
    <row r="578">
      <c r="I578" s="38"/>
    </row>
    <row r="579">
      <c r="I579" s="38"/>
    </row>
    <row r="580">
      <c r="I580" s="38"/>
    </row>
    <row r="581">
      <c r="I581" s="38"/>
    </row>
    <row r="582">
      <c r="I582" s="38"/>
    </row>
    <row r="583">
      <c r="I583" s="38"/>
    </row>
    <row r="584">
      <c r="I584" s="38"/>
    </row>
    <row r="585">
      <c r="I585" s="38"/>
    </row>
    <row r="586">
      <c r="I586" s="38"/>
    </row>
    <row r="587">
      <c r="I587" s="38"/>
    </row>
    <row r="588">
      <c r="I588" s="38"/>
    </row>
    <row r="589">
      <c r="I589" s="38"/>
    </row>
    <row r="590">
      <c r="I590" s="38"/>
    </row>
    <row r="591">
      <c r="I591" s="38"/>
    </row>
    <row r="592">
      <c r="I592" s="38"/>
    </row>
    <row r="593">
      <c r="I593" s="38"/>
    </row>
    <row r="594">
      <c r="I594" s="38"/>
    </row>
    <row r="595">
      <c r="I595" s="38"/>
    </row>
    <row r="596">
      <c r="I596" s="38"/>
    </row>
    <row r="597">
      <c r="I597" s="38"/>
    </row>
    <row r="598">
      <c r="I598" s="38"/>
    </row>
    <row r="599">
      <c r="I599" s="38"/>
    </row>
    <row r="600">
      <c r="I600" s="38"/>
    </row>
    <row r="601">
      <c r="I601" s="38"/>
    </row>
    <row r="602">
      <c r="I602" s="38"/>
    </row>
    <row r="603">
      <c r="I603" s="38"/>
    </row>
    <row r="604">
      <c r="I604" s="38"/>
    </row>
    <row r="605">
      <c r="I605" s="38"/>
    </row>
    <row r="606">
      <c r="I606" s="38"/>
    </row>
    <row r="607">
      <c r="I607" s="38"/>
    </row>
    <row r="608">
      <c r="I608" s="38"/>
    </row>
    <row r="609">
      <c r="I609" s="38"/>
    </row>
    <row r="610">
      <c r="I610" s="38"/>
    </row>
    <row r="611">
      <c r="I611" s="38"/>
    </row>
    <row r="612">
      <c r="I612" s="38"/>
    </row>
    <row r="613">
      <c r="I613" s="38"/>
    </row>
    <row r="614">
      <c r="I614" s="38"/>
    </row>
    <row r="615">
      <c r="I615" s="38"/>
    </row>
    <row r="616">
      <c r="I616" s="38"/>
    </row>
    <row r="617">
      <c r="I617" s="38"/>
    </row>
    <row r="618">
      <c r="I618" s="38"/>
    </row>
    <row r="619">
      <c r="I619" s="38"/>
    </row>
    <row r="620">
      <c r="I620" s="38"/>
    </row>
    <row r="621">
      <c r="I621" s="38"/>
    </row>
    <row r="622">
      <c r="I622" s="38"/>
    </row>
    <row r="623">
      <c r="I623" s="38"/>
    </row>
    <row r="624">
      <c r="I624" s="38"/>
    </row>
    <row r="625">
      <c r="I625" s="38"/>
    </row>
    <row r="626">
      <c r="I626" s="38"/>
    </row>
    <row r="627">
      <c r="I627" s="38"/>
    </row>
    <row r="628">
      <c r="I628" s="38"/>
    </row>
    <row r="629">
      <c r="I629" s="38"/>
    </row>
    <row r="630">
      <c r="I630" s="38"/>
    </row>
    <row r="631">
      <c r="I631" s="38"/>
    </row>
    <row r="632">
      <c r="I632" s="38"/>
    </row>
    <row r="633">
      <c r="I633" s="38"/>
    </row>
    <row r="634">
      <c r="I634" s="38"/>
    </row>
    <row r="635">
      <c r="I635" s="38"/>
    </row>
    <row r="636">
      <c r="I636" s="38"/>
    </row>
    <row r="637">
      <c r="I637" s="38"/>
    </row>
    <row r="638">
      <c r="I638" s="38"/>
    </row>
    <row r="639">
      <c r="I639" s="38"/>
    </row>
    <row r="640">
      <c r="I640" s="38"/>
    </row>
    <row r="641">
      <c r="I641" s="38"/>
    </row>
    <row r="642">
      <c r="I642" s="38"/>
    </row>
    <row r="643">
      <c r="I643" s="38"/>
    </row>
    <row r="644">
      <c r="I644" s="38"/>
    </row>
    <row r="645">
      <c r="I645" s="38"/>
    </row>
    <row r="646">
      <c r="I646" s="38"/>
    </row>
    <row r="647">
      <c r="I647" s="38"/>
    </row>
    <row r="648">
      <c r="I648" s="38"/>
    </row>
    <row r="649">
      <c r="I649" s="38"/>
    </row>
    <row r="650">
      <c r="I650" s="38"/>
    </row>
    <row r="651">
      <c r="I651" s="38"/>
    </row>
    <row r="652">
      <c r="I652" s="38"/>
    </row>
    <row r="653">
      <c r="I653" s="38"/>
    </row>
    <row r="654">
      <c r="I654" s="38"/>
    </row>
    <row r="655">
      <c r="I655" s="38"/>
    </row>
    <row r="656">
      <c r="I656" s="38"/>
    </row>
    <row r="657">
      <c r="I657" s="38"/>
    </row>
    <row r="658">
      <c r="I658" s="38"/>
    </row>
    <row r="659">
      <c r="I659" s="38"/>
    </row>
    <row r="660">
      <c r="I660" s="38"/>
    </row>
    <row r="661">
      <c r="I661" s="38"/>
    </row>
    <row r="662">
      <c r="I662" s="38"/>
    </row>
    <row r="663">
      <c r="I663" s="38"/>
    </row>
    <row r="664">
      <c r="I664" s="38"/>
    </row>
    <row r="665">
      <c r="I665" s="38"/>
    </row>
    <row r="666">
      <c r="I666" s="38"/>
    </row>
    <row r="667">
      <c r="I667" s="38"/>
    </row>
    <row r="668">
      <c r="I668" s="38"/>
    </row>
    <row r="669">
      <c r="I669" s="38"/>
    </row>
    <row r="670">
      <c r="I670" s="38"/>
    </row>
    <row r="671">
      <c r="I671" s="38"/>
    </row>
    <row r="672">
      <c r="I672" s="38"/>
    </row>
    <row r="673">
      <c r="I673" s="38"/>
    </row>
    <row r="674">
      <c r="I674" s="38"/>
    </row>
    <row r="675">
      <c r="I675" s="38"/>
    </row>
    <row r="676">
      <c r="I676" s="38"/>
    </row>
    <row r="677">
      <c r="I677" s="38"/>
    </row>
    <row r="678">
      <c r="I678" s="38"/>
    </row>
    <row r="679">
      <c r="I679" s="38"/>
    </row>
    <row r="680">
      <c r="I680" s="38"/>
    </row>
    <row r="681">
      <c r="I681" s="38"/>
    </row>
    <row r="682">
      <c r="I682" s="38"/>
    </row>
    <row r="683">
      <c r="I683" s="38"/>
    </row>
    <row r="684">
      <c r="I684" s="38"/>
    </row>
    <row r="685">
      <c r="I685" s="38"/>
    </row>
    <row r="686">
      <c r="I686" s="38"/>
    </row>
    <row r="687">
      <c r="I687" s="38"/>
    </row>
    <row r="688">
      <c r="I688" s="38"/>
    </row>
    <row r="689">
      <c r="I689" s="38"/>
    </row>
    <row r="690">
      <c r="I690" s="38"/>
    </row>
    <row r="691">
      <c r="I691" s="38"/>
    </row>
    <row r="692">
      <c r="I692" s="38"/>
    </row>
    <row r="693">
      <c r="I693" s="38"/>
    </row>
    <row r="694">
      <c r="I694" s="38"/>
    </row>
    <row r="695">
      <c r="I695" s="38"/>
    </row>
    <row r="696">
      <c r="I696" s="38"/>
    </row>
    <row r="697">
      <c r="I697" s="38"/>
    </row>
    <row r="698">
      <c r="I698" s="38"/>
    </row>
    <row r="699">
      <c r="I699" s="38"/>
    </row>
    <row r="700">
      <c r="I700" s="38"/>
    </row>
    <row r="701">
      <c r="I701" s="38"/>
    </row>
    <row r="702">
      <c r="I702" s="38"/>
    </row>
    <row r="703">
      <c r="I703" s="38"/>
    </row>
    <row r="704">
      <c r="I704" s="38"/>
    </row>
    <row r="705">
      <c r="I705" s="38"/>
    </row>
    <row r="706">
      <c r="I706" s="38"/>
    </row>
    <row r="707">
      <c r="I707" s="38"/>
    </row>
    <row r="708">
      <c r="I708" s="38"/>
    </row>
    <row r="709">
      <c r="I709" s="38"/>
    </row>
    <row r="710">
      <c r="I710" s="38"/>
    </row>
    <row r="711">
      <c r="I711" s="38"/>
    </row>
    <row r="712">
      <c r="I712" s="38"/>
    </row>
    <row r="713">
      <c r="I713" s="38"/>
    </row>
    <row r="714">
      <c r="I714" s="38"/>
    </row>
    <row r="715">
      <c r="I715" s="38"/>
    </row>
    <row r="716">
      <c r="I716" s="38"/>
    </row>
    <row r="717">
      <c r="I717" s="38"/>
    </row>
    <row r="718">
      <c r="I718" s="38"/>
    </row>
    <row r="719">
      <c r="I719" s="38"/>
    </row>
    <row r="720">
      <c r="I720" s="38"/>
    </row>
    <row r="721">
      <c r="I721" s="38"/>
    </row>
    <row r="722">
      <c r="I722" s="38"/>
    </row>
    <row r="723">
      <c r="I723" s="38"/>
    </row>
    <row r="724">
      <c r="I724" s="38"/>
    </row>
    <row r="725">
      <c r="I725" s="38"/>
    </row>
    <row r="726">
      <c r="I726" s="38"/>
    </row>
    <row r="727">
      <c r="I727" s="38"/>
    </row>
    <row r="728">
      <c r="I728" s="38"/>
    </row>
    <row r="729">
      <c r="I729" s="38"/>
    </row>
    <row r="730">
      <c r="I730" s="38"/>
    </row>
    <row r="731">
      <c r="I731" s="38"/>
    </row>
    <row r="732">
      <c r="I732" s="38"/>
    </row>
    <row r="733">
      <c r="I733" s="38"/>
    </row>
    <row r="734">
      <c r="I734" s="38"/>
    </row>
    <row r="735">
      <c r="I735" s="38"/>
    </row>
    <row r="736">
      <c r="I736" s="38"/>
    </row>
    <row r="737">
      <c r="I737" s="38"/>
    </row>
    <row r="738">
      <c r="I738" s="38"/>
    </row>
    <row r="739">
      <c r="I739" s="38"/>
    </row>
    <row r="740">
      <c r="I740" s="38"/>
    </row>
    <row r="741">
      <c r="I741" s="38"/>
    </row>
    <row r="742">
      <c r="I742" s="38"/>
    </row>
    <row r="743">
      <c r="I743" s="38"/>
    </row>
    <row r="744">
      <c r="I744" s="38"/>
    </row>
    <row r="745">
      <c r="I745" s="38"/>
    </row>
    <row r="746">
      <c r="I746" s="38"/>
    </row>
    <row r="747">
      <c r="I747" s="38"/>
    </row>
    <row r="748">
      <c r="I748" s="38"/>
    </row>
    <row r="749">
      <c r="I749" s="38"/>
    </row>
    <row r="750">
      <c r="I750" s="38"/>
    </row>
    <row r="751">
      <c r="I751" s="38"/>
    </row>
    <row r="752">
      <c r="I752" s="38"/>
    </row>
    <row r="753">
      <c r="I753" s="38"/>
    </row>
    <row r="754">
      <c r="I754" s="38"/>
    </row>
    <row r="755">
      <c r="I755" s="38"/>
    </row>
    <row r="756">
      <c r="I756" s="38"/>
    </row>
    <row r="757">
      <c r="I757" s="38"/>
    </row>
    <row r="758">
      <c r="I758" s="38"/>
    </row>
    <row r="759">
      <c r="I759" s="38"/>
    </row>
    <row r="760">
      <c r="I760" s="38"/>
    </row>
    <row r="761">
      <c r="I761" s="38"/>
    </row>
    <row r="762">
      <c r="I762" s="38"/>
    </row>
    <row r="763">
      <c r="I763" s="38"/>
    </row>
    <row r="764">
      <c r="I764" s="38"/>
    </row>
    <row r="765">
      <c r="I765" s="38"/>
    </row>
    <row r="766">
      <c r="I766" s="38"/>
    </row>
    <row r="767">
      <c r="I767" s="38"/>
    </row>
    <row r="768">
      <c r="I768" s="38"/>
    </row>
    <row r="769">
      <c r="I769" s="38"/>
    </row>
    <row r="770">
      <c r="I770" s="38"/>
    </row>
    <row r="771">
      <c r="I771" s="38"/>
    </row>
    <row r="772">
      <c r="I772" s="38"/>
    </row>
    <row r="773">
      <c r="I773" s="38"/>
    </row>
    <row r="774">
      <c r="I774" s="38"/>
    </row>
    <row r="775">
      <c r="I775" s="38"/>
    </row>
    <row r="776">
      <c r="I776" s="38"/>
    </row>
    <row r="777">
      <c r="I777" s="38"/>
    </row>
    <row r="778">
      <c r="I778" s="38"/>
    </row>
    <row r="779">
      <c r="I779" s="38"/>
    </row>
    <row r="780">
      <c r="I780" s="38"/>
    </row>
    <row r="781">
      <c r="I781" s="38"/>
    </row>
    <row r="782">
      <c r="I782" s="38"/>
    </row>
    <row r="783">
      <c r="I783" s="38"/>
    </row>
    <row r="784">
      <c r="I784" s="38"/>
    </row>
    <row r="785">
      <c r="I785" s="38"/>
    </row>
    <row r="786">
      <c r="I786" s="38"/>
    </row>
    <row r="787">
      <c r="I787" s="38"/>
    </row>
    <row r="788">
      <c r="I788" s="38"/>
    </row>
    <row r="789">
      <c r="I789" s="38"/>
    </row>
    <row r="790">
      <c r="I790" s="38"/>
    </row>
    <row r="791">
      <c r="I791" s="38"/>
    </row>
    <row r="792">
      <c r="I792" s="38"/>
    </row>
    <row r="793">
      <c r="I793" s="38"/>
    </row>
    <row r="794">
      <c r="I794" s="38"/>
    </row>
    <row r="795">
      <c r="I795" s="38"/>
    </row>
    <row r="796">
      <c r="I796" s="38"/>
    </row>
    <row r="797">
      <c r="I797" s="38"/>
    </row>
    <row r="798">
      <c r="I798" s="38"/>
    </row>
    <row r="799">
      <c r="I799" s="38"/>
    </row>
    <row r="800">
      <c r="I800" s="38"/>
    </row>
    <row r="801">
      <c r="I801" s="38"/>
    </row>
    <row r="802">
      <c r="I802" s="38"/>
    </row>
    <row r="803">
      <c r="I803" s="38"/>
    </row>
    <row r="804">
      <c r="I804" s="38"/>
    </row>
    <row r="805">
      <c r="I805" s="38"/>
    </row>
    <row r="806">
      <c r="I806" s="38"/>
    </row>
    <row r="807">
      <c r="I807" s="38"/>
    </row>
    <row r="808">
      <c r="I808" s="38"/>
    </row>
    <row r="809">
      <c r="I809" s="38"/>
    </row>
    <row r="810">
      <c r="I810" s="38"/>
    </row>
    <row r="811">
      <c r="I811" s="38"/>
    </row>
    <row r="812">
      <c r="I812" s="38"/>
    </row>
    <row r="813">
      <c r="I813" s="38"/>
    </row>
    <row r="814">
      <c r="I814" s="38"/>
    </row>
    <row r="815">
      <c r="I815" s="38"/>
    </row>
    <row r="816">
      <c r="I816" s="38"/>
    </row>
    <row r="817">
      <c r="I817" s="38"/>
    </row>
    <row r="818">
      <c r="I818" s="38"/>
    </row>
    <row r="819">
      <c r="I819" s="38"/>
    </row>
    <row r="820">
      <c r="I820" s="38"/>
    </row>
    <row r="821">
      <c r="I821" s="38"/>
    </row>
    <row r="822">
      <c r="I822" s="38"/>
    </row>
    <row r="823">
      <c r="I823" s="38"/>
    </row>
    <row r="824">
      <c r="I824" s="38"/>
    </row>
    <row r="825">
      <c r="I825" s="38"/>
    </row>
    <row r="826">
      <c r="I826" s="38"/>
    </row>
    <row r="827">
      <c r="I827" s="38"/>
    </row>
    <row r="828">
      <c r="I828" s="38"/>
    </row>
    <row r="829">
      <c r="I829" s="38"/>
    </row>
    <row r="830">
      <c r="I830" s="38"/>
    </row>
    <row r="831">
      <c r="I831" s="38"/>
    </row>
    <row r="832">
      <c r="I832" s="38"/>
    </row>
    <row r="833">
      <c r="I833" s="38"/>
    </row>
    <row r="834">
      <c r="I834" s="38"/>
    </row>
    <row r="835">
      <c r="I835" s="38"/>
    </row>
    <row r="836">
      <c r="I836" s="38"/>
    </row>
    <row r="837">
      <c r="I837" s="38"/>
    </row>
    <row r="838">
      <c r="I838" s="38"/>
    </row>
    <row r="839">
      <c r="I839" s="38"/>
    </row>
    <row r="840">
      <c r="I840" s="38"/>
    </row>
    <row r="841">
      <c r="I841" s="38"/>
    </row>
    <row r="842">
      <c r="I842" s="38"/>
    </row>
    <row r="843">
      <c r="I843" s="38"/>
    </row>
    <row r="844">
      <c r="I844" s="38"/>
    </row>
    <row r="845">
      <c r="I845" s="38"/>
    </row>
    <row r="846">
      <c r="I846" s="38"/>
    </row>
    <row r="847">
      <c r="I847" s="38"/>
    </row>
    <row r="848">
      <c r="I848" s="38"/>
    </row>
    <row r="849">
      <c r="I849" s="38"/>
    </row>
    <row r="850">
      <c r="I850" s="38"/>
    </row>
    <row r="851">
      <c r="I851" s="38"/>
    </row>
    <row r="852">
      <c r="I852" s="38"/>
    </row>
    <row r="853">
      <c r="I853" s="38"/>
    </row>
    <row r="854">
      <c r="I854" s="38"/>
    </row>
    <row r="855">
      <c r="I855" s="38"/>
    </row>
    <row r="856">
      <c r="I856" s="38"/>
    </row>
    <row r="857">
      <c r="I857" s="38"/>
    </row>
    <row r="858">
      <c r="I858" s="38"/>
    </row>
    <row r="859">
      <c r="I859" s="38"/>
    </row>
    <row r="860">
      <c r="I860" s="38"/>
    </row>
    <row r="861">
      <c r="I861" s="38"/>
    </row>
    <row r="862">
      <c r="I862" s="38"/>
    </row>
    <row r="863">
      <c r="I863" s="38"/>
    </row>
    <row r="864">
      <c r="I864" s="38"/>
    </row>
    <row r="865">
      <c r="I865" s="38"/>
    </row>
    <row r="866">
      <c r="I866" s="38"/>
    </row>
    <row r="867">
      <c r="I867" s="38"/>
    </row>
    <row r="868">
      <c r="I868" s="38"/>
    </row>
    <row r="869">
      <c r="I869" s="38"/>
    </row>
    <row r="870">
      <c r="I870" s="38"/>
    </row>
    <row r="871">
      <c r="I871" s="38"/>
    </row>
    <row r="872">
      <c r="I872" s="38"/>
    </row>
    <row r="873">
      <c r="I873" s="38"/>
    </row>
    <row r="874">
      <c r="I874" s="38"/>
    </row>
    <row r="875">
      <c r="I875" s="38"/>
    </row>
    <row r="876">
      <c r="I876" s="38"/>
    </row>
    <row r="877">
      <c r="I877" s="38"/>
    </row>
    <row r="878">
      <c r="I878" s="38"/>
    </row>
    <row r="879">
      <c r="I879" s="38"/>
    </row>
    <row r="880">
      <c r="I880" s="38"/>
    </row>
    <row r="881">
      <c r="I881" s="38"/>
    </row>
    <row r="882">
      <c r="I882" s="38"/>
    </row>
    <row r="883">
      <c r="I883" s="38"/>
    </row>
    <row r="884">
      <c r="I884" s="38"/>
    </row>
    <row r="885">
      <c r="I885" s="38"/>
    </row>
    <row r="886">
      <c r="I886" s="38"/>
    </row>
    <row r="887">
      <c r="I887" s="38"/>
    </row>
    <row r="888">
      <c r="I888" s="38"/>
    </row>
    <row r="889">
      <c r="I889" s="38"/>
    </row>
    <row r="890">
      <c r="I890" s="38"/>
    </row>
    <row r="891">
      <c r="I891" s="38"/>
    </row>
    <row r="892">
      <c r="I892" s="38"/>
    </row>
    <row r="893">
      <c r="I893" s="38"/>
    </row>
    <row r="894">
      <c r="I894" s="38"/>
    </row>
    <row r="895">
      <c r="I895" s="38"/>
    </row>
    <row r="896">
      <c r="I896" s="38"/>
    </row>
    <row r="897">
      <c r="I897" s="38"/>
    </row>
    <row r="898">
      <c r="I898" s="38"/>
    </row>
    <row r="899">
      <c r="I899" s="38"/>
    </row>
    <row r="900">
      <c r="I900" s="38"/>
    </row>
    <row r="901">
      <c r="I901" s="38"/>
    </row>
    <row r="902">
      <c r="I902" s="38"/>
    </row>
    <row r="903">
      <c r="I903" s="38"/>
    </row>
    <row r="904">
      <c r="I904" s="38"/>
    </row>
    <row r="905">
      <c r="I905" s="38"/>
    </row>
    <row r="906">
      <c r="I906" s="38"/>
    </row>
    <row r="907">
      <c r="I907" s="38"/>
    </row>
    <row r="908">
      <c r="I908" s="38"/>
    </row>
    <row r="909">
      <c r="I909" s="38"/>
    </row>
    <row r="910">
      <c r="I910" s="38"/>
    </row>
    <row r="911">
      <c r="I911" s="38"/>
    </row>
    <row r="912">
      <c r="I912" s="38"/>
    </row>
    <row r="913">
      <c r="I913" s="38"/>
    </row>
    <row r="914">
      <c r="I914" s="38"/>
    </row>
    <row r="915">
      <c r="I915" s="38"/>
    </row>
    <row r="916">
      <c r="I916" s="38"/>
    </row>
    <row r="917">
      <c r="I917" s="38"/>
    </row>
    <row r="918">
      <c r="I918" s="38"/>
    </row>
    <row r="919">
      <c r="I919" s="38"/>
    </row>
    <row r="920">
      <c r="I920" s="38"/>
    </row>
    <row r="921">
      <c r="I921" s="38"/>
    </row>
    <row r="922">
      <c r="I922" s="38"/>
    </row>
    <row r="923">
      <c r="I923" s="38"/>
    </row>
    <row r="924">
      <c r="I924" s="38"/>
    </row>
    <row r="925">
      <c r="I925" s="38"/>
    </row>
    <row r="926">
      <c r="I926" s="38"/>
    </row>
    <row r="927">
      <c r="I927" s="38"/>
    </row>
    <row r="928">
      <c r="I928" s="38"/>
    </row>
    <row r="929">
      <c r="I929" s="38"/>
    </row>
    <row r="930">
      <c r="I930" s="38"/>
    </row>
    <row r="931">
      <c r="I931" s="38"/>
    </row>
    <row r="932">
      <c r="I932" s="38"/>
    </row>
    <row r="933">
      <c r="I933" s="38"/>
    </row>
    <row r="934">
      <c r="I934" s="38"/>
    </row>
    <row r="935">
      <c r="I935" s="38"/>
    </row>
    <row r="936">
      <c r="I936" s="38"/>
    </row>
    <row r="937">
      <c r="I937" s="38"/>
    </row>
    <row r="938">
      <c r="I938" s="38"/>
    </row>
    <row r="939">
      <c r="I939" s="38"/>
    </row>
    <row r="940">
      <c r="I940" s="38"/>
    </row>
    <row r="941">
      <c r="I941" s="38"/>
    </row>
    <row r="942">
      <c r="I942" s="38"/>
    </row>
    <row r="943">
      <c r="I943" s="38"/>
    </row>
    <row r="944">
      <c r="I944" s="38"/>
    </row>
    <row r="945">
      <c r="I945" s="38"/>
    </row>
    <row r="946">
      <c r="I946" s="38"/>
    </row>
    <row r="947">
      <c r="I947" s="38"/>
    </row>
    <row r="948">
      <c r="I948" s="38"/>
    </row>
    <row r="949">
      <c r="I949" s="38"/>
    </row>
    <row r="950">
      <c r="I950" s="38"/>
    </row>
    <row r="951">
      <c r="I951" s="38"/>
    </row>
    <row r="952">
      <c r="I952" s="38"/>
    </row>
    <row r="953">
      <c r="I953" s="38"/>
    </row>
    <row r="954">
      <c r="I954" s="38"/>
    </row>
    <row r="955">
      <c r="I955" s="38"/>
    </row>
    <row r="956">
      <c r="I956" s="38"/>
    </row>
    <row r="957">
      <c r="I957" s="38"/>
    </row>
    <row r="958">
      <c r="I958" s="38"/>
    </row>
    <row r="959">
      <c r="I959" s="38"/>
    </row>
    <row r="960">
      <c r="I960" s="38"/>
    </row>
    <row r="961">
      <c r="I961" s="38"/>
    </row>
    <row r="962">
      <c r="I962" s="38"/>
    </row>
    <row r="963">
      <c r="I963" s="38"/>
    </row>
    <row r="964">
      <c r="I964" s="38"/>
    </row>
    <row r="965">
      <c r="I965" s="38"/>
    </row>
    <row r="966">
      <c r="I966" s="38"/>
    </row>
    <row r="967">
      <c r="I967" s="38"/>
    </row>
    <row r="968">
      <c r="I968" s="38"/>
    </row>
    <row r="969">
      <c r="I969" s="38"/>
    </row>
    <row r="970">
      <c r="I970" s="38"/>
    </row>
    <row r="971">
      <c r="I971" s="38"/>
    </row>
    <row r="972">
      <c r="I972" s="38"/>
    </row>
    <row r="973">
      <c r="I973" s="38"/>
    </row>
    <row r="974">
      <c r="I974" s="38"/>
    </row>
    <row r="975">
      <c r="I975" s="38"/>
    </row>
    <row r="976">
      <c r="I976" s="38"/>
    </row>
    <row r="977">
      <c r="I977" s="38"/>
    </row>
    <row r="978">
      <c r="I978" s="38"/>
    </row>
    <row r="979">
      <c r="I979" s="38"/>
    </row>
    <row r="980">
      <c r="I980" s="38"/>
    </row>
    <row r="981">
      <c r="I981" s="38"/>
    </row>
    <row r="982">
      <c r="I982" s="38"/>
    </row>
    <row r="983">
      <c r="I983" s="38"/>
    </row>
    <row r="984">
      <c r="I984" s="38"/>
    </row>
    <row r="985">
      <c r="I985" s="38"/>
    </row>
    <row r="986">
      <c r="I986" s="38"/>
    </row>
    <row r="987">
      <c r="I987" s="38"/>
    </row>
    <row r="988">
      <c r="I988" s="38"/>
    </row>
    <row r="989">
      <c r="I989" s="38"/>
    </row>
    <row r="990">
      <c r="I990" s="38"/>
    </row>
    <row r="991">
      <c r="I991" s="38"/>
    </row>
    <row r="992">
      <c r="I992" s="38"/>
    </row>
    <row r="993">
      <c r="I993" s="38"/>
    </row>
    <row r="994">
      <c r="I994" s="38"/>
    </row>
    <row r="995">
      <c r="I995" s="38"/>
    </row>
    <row r="996">
      <c r="I996" s="38"/>
    </row>
    <row r="997">
      <c r="I997" s="38"/>
    </row>
    <row r="998">
      <c r="I998" s="38"/>
    </row>
    <row r="999">
      <c r="I999" s="38"/>
    </row>
    <row r="1000">
      <c r="I1000" s="38"/>
    </row>
    <row r="1001">
      <c r="I1001" s="38"/>
    </row>
    <row r="1002">
      <c r="I1002" s="38"/>
    </row>
    <row r="1003">
      <c r="I1003" s="38"/>
    </row>
    <row r="1004">
      <c r="I1004" s="38"/>
    </row>
    <row r="1005">
      <c r="I1005" s="38"/>
    </row>
  </sheetData>
  <mergeCells count="7">
    <mergeCell ref="A1:N3"/>
    <mergeCell ref="B5:D5"/>
    <mergeCell ref="F5:N5"/>
    <mergeCell ref="B6:D6"/>
    <mergeCell ref="F6:N6"/>
    <mergeCell ref="B7:D7"/>
    <mergeCell ref="F7:N7"/>
  </mergeCells>
  <dataValidations>
    <dataValidation type="list" allowBlank="1" showDropDown="1" showErrorMessage="1" sqref="B10:B17 B19:B21 B23:B25 B27:B30 B32:B34 B36 B38 B40 B42">
      <formula1>'Rate card'!$A$4:$A1005</formula1>
    </dataValidation>
  </dataValidations>
  <hyperlinks>
    <hyperlink r:id="rId1" ref="A8"/>
  </hyperlinks>
  <printOptions gridLines="1" horizontalCentered="1"/>
  <pageMargins bottom="0.75" footer="0.0" header="0.0" left="0.7" right="0.7" top="0.75"/>
  <pageSetup fitToHeight="0" paperSize="9" cellComments="atEnd" orientation="landscape" pageOrder="overThenDown"/>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6" max="6" width="28.75"/>
  </cols>
  <sheetData>
    <row r="1">
      <c r="B1" s="653" t="s">
        <v>764</v>
      </c>
    </row>
    <row r="2">
      <c r="B2" s="654" t="s">
        <v>765</v>
      </c>
      <c r="C2" s="654" t="s">
        <v>766</v>
      </c>
      <c r="D2" s="654" t="s">
        <v>767</v>
      </c>
      <c r="E2" s="654" t="s">
        <v>768</v>
      </c>
      <c r="F2" s="654" t="s">
        <v>769</v>
      </c>
      <c r="G2" s="654" t="s">
        <v>770</v>
      </c>
      <c r="J2" s="191" t="s">
        <v>771</v>
      </c>
      <c r="K2" s="191">
        <v>1.31E7</v>
      </c>
    </row>
    <row r="3">
      <c r="A3" s="37" t="s">
        <v>772</v>
      </c>
      <c r="B3" s="655" t="s">
        <v>773</v>
      </c>
      <c r="C3" s="656">
        <v>45867.0</v>
      </c>
      <c r="D3" s="655">
        <v>1000000.0</v>
      </c>
      <c r="E3" s="657">
        <f t="shared" ref="E3:E14" si="1">D3/$K$2</f>
        <v>0.07633587786</v>
      </c>
      <c r="F3" s="655" t="s">
        <v>774</v>
      </c>
      <c r="G3" s="656">
        <v>45870.0</v>
      </c>
    </row>
    <row r="4">
      <c r="B4" s="658" t="s">
        <v>775</v>
      </c>
      <c r="C4" s="659">
        <v>45891.0</v>
      </c>
      <c r="D4" s="658">
        <v>1000000.0</v>
      </c>
      <c r="E4" s="660">
        <f t="shared" si="1"/>
        <v>0.07633587786</v>
      </c>
      <c r="F4" s="658" t="s">
        <v>776</v>
      </c>
      <c r="G4" s="658"/>
    </row>
    <row r="5">
      <c r="B5" s="658" t="s">
        <v>777</v>
      </c>
      <c r="C5" s="659">
        <v>45906.0</v>
      </c>
      <c r="D5" s="658">
        <v>1000000.0</v>
      </c>
      <c r="E5" s="660">
        <f t="shared" si="1"/>
        <v>0.07633587786</v>
      </c>
      <c r="F5" s="658" t="s">
        <v>778</v>
      </c>
      <c r="G5" s="658"/>
    </row>
    <row r="6">
      <c r="A6" s="37" t="s">
        <v>779</v>
      </c>
      <c r="B6" s="658" t="s">
        <v>780</v>
      </c>
      <c r="C6" s="659">
        <v>45925.0</v>
      </c>
      <c r="D6" s="658">
        <v>1100000.0</v>
      </c>
      <c r="E6" s="660">
        <f t="shared" si="1"/>
        <v>0.08396946565</v>
      </c>
      <c r="F6" s="658" t="s">
        <v>781</v>
      </c>
      <c r="G6" s="658"/>
    </row>
    <row r="7">
      <c r="B7" s="658" t="s">
        <v>782</v>
      </c>
      <c r="C7" s="659">
        <v>45934.0</v>
      </c>
      <c r="D7" s="658">
        <v>1400000.0</v>
      </c>
      <c r="E7" s="660">
        <f t="shared" si="1"/>
        <v>0.106870229</v>
      </c>
      <c r="F7" s="658" t="s">
        <v>783</v>
      </c>
      <c r="G7" s="658"/>
    </row>
    <row r="8">
      <c r="B8" s="658" t="s">
        <v>784</v>
      </c>
      <c r="C8" s="659">
        <v>45952.0</v>
      </c>
      <c r="D8" s="658">
        <v>1000000.0</v>
      </c>
      <c r="E8" s="660">
        <f t="shared" si="1"/>
        <v>0.07633587786</v>
      </c>
      <c r="F8" s="658" t="s">
        <v>785</v>
      </c>
      <c r="G8" s="658"/>
    </row>
    <row r="9">
      <c r="B9" s="658" t="s">
        <v>786</v>
      </c>
      <c r="C9" s="659">
        <v>45971.0</v>
      </c>
      <c r="D9" s="658">
        <v>1000000.0</v>
      </c>
      <c r="E9" s="660">
        <f t="shared" si="1"/>
        <v>0.07633587786</v>
      </c>
      <c r="F9" s="658" t="s">
        <v>787</v>
      </c>
      <c r="G9" s="658"/>
    </row>
    <row r="10">
      <c r="A10" s="37" t="s">
        <v>788</v>
      </c>
      <c r="B10" s="658" t="s">
        <v>789</v>
      </c>
      <c r="C10" s="659">
        <v>45989.0</v>
      </c>
      <c r="D10" s="658">
        <v>1400000.0</v>
      </c>
      <c r="E10" s="660">
        <f t="shared" si="1"/>
        <v>0.106870229</v>
      </c>
      <c r="F10" s="658" t="s">
        <v>790</v>
      </c>
      <c r="G10" s="658"/>
    </row>
    <row r="11">
      <c r="B11" s="658" t="s">
        <v>791</v>
      </c>
      <c r="C11" s="659">
        <v>46007.0</v>
      </c>
      <c r="D11" s="658">
        <v>1200000.0</v>
      </c>
      <c r="E11" s="660">
        <f t="shared" si="1"/>
        <v>0.09160305344</v>
      </c>
      <c r="F11" s="658" t="s">
        <v>792</v>
      </c>
      <c r="G11" s="658"/>
    </row>
    <row r="12">
      <c r="B12" s="658" t="s">
        <v>793</v>
      </c>
      <c r="C12" s="659">
        <v>46024.0</v>
      </c>
      <c r="D12" s="658">
        <v>1000000.0</v>
      </c>
      <c r="E12" s="660">
        <f t="shared" si="1"/>
        <v>0.07633587786</v>
      </c>
      <c r="F12" s="658" t="s">
        <v>794</v>
      </c>
      <c r="G12" s="658"/>
    </row>
    <row r="13">
      <c r="B13" s="658" t="s">
        <v>795</v>
      </c>
      <c r="C13" s="659">
        <v>45674.0</v>
      </c>
      <c r="D13" s="658">
        <v>1000000.0</v>
      </c>
      <c r="E13" s="660">
        <f t="shared" si="1"/>
        <v>0.07633587786</v>
      </c>
      <c r="F13" s="658" t="s">
        <v>796</v>
      </c>
      <c r="G13" s="658"/>
    </row>
    <row r="14">
      <c r="B14" s="658" t="s">
        <v>797</v>
      </c>
      <c r="C14" s="659">
        <v>46053.0</v>
      </c>
      <c r="D14" s="658">
        <v>1000000.0</v>
      </c>
      <c r="E14" s="660">
        <f t="shared" si="1"/>
        <v>0.07633587786</v>
      </c>
      <c r="F14" s="658" t="s">
        <v>798</v>
      </c>
      <c r="G14" s="658"/>
    </row>
    <row r="15">
      <c r="B15" s="661"/>
      <c r="C15" s="661"/>
      <c r="D15" s="662">
        <f t="shared" ref="D15:E15" si="2">SUM(D3:D14)</f>
        <v>13100000</v>
      </c>
      <c r="E15" s="663">
        <f t="shared" si="2"/>
        <v>1</v>
      </c>
      <c r="F15" s="661"/>
      <c r="G15" s="661"/>
    </row>
    <row r="17">
      <c r="A17" s="664">
        <v>45895.0</v>
      </c>
    </row>
    <row r="18">
      <c r="A18" s="37" t="s">
        <v>799</v>
      </c>
      <c r="B18" s="653" t="s">
        <v>800</v>
      </c>
    </row>
    <row r="19">
      <c r="B19" s="654" t="s">
        <v>765</v>
      </c>
      <c r="C19" s="654" t="s">
        <v>766</v>
      </c>
      <c r="D19" s="654" t="s">
        <v>767</v>
      </c>
      <c r="E19" s="654" t="s">
        <v>768</v>
      </c>
      <c r="F19" s="654" t="s">
        <v>769</v>
      </c>
      <c r="G19" s="654" t="s">
        <v>770</v>
      </c>
    </row>
    <row r="20">
      <c r="A20" s="37" t="s">
        <v>772</v>
      </c>
      <c r="B20" s="655" t="s">
        <v>773</v>
      </c>
      <c r="C20" s="656">
        <v>45867.0</v>
      </c>
      <c r="D20" s="655">
        <v>1000000.0</v>
      </c>
      <c r="E20" s="657">
        <f t="shared" ref="E20:E31" si="3">D20/$K$2</f>
        <v>0.07633587786</v>
      </c>
      <c r="F20" s="655" t="s">
        <v>774</v>
      </c>
      <c r="G20" s="656">
        <v>45870.0</v>
      </c>
    </row>
    <row r="21">
      <c r="B21" s="658" t="s">
        <v>775</v>
      </c>
      <c r="C21" s="659">
        <v>45925.0</v>
      </c>
      <c r="D21" s="658">
        <v>1000000.0</v>
      </c>
      <c r="E21" s="660">
        <f t="shared" si="3"/>
        <v>0.07633587786</v>
      </c>
      <c r="F21" s="658" t="s">
        <v>776</v>
      </c>
      <c r="G21" s="658"/>
    </row>
    <row r="22">
      <c r="B22" s="658" t="s">
        <v>777</v>
      </c>
      <c r="C22" s="659">
        <f t="shared" ref="C22:C31" si="4">C21+H22</f>
        <v>45940</v>
      </c>
      <c r="D22" s="658">
        <v>1000000.0</v>
      </c>
      <c r="E22" s="660">
        <f t="shared" si="3"/>
        <v>0.07633587786</v>
      </c>
      <c r="F22" s="658" t="s">
        <v>778</v>
      </c>
      <c r="G22" s="658"/>
      <c r="H22" s="665">
        <v>15.0</v>
      </c>
    </row>
    <row r="23">
      <c r="A23" s="37" t="s">
        <v>779</v>
      </c>
      <c r="B23" s="658" t="s">
        <v>780</v>
      </c>
      <c r="C23" s="659">
        <f t="shared" si="4"/>
        <v>45955</v>
      </c>
      <c r="D23" s="658">
        <v>1100000.0</v>
      </c>
      <c r="E23" s="660">
        <f t="shared" si="3"/>
        <v>0.08396946565</v>
      </c>
      <c r="F23" s="658" t="s">
        <v>781</v>
      </c>
      <c r="G23" s="658"/>
      <c r="H23" s="666">
        <v>15.0</v>
      </c>
    </row>
    <row r="24">
      <c r="B24" s="658" t="s">
        <v>782</v>
      </c>
      <c r="C24" s="659">
        <f t="shared" si="4"/>
        <v>45970</v>
      </c>
      <c r="D24" s="658">
        <v>1400000.0</v>
      </c>
      <c r="E24" s="660">
        <f t="shared" si="3"/>
        <v>0.106870229</v>
      </c>
      <c r="F24" s="658" t="s">
        <v>783</v>
      </c>
      <c r="G24" s="658"/>
      <c r="H24" s="666">
        <v>15.0</v>
      </c>
    </row>
    <row r="25">
      <c r="B25" s="658" t="s">
        <v>784</v>
      </c>
      <c r="C25" s="659">
        <f t="shared" si="4"/>
        <v>45988</v>
      </c>
      <c r="D25" s="658">
        <v>1000000.0</v>
      </c>
      <c r="E25" s="660">
        <f t="shared" si="3"/>
        <v>0.07633587786</v>
      </c>
      <c r="F25" s="658" t="s">
        <v>785</v>
      </c>
      <c r="G25" s="658"/>
      <c r="H25" s="665">
        <v>18.0</v>
      </c>
    </row>
    <row r="26">
      <c r="B26" s="658" t="s">
        <v>786</v>
      </c>
      <c r="C26" s="659">
        <f t="shared" si="4"/>
        <v>46007</v>
      </c>
      <c r="D26" s="658">
        <v>1000000.0</v>
      </c>
      <c r="E26" s="660">
        <f t="shared" si="3"/>
        <v>0.07633587786</v>
      </c>
      <c r="F26" s="658" t="s">
        <v>787</v>
      </c>
      <c r="G26" s="658"/>
      <c r="H26" s="665">
        <v>19.0</v>
      </c>
    </row>
    <row r="27">
      <c r="A27" s="37" t="s">
        <v>788</v>
      </c>
      <c r="B27" s="658" t="s">
        <v>789</v>
      </c>
      <c r="C27" s="659">
        <f t="shared" si="4"/>
        <v>46025</v>
      </c>
      <c r="D27" s="658">
        <v>1400000.0</v>
      </c>
      <c r="E27" s="660">
        <f t="shared" si="3"/>
        <v>0.106870229</v>
      </c>
      <c r="F27" s="658" t="s">
        <v>790</v>
      </c>
      <c r="G27" s="658"/>
      <c r="H27" s="665">
        <v>18.0</v>
      </c>
    </row>
    <row r="28">
      <c r="B28" s="658" t="s">
        <v>791</v>
      </c>
      <c r="C28" s="659">
        <f t="shared" si="4"/>
        <v>46043</v>
      </c>
      <c r="D28" s="658">
        <v>1200000.0</v>
      </c>
      <c r="E28" s="660">
        <f t="shared" si="3"/>
        <v>0.09160305344</v>
      </c>
      <c r="F28" s="658" t="s">
        <v>792</v>
      </c>
      <c r="G28" s="658"/>
      <c r="H28" s="665">
        <v>18.0</v>
      </c>
    </row>
    <row r="29">
      <c r="B29" s="658" t="s">
        <v>793</v>
      </c>
      <c r="C29" s="659">
        <f t="shared" si="4"/>
        <v>46060</v>
      </c>
      <c r="D29" s="658">
        <v>1000000.0</v>
      </c>
      <c r="E29" s="660">
        <f t="shared" si="3"/>
        <v>0.07633587786</v>
      </c>
      <c r="F29" s="658" t="s">
        <v>794</v>
      </c>
      <c r="G29" s="658"/>
      <c r="H29" s="665">
        <v>17.0</v>
      </c>
    </row>
    <row r="30">
      <c r="B30" s="658" t="s">
        <v>795</v>
      </c>
      <c r="C30" s="659">
        <f t="shared" si="4"/>
        <v>46078</v>
      </c>
      <c r="D30" s="658">
        <v>1000000.0</v>
      </c>
      <c r="E30" s="660">
        <f t="shared" si="3"/>
        <v>0.07633587786</v>
      </c>
      <c r="F30" s="658" t="s">
        <v>796</v>
      </c>
      <c r="G30" s="658"/>
      <c r="H30" s="666">
        <v>18.0</v>
      </c>
    </row>
    <row r="31">
      <c r="B31" s="658" t="s">
        <v>797</v>
      </c>
      <c r="C31" s="659">
        <f t="shared" si="4"/>
        <v>46103</v>
      </c>
      <c r="D31" s="658">
        <v>1000000.0</v>
      </c>
      <c r="E31" s="660">
        <f t="shared" si="3"/>
        <v>0.07633587786</v>
      </c>
      <c r="F31" s="658" t="s">
        <v>798</v>
      </c>
      <c r="G31" s="658"/>
      <c r="H31" s="666">
        <v>25.0</v>
      </c>
    </row>
    <row r="32">
      <c r="B32" s="661"/>
      <c r="C32" s="661"/>
      <c r="D32" s="662">
        <f t="shared" ref="D32:E32" si="5">SUM(D20:D31)</f>
        <v>13100000</v>
      </c>
      <c r="E32" s="663">
        <f t="shared" si="5"/>
        <v>1</v>
      </c>
      <c r="F32" s="661"/>
      <c r="G32" s="66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hidden="1" min="2" max="2" width="6.38"/>
    <col customWidth="1" min="3" max="3" width="17.75"/>
    <col customWidth="1" min="4" max="4" width="21.38"/>
    <col customWidth="1" min="5" max="5" width="25.5"/>
    <col customWidth="1" min="6" max="6" width="35.25"/>
    <col customWidth="1" min="11" max="11" width="15.38"/>
    <col customWidth="1" min="12" max="12" width="19.63"/>
    <col hidden="1" min="14" max="15" width="12.63"/>
  </cols>
  <sheetData>
    <row r="1">
      <c r="A1" s="281"/>
      <c r="B1" s="281"/>
      <c r="C1" s="281"/>
      <c r="D1" s="281"/>
      <c r="E1" s="281"/>
      <c r="F1" s="281"/>
      <c r="G1" s="281"/>
      <c r="H1" s="282"/>
      <c r="I1" s="283"/>
      <c r="J1" s="282"/>
      <c r="K1" s="281"/>
      <c r="L1" s="281"/>
      <c r="M1" s="281"/>
      <c r="N1" s="281"/>
      <c r="O1" s="281"/>
      <c r="P1" s="281"/>
      <c r="Q1" s="281"/>
      <c r="R1" s="281"/>
      <c r="S1" s="281"/>
      <c r="T1" s="281"/>
      <c r="U1" s="281"/>
      <c r="V1" s="281"/>
      <c r="W1" s="281"/>
      <c r="X1" s="281"/>
      <c r="Y1" s="281"/>
      <c r="Z1" s="281"/>
      <c r="AA1" s="281"/>
      <c r="AB1" s="281"/>
      <c r="AC1" s="281"/>
      <c r="AD1" s="281"/>
    </row>
    <row r="2">
      <c r="A2" s="284"/>
      <c r="L2" s="281"/>
      <c r="M2" s="281"/>
      <c r="N2" s="281"/>
      <c r="O2" s="281"/>
      <c r="P2" s="281"/>
      <c r="Q2" s="281"/>
      <c r="R2" s="281"/>
      <c r="S2" s="281"/>
      <c r="T2" s="281"/>
      <c r="U2" s="281"/>
      <c r="V2" s="281"/>
      <c r="W2" s="281"/>
      <c r="X2" s="281"/>
      <c r="Y2" s="281"/>
      <c r="Z2" s="281"/>
      <c r="AA2" s="281"/>
      <c r="AB2" s="281"/>
      <c r="AC2" s="281"/>
      <c r="AD2" s="281"/>
    </row>
    <row r="3">
      <c r="L3" s="281"/>
      <c r="M3" s="281"/>
      <c r="N3" s="281"/>
      <c r="O3" s="281"/>
      <c r="P3" s="281"/>
      <c r="Q3" s="281"/>
      <c r="R3" s="281"/>
      <c r="S3" s="281"/>
      <c r="T3" s="281"/>
      <c r="U3" s="281"/>
      <c r="V3" s="281"/>
      <c r="W3" s="281"/>
      <c r="X3" s="281"/>
      <c r="Y3" s="281"/>
      <c r="Z3" s="281"/>
      <c r="AA3" s="281"/>
      <c r="AB3" s="281"/>
      <c r="AC3" s="281"/>
      <c r="AD3" s="281"/>
    </row>
    <row r="4">
      <c r="L4" s="281"/>
      <c r="M4" s="281"/>
      <c r="N4" s="281"/>
      <c r="O4" s="281"/>
      <c r="P4" s="281"/>
      <c r="Q4" s="281"/>
      <c r="R4" s="281"/>
      <c r="S4" s="281"/>
      <c r="T4" s="281"/>
      <c r="U4" s="281"/>
      <c r="V4" s="281"/>
      <c r="W4" s="281"/>
      <c r="X4" s="281"/>
      <c r="Y4" s="281"/>
      <c r="Z4" s="281"/>
      <c r="AA4" s="281"/>
      <c r="AB4" s="281"/>
      <c r="AC4" s="281"/>
      <c r="AD4" s="281"/>
    </row>
    <row r="5">
      <c r="A5" s="285"/>
      <c r="B5" s="285"/>
      <c r="C5" s="285"/>
      <c r="D5" s="285"/>
      <c r="E5" s="285"/>
      <c r="F5" s="285"/>
      <c r="G5" s="285"/>
      <c r="H5" s="286"/>
      <c r="I5" s="287"/>
      <c r="J5" s="286"/>
      <c r="K5" s="285"/>
      <c r="L5" s="281"/>
      <c r="M5" s="281"/>
      <c r="N5" s="281"/>
      <c r="O5" s="281"/>
      <c r="P5" s="281"/>
      <c r="Q5" s="281"/>
      <c r="R5" s="281"/>
      <c r="S5" s="281"/>
      <c r="T5" s="281"/>
      <c r="U5" s="281"/>
      <c r="V5" s="281"/>
      <c r="W5" s="281"/>
      <c r="X5" s="281"/>
      <c r="Y5" s="281"/>
      <c r="Z5" s="281"/>
      <c r="AA5" s="281"/>
      <c r="AB5" s="281"/>
      <c r="AC5" s="281"/>
      <c r="AD5" s="281"/>
    </row>
    <row r="6">
      <c r="A6" s="288" t="s">
        <v>2</v>
      </c>
      <c r="B6" s="289">
        <v>45713.0</v>
      </c>
      <c r="C6" s="11"/>
      <c r="D6" s="12"/>
      <c r="E6" s="290" t="s">
        <v>3</v>
      </c>
      <c r="F6" s="291"/>
      <c r="G6" s="11"/>
      <c r="H6" s="11"/>
      <c r="I6" s="11"/>
      <c r="J6" s="11"/>
      <c r="K6" s="12"/>
      <c r="L6" s="281"/>
      <c r="M6" s="281"/>
      <c r="N6" s="281"/>
      <c r="O6" s="281"/>
      <c r="P6" s="281"/>
      <c r="Q6" s="281"/>
      <c r="R6" s="281"/>
      <c r="S6" s="281"/>
      <c r="T6" s="281"/>
      <c r="U6" s="281"/>
      <c r="V6" s="281"/>
      <c r="W6" s="281"/>
      <c r="X6" s="281"/>
      <c r="Y6" s="281"/>
      <c r="Z6" s="281"/>
      <c r="AA6" s="281"/>
      <c r="AB6" s="281"/>
      <c r="AC6" s="281"/>
      <c r="AD6" s="281"/>
    </row>
    <row r="7">
      <c r="A7" s="288" t="s">
        <v>4</v>
      </c>
      <c r="B7" s="291" t="s">
        <v>801</v>
      </c>
      <c r="C7" s="11"/>
      <c r="D7" s="12"/>
      <c r="E7" s="290" t="s">
        <v>6</v>
      </c>
      <c r="F7" s="292">
        <v>0.0</v>
      </c>
      <c r="G7" s="11"/>
      <c r="H7" s="11"/>
      <c r="I7" s="11"/>
      <c r="J7" s="11"/>
      <c r="K7" s="12"/>
      <c r="L7" s="281"/>
      <c r="M7" s="281"/>
      <c r="N7" s="281"/>
      <c r="O7" s="281"/>
      <c r="P7" s="281"/>
      <c r="Q7" s="281"/>
      <c r="R7" s="281"/>
      <c r="S7" s="281"/>
      <c r="T7" s="281"/>
      <c r="U7" s="281"/>
      <c r="V7" s="281"/>
      <c r="W7" s="281"/>
      <c r="X7" s="281"/>
      <c r="Y7" s="281"/>
      <c r="Z7" s="281"/>
      <c r="AA7" s="281"/>
      <c r="AB7" s="281"/>
      <c r="AC7" s="281"/>
      <c r="AD7" s="281"/>
    </row>
    <row r="8">
      <c r="A8" s="288" t="s">
        <v>7</v>
      </c>
      <c r="B8" s="291" t="s">
        <v>8</v>
      </c>
      <c r="C8" s="11"/>
      <c r="D8" s="12"/>
      <c r="E8" s="290" t="s">
        <v>9</v>
      </c>
      <c r="F8" s="291" t="s">
        <v>10</v>
      </c>
      <c r="G8" s="11"/>
      <c r="H8" s="11"/>
      <c r="I8" s="11"/>
      <c r="J8" s="11"/>
      <c r="K8" s="12"/>
      <c r="L8" s="281"/>
      <c r="M8" s="281"/>
      <c r="N8" s="281"/>
      <c r="O8" s="281"/>
      <c r="P8" s="281"/>
      <c r="Q8" s="281"/>
      <c r="R8" s="281"/>
      <c r="S8" s="281"/>
      <c r="T8" s="281"/>
      <c r="U8" s="281"/>
      <c r="V8" s="281"/>
      <c r="W8" s="281"/>
      <c r="X8" s="281"/>
      <c r="Y8" s="281"/>
      <c r="Z8" s="281"/>
      <c r="AA8" s="281"/>
      <c r="AB8" s="281"/>
      <c r="AC8" s="281"/>
      <c r="AD8" s="281"/>
    </row>
    <row r="9">
      <c r="A9" s="281"/>
      <c r="B9" s="281"/>
      <c r="C9" s="281"/>
      <c r="D9" s="281"/>
      <c r="E9" s="281"/>
      <c r="F9" s="281"/>
      <c r="G9" s="281"/>
      <c r="H9" s="282"/>
      <c r="I9" s="283"/>
      <c r="J9" s="282"/>
      <c r="K9" s="281"/>
      <c r="L9" s="281"/>
      <c r="M9" s="281"/>
      <c r="N9" s="281"/>
      <c r="O9" s="281"/>
      <c r="P9" s="281"/>
      <c r="Q9" s="281"/>
      <c r="R9" s="281"/>
      <c r="S9" s="281"/>
      <c r="T9" s="281"/>
      <c r="U9" s="281"/>
      <c r="V9" s="281"/>
      <c r="W9" s="281"/>
      <c r="X9" s="281"/>
      <c r="Y9" s="281"/>
      <c r="Z9" s="281"/>
      <c r="AA9" s="281"/>
      <c r="AB9" s="281"/>
      <c r="AC9" s="281"/>
      <c r="AD9" s="281"/>
    </row>
    <row r="10">
      <c r="A10" s="22" t="s">
        <v>11</v>
      </c>
      <c r="B10" s="16"/>
      <c r="C10" s="16"/>
      <c r="D10" s="17"/>
      <c r="E10" s="281"/>
      <c r="F10" s="293"/>
      <c r="G10" s="23" t="s">
        <v>12</v>
      </c>
      <c r="H10" s="24" t="s">
        <v>13</v>
      </c>
      <c r="I10" s="25" t="s">
        <v>14</v>
      </c>
      <c r="J10" s="282"/>
      <c r="K10" s="281"/>
      <c r="L10" s="281"/>
      <c r="M10" s="281"/>
      <c r="N10" s="281"/>
      <c r="O10" s="281"/>
      <c r="P10" s="281"/>
      <c r="Q10" s="281"/>
      <c r="R10" s="281"/>
      <c r="S10" s="281"/>
      <c r="T10" s="281"/>
      <c r="U10" s="281"/>
      <c r="V10" s="281"/>
      <c r="W10" s="281"/>
      <c r="X10" s="281"/>
      <c r="Y10" s="281"/>
      <c r="Z10" s="281"/>
      <c r="AA10" s="281"/>
      <c r="AB10" s="281"/>
      <c r="AC10" s="281"/>
      <c r="AD10" s="281"/>
    </row>
    <row r="11">
      <c r="A11" s="294"/>
      <c r="B11" s="29" t="s">
        <v>15</v>
      </c>
      <c r="C11" s="17"/>
      <c r="D11" s="30">
        <v>740.0</v>
      </c>
      <c r="E11" s="295"/>
      <c r="F11" s="293"/>
      <c r="G11" s="31" t="s">
        <v>16</v>
      </c>
      <c r="H11" s="32" t="s">
        <v>17</v>
      </c>
      <c r="I11" s="33">
        <f>J164</f>
        <v>221000</v>
      </c>
      <c r="J11" s="282"/>
      <c r="K11" s="281"/>
      <c r="L11" s="281"/>
      <c r="M11" s="281"/>
      <c r="N11" s="281"/>
      <c r="O11" s="281"/>
      <c r="P11" s="281"/>
      <c r="Q11" s="281"/>
      <c r="R11" s="281"/>
      <c r="S11" s="281"/>
      <c r="T11" s="281"/>
      <c r="U11" s="281"/>
      <c r="V11" s="281"/>
      <c r="W11" s="281"/>
      <c r="X11" s="281"/>
      <c r="Y11" s="281"/>
      <c r="Z11" s="281"/>
      <c r="AA11" s="281"/>
      <c r="AB11" s="281"/>
      <c r="AC11" s="281"/>
      <c r="AD11" s="281"/>
    </row>
    <row r="12">
      <c r="A12" s="23" t="s">
        <v>12</v>
      </c>
      <c r="B12" s="29" t="s">
        <v>13</v>
      </c>
      <c r="C12" s="17"/>
      <c r="D12" s="24" t="s">
        <v>14</v>
      </c>
      <c r="E12" s="295"/>
      <c r="F12" s="293"/>
      <c r="G12" s="31" t="s">
        <v>18</v>
      </c>
      <c r="H12" s="32" t="s">
        <v>19</v>
      </c>
      <c r="I12" s="33">
        <f>J180</f>
        <v>531400</v>
      </c>
      <c r="J12" s="282"/>
      <c r="K12" s="281"/>
      <c r="L12" s="281"/>
      <c r="M12" s="281"/>
      <c r="N12" s="281"/>
      <c r="O12" s="281"/>
      <c r="P12" s="281"/>
      <c r="Q12" s="281"/>
      <c r="R12" s="281"/>
      <c r="S12" s="281"/>
      <c r="T12" s="281"/>
      <c r="U12" s="281"/>
      <c r="V12" s="281"/>
      <c r="W12" s="281"/>
      <c r="X12" s="281"/>
      <c r="Y12" s="281"/>
      <c r="Z12" s="281"/>
      <c r="AA12" s="281"/>
      <c r="AB12" s="281"/>
      <c r="AC12" s="281"/>
      <c r="AD12" s="281"/>
    </row>
    <row r="13">
      <c r="A13" s="31" t="s">
        <v>16</v>
      </c>
      <c r="B13" s="75"/>
      <c r="C13" s="75" t="s">
        <v>20</v>
      </c>
      <c r="D13" s="35">
        <f>J35</f>
        <v>113590</v>
      </c>
      <c r="E13" s="296"/>
      <c r="F13" s="297"/>
      <c r="G13" s="298"/>
      <c r="H13" s="30" t="s">
        <v>23</v>
      </c>
      <c r="I13" s="25">
        <f>SUM(I11:I12)</f>
        <v>752400</v>
      </c>
      <c r="J13" s="299"/>
      <c r="K13" s="281"/>
      <c r="L13" s="281"/>
      <c r="M13" s="281"/>
      <c r="N13" s="281"/>
      <c r="O13" s="281"/>
      <c r="P13" s="281"/>
      <c r="Q13" s="281"/>
      <c r="R13" s="281"/>
      <c r="S13" s="281"/>
      <c r="T13" s="281"/>
      <c r="U13" s="281"/>
      <c r="V13" s="281"/>
      <c r="W13" s="281"/>
      <c r="X13" s="281"/>
      <c r="Y13" s="281"/>
      <c r="Z13" s="281"/>
      <c r="AA13" s="281"/>
      <c r="AB13" s="281"/>
      <c r="AC13" s="281"/>
      <c r="AD13" s="281"/>
    </row>
    <row r="14">
      <c r="A14" s="31" t="s">
        <v>18</v>
      </c>
      <c r="B14" s="75"/>
      <c r="C14" s="75" t="s">
        <v>22</v>
      </c>
      <c r="D14" s="35">
        <f>J38</f>
        <v>50000</v>
      </c>
      <c r="E14" s="296"/>
      <c r="F14" s="297"/>
      <c r="G14" s="301" t="s">
        <v>26</v>
      </c>
      <c r="H14" s="17"/>
      <c r="I14" s="302">
        <f>D21+I13</f>
        <v>3209888</v>
      </c>
      <c r="J14" s="299"/>
      <c r="K14" s="281"/>
      <c r="L14" s="281"/>
      <c r="M14" s="281"/>
      <c r="N14" s="281"/>
      <c r="O14" s="281"/>
      <c r="P14" s="281"/>
      <c r="Q14" s="281"/>
      <c r="R14" s="281"/>
      <c r="S14" s="281"/>
      <c r="T14" s="281"/>
      <c r="U14" s="281"/>
      <c r="V14" s="281"/>
      <c r="W14" s="281"/>
      <c r="X14" s="281"/>
      <c r="Y14" s="281"/>
      <c r="Z14" s="281"/>
      <c r="AA14" s="281"/>
      <c r="AB14" s="281"/>
      <c r="AC14" s="281"/>
      <c r="AD14" s="281"/>
    </row>
    <row r="15">
      <c r="A15" s="31" t="s">
        <v>24</v>
      </c>
      <c r="B15" s="34" t="s">
        <v>25</v>
      </c>
      <c r="C15" s="17"/>
      <c r="D15" s="35">
        <f>J41</f>
        <v>187000</v>
      </c>
      <c r="E15" s="296"/>
      <c r="F15" s="297"/>
      <c r="G15" s="303" t="s">
        <v>29</v>
      </c>
      <c r="H15" s="16"/>
      <c r="I15" s="17"/>
      <c r="J15" s="299"/>
      <c r="K15" s="281"/>
      <c r="L15" s="281"/>
      <c r="M15" s="281"/>
      <c r="N15" s="281"/>
      <c r="O15" s="281"/>
      <c r="P15" s="281"/>
      <c r="Q15" s="281"/>
      <c r="R15" s="281"/>
      <c r="S15" s="281"/>
      <c r="T15" s="281"/>
      <c r="U15" s="281"/>
      <c r="V15" s="281"/>
      <c r="W15" s="281"/>
      <c r="X15" s="281"/>
      <c r="Y15" s="281"/>
      <c r="Z15" s="281"/>
      <c r="AA15" s="281"/>
      <c r="AB15" s="281"/>
      <c r="AC15" s="281"/>
      <c r="AD15" s="281"/>
    </row>
    <row r="16">
      <c r="A16" s="31" t="s">
        <v>27</v>
      </c>
      <c r="B16" s="75"/>
      <c r="C16" s="75" t="s">
        <v>28</v>
      </c>
      <c r="D16" s="35">
        <f>J49</f>
        <v>144060</v>
      </c>
      <c r="E16" s="296"/>
      <c r="F16" s="297"/>
      <c r="G16" s="304"/>
      <c r="J16" s="299"/>
      <c r="K16" s="281"/>
      <c r="L16" s="281"/>
      <c r="M16" s="281"/>
      <c r="N16" s="281"/>
      <c r="O16" s="281"/>
      <c r="P16" s="281"/>
      <c r="Q16" s="281"/>
      <c r="R16" s="281"/>
      <c r="S16" s="281"/>
      <c r="T16" s="281"/>
      <c r="U16" s="281"/>
      <c r="V16" s="281"/>
      <c r="W16" s="281"/>
      <c r="X16" s="281"/>
      <c r="Y16" s="281"/>
      <c r="Z16" s="281"/>
      <c r="AA16" s="281"/>
      <c r="AB16" s="281"/>
      <c r="AC16" s="281"/>
      <c r="AD16" s="281"/>
    </row>
    <row r="17">
      <c r="A17" s="31" t="s">
        <v>30</v>
      </c>
      <c r="B17" s="47" t="s">
        <v>31</v>
      </c>
      <c r="C17" s="17"/>
      <c r="D17" s="35">
        <f>J108</f>
        <v>1496700</v>
      </c>
      <c r="E17" s="305"/>
      <c r="F17" s="297"/>
      <c r="G17" s="306"/>
      <c r="J17" s="299"/>
      <c r="K17" s="281"/>
      <c r="L17" s="281"/>
      <c r="M17" s="281"/>
      <c r="N17" s="281"/>
      <c r="O17" s="281"/>
      <c r="P17" s="281"/>
      <c r="Q17" s="281"/>
      <c r="R17" s="281"/>
      <c r="S17" s="281"/>
      <c r="T17" s="281"/>
      <c r="U17" s="281"/>
      <c r="V17" s="281"/>
      <c r="W17" s="281"/>
      <c r="X17" s="281"/>
      <c r="Y17" s="281"/>
      <c r="Z17" s="281"/>
      <c r="AA17" s="281"/>
      <c r="AB17" s="281"/>
      <c r="AC17" s="281"/>
      <c r="AD17" s="281"/>
    </row>
    <row r="18">
      <c r="A18" s="31" t="s">
        <v>32</v>
      </c>
      <c r="B18" s="47" t="s">
        <v>33</v>
      </c>
      <c r="C18" s="17"/>
      <c r="D18" s="35">
        <f>J112</f>
        <v>114330</v>
      </c>
      <c r="E18" s="296"/>
      <c r="F18" s="297"/>
      <c r="G18" s="304"/>
      <c r="J18" s="299"/>
      <c r="K18" s="281"/>
      <c r="L18" s="281"/>
      <c r="M18" s="281"/>
      <c r="N18" s="281"/>
      <c r="O18" s="281"/>
      <c r="P18" s="281"/>
      <c r="Q18" s="281"/>
      <c r="R18" s="281"/>
      <c r="S18" s="281"/>
      <c r="T18" s="281"/>
      <c r="U18" s="281"/>
      <c r="V18" s="281"/>
      <c r="W18" s="281"/>
      <c r="X18" s="281"/>
      <c r="Y18" s="281"/>
      <c r="Z18" s="281"/>
      <c r="AA18" s="281"/>
      <c r="AB18" s="281"/>
      <c r="AC18" s="281"/>
      <c r="AD18" s="281"/>
    </row>
    <row r="19">
      <c r="A19" s="31" t="s">
        <v>34</v>
      </c>
      <c r="B19" s="47" t="s">
        <v>35</v>
      </c>
      <c r="C19" s="17"/>
      <c r="D19" s="35">
        <f>J117</f>
        <v>60000</v>
      </c>
      <c r="E19" s="296"/>
      <c r="I19" s="308"/>
      <c r="J19" s="299"/>
      <c r="K19" s="281"/>
      <c r="L19" s="281"/>
      <c r="M19" s="281"/>
      <c r="N19" s="281"/>
      <c r="O19" s="281"/>
      <c r="P19" s="281"/>
      <c r="Q19" s="281"/>
      <c r="R19" s="281"/>
      <c r="S19" s="281"/>
      <c r="T19" s="281"/>
      <c r="U19" s="281"/>
      <c r="V19" s="281"/>
      <c r="W19" s="281"/>
      <c r="X19" s="281"/>
      <c r="Y19" s="281"/>
      <c r="Z19" s="281"/>
      <c r="AA19" s="281"/>
      <c r="AB19" s="281"/>
      <c r="AC19" s="281"/>
      <c r="AD19" s="281"/>
    </row>
    <row r="20">
      <c r="A20" s="31" t="s">
        <v>36</v>
      </c>
      <c r="B20" s="49" t="s">
        <v>37</v>
      </c>
      <c r="C20" s="17"/>
      <c r="D20" s="310">
        <f>(SUM(D12:D19)+I13)*0.1</f>
        <v>291808</v>
      </c>
      <c r="E20" s="296"/>
      <c r="F20" s="295"/>
      <c r="I20" s="308"/>
      <c r="J20" s="299"/>
      <c r="K20" s="281"/>
      <c r="L20" s="281"/>
      <c r="M20" s="281"/>
      <c r="N20" s="281"/>
      <c r="O20" s="281"/>
      <c r="P20" s="281"/>
      <c r="Q20" s="281"/>
      <c r="R20" s="281"/>
      <c r="S20" s="281"/>
      <c r="T20" s="281"/>
      <c r="U20" s="281"/>
      <c r="V20" s="281"/>
      <c r="W20" s="281"/>
      <c r="X20" s="281"/>
      <c r="Y20" s="281"/>
      <c r="Z20" s="281"/>
      <c r="AA20" s="281"/>
      <c r="AB20" s="281"/>
      <c r="AC20" s="281"/>
      <c r="AD20" s="281"/>
    </row>
    <row r="21">
      <c r="A21" s="298"/>
      <c r="B21" s="22" t="s">
        <v>38</v>
      </c>
      <c r="C21" s="17"/>
      <c r="D21" s="311">
        <f>SUM(D13:D20)</f>
        <v>2457488</v>
      </c>
      <c r="E21" s="296"/>
      <c r="F21" s="295"/>
      <c r="I21" s="312"/>
      <c r="J21" s="299"/>
      <c r="K21" s="281"/>
      <c r="L21" s="281"/>
      <c r="M21" s="281"/>
      <c r="N21" s="281"/>
      <c r="O21" s="281"/>
      <c r="P21" s="281"/>
      <c r="Q21" s="281"/>
      <c r="R21" s="281"/>
      <c r="S21" s="281"/>
      <c r="T21" s="281"/>
      <c r="U21" s="281"/>
      <c r="V21" s="281"/>
      <c r="W21" s="281"/>
      <c r="X21" s="281"/>
      <c r="Y21" s="281"/>
      <c r="Z21" s="281"/>
      <c r="AA21" s="281"/>
      <c r="AB21" s="281"/>
      <c r="AC21" s="281"/>
      <c r="AD21" s="281"/>
    </row>
    <row r="22">
      <c r="A22" s="294"/>
      <c r="B22" s="29" t="s">
        <v>39</v>
      </c>
      <c r="C22" s="17"/>
      <c r="D22" s="51">
        <f>(D21/D11)</f>
        <v>3320.92973</v>
      </c>
      <c r="E22" s="296"/>
      <c r="F22" s="297"/>
      <c r="G22" s="297"/>
      <c r="H22" s="313"/>
      <c r="I22" s="314"/>
      <c r="J22" s="299"/>
      <c r="K22" s="281"/>
      <c r="L22" s="281"/>
      <c r="M22" s="281"/>
      <c r="N22" s="281"/>
      <c r="O22" s="281"/>
      <c r="P22" s="281"/>
      <c r="Q22" s="281"/>
      <c r="R22" s="281"/>
      <c r="S22" s="281"/>
      <c r="T22" s="281"/>
      <c r="U22" s="281"/>
      <c r="V22" s="281"/>
      <c r="W22" s="281"/>
      <c r="X22" s="281"/>
      <c r="Y22" s="281"/>
      <c r="Z22" s="281"/>
      <c r="AA22" s="281"/>
      <c r="AB22" s="281"/>
      <c r="AC22" s="281"/>
      <c r="AD22" s="281"/>
    </row>
    <row r="23">
      <c r="A23" s="285"/>
      <c r="B23" s="285"/>
      <c r="C23" s="285"/>
      <c r="D23" s="285"/>
      <c r="E23" s="285"/>
      <c r="F23" s="285"/>
      <c r="G23" s="285"/>
      <c r="H23" s="286"/>
      <c r="I23" s="315"/>
      <c r="J23" s="286"/>
      <c r="K23" s="285"/>
      <c r="L23" s="281"/>
      <c r="M23" s="281"/>
      <c r="N23" s="281"/>
      <c r="O23" s="281"/>
      <c r="P23" s="281"/>
      <c r="Q23" s="281"/>
      <c r="R23" s="281"/>
      <c r="S23" s="281"/>
      <c r="T23" s="281"/>
      <c r="U23" s="281"/>
      <c r="V23" s="281"/>
      <c r="W23" s="281"/>
      <c r="X23" s="281"/>
      <c r="Y23" s="281"/>
      <c r="Z23" s="281"/>
      <c r="AA23" s="281"/>
      <c r="AB23" s="281"/>
      <c r="AC23" s="281"/>
      <c r="AD23" s="281"/>
    </row>
    <row r="24">
      <c r="A24" s="316" t="s">
        <v>40</v>
      </c>
      <c r="B24" s="317" t="s">
        <v>41</v>
      </c>
      <c r="C24" s="318" t="s">
        <v>42</v>
      </c>
      <c r="D24" s="318" t="s">
        <v>43</v>
      </c>
      <c r="E24" s="318" t="s">
        <v>44</v>
      </c>
      <c r="F24" s="318" t="s">
        <v>45</v>
      </c>
      <c r="G24" s="318" t="s">
        <v>46</v>
      </c>
      <c r="H24" s="319" t="s">
        <v>47</v>
      </c>
      <c r="I24" s="320" t="s">
        <v>562</v>
      </c>
      <c r="J24" s="319" t="s">
        <v>14</v>
      </c>
      <c r="K24" s="57" t="s">
        <v>53</v>
      </c>
      <c r="L24" s="293"/>
      <c r="M24" s="281"/>
      <c r="N24" s="319" t="s">
        <v>563</v>
      </c>
      <c r="O24" s="319" t="s">
        <v>14</v>
      </c>
      <c r="P24" s="281"/>
      <c r="Q24" s="281"/>
      <c r="R24" s="281"/>
      <c r="S24" s="281"/>
      <c r="T24" s="281"/>
      <c r="U24" s="281"/>
      <c r="V24" s="281"/>
      <c r="W24" s="281"/>
      <c r="X24" s="281"/>
      <c r="Y24" s="281"/>
      <c r="Z24" s="281"/>
      <c r="AA24" s="281"/>
      <c r="AB24" s="281"/>
      <c r="AC24" s="281"/>
      <c r="AD24" s="281"/>
    </row>
    <row r="25" ht="28.5" customHeight="1">
      <c r="A25" s="321" t="s">
        <v>20</v>
      </c>
      <c r="B25" s="322"/>
      <c r="C25" s="322"/>
      <c r="D25" s="322"/>
      <c r="E25" s="322"/>
      <c r="F25" s="322"/>
      <c r="G25" s="323"/>
      <c r="H25" s="324"/>
      <c r="I25" s="298"/>
      <c r="J25" s="324"/>
      <c r="K25" s="294"/>
      <c r="L25" s="325"/>
      <c r="M25" s="325"/>
      <c r="N25" s="326"/>
      <c r="O25" s="327"/>
      <c r="P25" s="281"/>
      <c r="Q25" s="281"/>
      <c r="R25" s="281"/>
      <c r="S25" s="281"/>
      <c r="T25" s="281"/>
      <c r="U25" s="281"/>
      <c r="V25" s="281"/>
      <c r="W25" s="281"/>
      <c r="X25" s="281"/>
      <c r="Y25" s="281"/>
      <c r="Z25" s="281"/>
      <c r="AA25" s="281"/>
      <c r="AB25" s="281"/>
      <c r="AC25" s="281"/>
      <c r="AD25" s="281"/>
    </row>
    <row r="26">
      <c r="A26" s="347" t="s">
        <v>16</v>
      </c>
      <c r="B26" s="400" t="s">
        <v>802</v>
      </c>
      <c r="C26" s="343" t="str">
        <f>VLOOKUP($B26,'Rate card'!$A$4:$G195,2,FALSE)</f>
        <v>Demolition</v>
      </c>
      <c r="D26" s="343" t="str">
        <f>VLOOKUP($B26,'Rate card'!$A$4:$G195,3,FALSE)</f>
        <v>Kitchen platform</v>
      </c>
      <c r="E26" s="343" t="str">
        <f>VLOOKUP($B26,'Rate card'!$A$4:$G195,4,FALSE)</f>
        <v>NA</v>
      </c>
      <c r="F26" s="343" t="str">
        <f>VLOOKUP($B26,'Rate card'!$A$4:$G195,5,FALSE)</f>
        <v>Demolition</v>
      </c>
      <c r="G26" s="343" t="s">
        <v>175</v>
      </c>
      <c r="H26" s="343">
        <v>100.0</v>
      </c>
      <c r="I26" s="344" t="s">
        <v>693</v>
      </c>
      <c r="J26" s="332">
        <f t="shared" ref="J26:J27" si="1">I26*H26</f>
        <v>3200</v>
      </c>
      <c r="K26" s="333" t="s">
        <v>578</v>
      </c>
      <c r="L26" s="348"/>
      <c r="M26" s="335"/>
      <c r="N26" s="336"/>
      <c r="O26" s="346"/>
      <c r="P26" s="346"/>
      <c r="Q26" s="335"/>
      <c r="R26" s="335"/>
      <c r="S26" s="335"/>
      <c r="T26" s="335"/>
      <c r="U26" s="335"/>
      <c r="V26" s="335"/>
      <c r="W26" s="335"/>
      <c r="X26" s="335"/>
      <c r="Y26" s="335"/>
      <c r="Z26" s="335"/>
      <c r="AA26" s="335"/>
      <c r="AB26" s="335"/>
      <c r="AC26" s="335"/>
      <c r="AD26" s="335"/>
    </row>
    <row r="27">
      <c r="A27" s="347" t="s">
        <v>18</v>
      </c>
      <c r="B27" s="342"/>
      <c r="C27" s="343" t="s">
        <v>59</v>
      </c>
      <c r="D27" s="343" t="s">
        <v>569</v>
      </c>
      <c r="E27" s="343" t="s">
        <v>61</v>
      </c>
      <c r="F27" s="343" t="s">
        <v>59</v>
      </c>
      <c r="G27" s="343" t="s">
        <v>339</v>
      </c>
      <c r="H27" s="343">
        <v>45.0</v>
      </c>
      <c r="I27" s="344" t="s">
        <v>803</v>
      </c>
      <c r="J27" s="332">
        <f t="shared" si="1"/>
        <v>11340</v>
      </c>
      <c r="K27" s="333" t="s">
        <v>578</v>
      </c>
      <c r="L27" s="348"/>
      <c r="M27" s="335"/>
      <c r="N27" s="336"/>
      <c r="O27" s="346"/>
      <c r="P27" s="346"/>
      <c r="Q27" s="335"/>
      <c r="R27" s="335"/>
      <c r="S27" s="335"/>
      <c r="T27" s="335"/>
      <c r="U27" s="335"/>
      <c r="V27" s="335"/>
      <c r="W27" s="335"/>
      <c r="X27" s="335"/>
      <c r="Y27" s="335"/>
      <c r="Z27" s="335"/>
      <c r="AA27" s="335"/>
      <c r="AB27" s="335"/>
      <c r="AC27" s="335"/>
      <c r="AD27" s="335"/>
    </row>
    <row r="28">
      <c r="A28" s="347" t="s">
        <v>24</v>
      </c>
      <c r="B28" s="349"/>
      <c r="C28" s="343" t="s">
        <v>59</v>
      </c>
      <c r="D28" s="344" t="s">
        <v>804</v>
      </c>
      <c r="E28" s="350" t="s">
        <v>805</v>
      </c>
      <c r="F28" s="343" t="s">
        <v>59</v>
      </c>
      <c r="G28" s="350" t="s">
        <v>175</v>
      </c>
      <c r="H28" s="352">
        <v>45.0</v>
      </c>
      <c r="I28" s="351" t="s">
        <v>806</v>
      </c>
      <c r="J28" s="352">
        <f>H28*I28</f>
        <v>3150</v>
      </c>
      <c r="K28" s="667" t="s">
        <v>578</v>
      </c>
      <c r="L28" s="179"/>
      <c r="M28" s="179"/>
      <c r="N28" s="353"/>
      <c r="O28" s="354"/>
      <c r="P28" s="148"/>
      <c r="Q28" s="148"/>
      <c r="R28" s="148"/>
      <c r="S28" s="148"/>
      <c r="T28" s="148"/>
      <c r="U28" s="148"/>
      <c r="V28" s="148"/>
      <c r="W28" s="148"/>
      <c r="X28" s="148"/>
      <c r="Y28" s="148"/>
      <c r="Z28" s="148"/>
      <c r="AA28" s="148"/>
      <c r="AB28" s="148"/>
      <c r="AC28" s="148"/>
      <c r="AD28" s="148"/>
    </row>
    <row r="29">
      <c r="A29" s="347" t="s">
        <v>27</v>
      </c>
      <c r="B29" s="342"/>
      <c r="C29" s="343" t="s">
        <v>20</v>
      </c>
      <c r="D29" s="343" t="s">
        <v>569</v>
      </c>
      <c r="E29" s="668"/>
      <c r="F29" s="343" t="s">
        <v>807</v>
      </c>
      <c r="G29" s="343" t="s">
        <v>175</v>
      </c>
      <c r="H29" s="343">
        <v>150.0</v>
      </c>
      <c r="I29" s="344" t="s">
        <v>803</v>
      </c>
      <c r="J29" s="332">
        <f t="shared" ref="J29:J31" si="2">I29*H29</f>
        <v>37800</v>
      </c>
      <c r="K29" s="333" t="s">
        <v>578</v>
      </c>
      <c r="L29" s="335"/>
      <c r="M29" s="335"/>
      <c r="N29" s="336"/>
      <c r="O29" s="346"/>
      <c r="P29" s="346"/>
      <c r="Q29" s="335"/>
      <c r="R29" s="335"/>
      <c r="S29" s="335"/>
      <c r="T29" s="335"/>
      <c r="U29" s="335"/>
      <c r="V29" s="335"/>
      <c r="W29" s="335"/>
      <c r="X29" s="335"/>
      <c r="Y29" s="335"/>
      <c r="Z29" s="335"/>
      <c r="AA29" s="335"/>
      <c r="AB29" s="335"/>
      <c r="AC29" s="335"/>
      <c r="AD29" s="335"/>
    </row>
    <row r="30">
      <c r="A30" s="347" t="s">
        <v>30</v>
      </c>
      <c r="B30" s="347" t="s">
        <v>576</v>
      </c>
      <c r="C30" s="329" t="str">
        <f>VLOOKUP($B30,'Rate card'!$A$4:$G195,2,FALSE)</f>
        <v>Civil</v>
      </c>
      <c r="D30" s="329" t="str">
        <f>VLOOKUP($B30,'Rate card'!$A$4:$G195,3,FALSE)</f>
        <v>Kitchen platform</v>
      </c>
      <c r="E30" s="329" t="str">
        <f>VLOOKUP($B30,'Rate card'!$A$4:$G195,4,FALSE)</f>
        <v>Fully Modular Kitchen - Granite/Marble</v>
      </c>
      <c r="F30" s="329" t="str">
        <f>VLOOKUP($B30,'Rate card'!$A$4:$G195,5,FALSE)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30" s="329" t="str">
        <f>VLOOKUP($B30,'Rate card'!$A$4:$G195,6,FALSE)</f>
        <v>Sqft</v>
      </c>
      <c r="H30" s="330">
        <v>500.0</v>
      </c>
      <c r="I30" s="331" t="s">
        <v>693</v>
      </c>
      <c r="J30" s="332">
        <f t="shared" si="2"/>
        <v>16000</v>
      </c>
      <c r="K30" s="333" t="s">
        <v>578</v>
      </c>
      <c r="L30" s="348"/>
      <c r="M30" s="335"/>
      <c r="N30" s="336"/>
      <c r="O30" s="337">
        <f>VLOOKUP($B30,'Rate card'!$A$4:$J195,7,FALSE)</f>
        <v>150</v>
      </c>
      <c r="P30" s="338"/>
      <c r="Q30" s="335"/>
      <c r="R30" s="335"/>
      <c r="S30" s="335"/>
      <c r="T30" s="335"/>
      <c r="U30" s="335"/>
      <c r="V30" s="335"/>
      <c r="W30" s="335"/>
      <c r="X30" s="335"/>
      <c r="Y30" s="335"/>
      <c r="Z30" s="335"/>
      <c r="AA30" s="335"/>
      <c r="AB30" s="335"/>
      <c r="AC30" s="335"/>
      <c r="AD30" s="335"/>
    </row>
    <row r="31">
      <c r="A31" s="347" t="s">
        <v>32</v>
      </c>
      <c r="B31" s="347" t="s">
        <v>576</v>
      </c>
      <c r="C31" s="329" t="str">
        <f>VLOOKUP($B31,'Rate card'!$A$4:$G195,2,FALSE)</f>
        <v>Civil</v>
      </c>
      <c r="D31" s="331" t="s">
        <v>808</v>
      </c>
      <c r="E31" s="329" t="str">
        <f>VLOOKUP($B31,'Rate card'!$A$4:$G195,4,FALSE)</f>
        <v>Fully Modular Kitchen - Granite/Marble</v>
      </c>
      <c r="F31" s="329" t="str">
        <f>VLOOKUP($B31,'Rate card'!$A$4:$G195,5,FALSE)</f>
        <v>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v>
      </c>
      <c r="G31" s="329" t="str">
        <f>VLOOKUP($B31,'Rate card'!$A$4:$G195,6,FALSE)</f>
        <v>Sqft</v>
      </c>
      <c r="H31" s="330">
        <v>500.0</v>
      </c>
      <c r="I31" s="331" t="s">
        <v>112</v>
      </c>
      <c r="J31" s="332">
        <f t="shared" si="2"/>
        <v>8500</v>
      </c>
      <c r="K31" s="333" t="s">
        <v>580</v>
      </c>
      <c r="L31" s="348"/>
      <c r="M31" s="335"/>
      <c r="N31" s="336"/>
      <c r="O31" s="337">
        <f>VLOOKUP($B31,'Rate card'!$A$4:$J195,7,FALSE)</f>
        <v>150</v>
      </c>
      <c r="P31" s="338"/>
      <c r="Q31" s="335"/>
      <c r="R31" s="335"/>
      <c r="S31" s="335"/>
      <c r="T31" s="335"/>
      <c r="U31" s="335"/>
      <c r="V31" s="335"/>
      <c r="W31" s="335"/>
      <c r="X31" s="335"/>
      <c r="Y31" s="335"/>
      <c r="Z31" s="335"/>
      <c r="AA31" s="335"/>
      <c r="AB31" s="335"/>
      <c r="AC31" s="335"/>
      <c r="AD31" s="335"/>
    </row>
    <row r="32">
      <c r="A32" s="347" t="s">
        <v>34</v>
      </c>
      <c r="B32" s="349"/>
      <c r="C32" s="350" t="s">
        <v>20</v>
      </c>
      <c r="D32" s="350" t="s">
        <v>809</v>
      </c>
      <c r="E32" s="350" t="s">
        <v>805</v>
      </c>
      <c r="F32" s="404" t="s">
        <v>810</v>
      </c>
      <c r="G32" s="350" t="s">
        <v>175</v>
      </c>
      <c r="H32" s="352">
        <v>140.0</v>
      </c>
      <c r="I32" s="351" t="s">
        <v>806</v>
      </c>
      <c r="J32" s="352">
        <f t="shared" ref="J32:J34" si="3">H32*I32</f>
        <v>9800</v>
      </c>
      <c r="K32" s="333" t="s">
        <v>578</v>
      </c>
      <c r="L32" s="179"/>
      <c r="M32" s="179"/>
      <c r="N32" s="353"/>
      <c r="O32" s="354"/>
      <c r="P32" s="355"/>
      <c r="Q32" s="148"/>
      <c r="R32" s="148"/>
      <c r="S32" s="148"/>
      <c r="T32" s="148"/>
      <c r="U32" s="148"/>
      <c r="V32" s="148"/>
      <c r="W32" s="148"/>
      <c r="X32" s="148"/>
      <c r="Y32" s="148"/>
      <c r="Z32" s="148"/>
      <c r="AA32" s="148"/>
      <c r="AB32" s="148"/>
      <c r="AC32" s="148"/>
      <c r="AD32" s="148"/>
    </row>
    <row r="33">
      <c r="A33" s="347" t="s">
        <v>36</v>
      </c>
      <c r="B33" s="349"/>
      <c r="C33" s="350" t="s">
        <v>20</v>
      </c>
      <c r="D33" s="350" t="s">
        <v>809</v>
      </c>
      <c r="E33" s="350" t="s">
        <v>805</v>
      </c>
      <c r="F33" s="404" t="s">
        <v>810</v>
      </c>
      <c r="G33" s="351" t="s">
        <v>188</v>
      </c>
      <c r="H33" s="352">
        <v>140.0</v>
      </c>
      <c r="I33" s="351" t="s">
        <v>806</v>
      </c>
      <c r="J33" s="352">
        <f t="shared" si="3"/>
        <v>9800</v>
      </c>
      <c r="K33" s="333" t="s">
        <v>578</v>
      </c>
      <c r="L33" s="179"/>
      <c r="M33" s="179"/>
      <c r="N33" s="353"/>
      <c r="O33" s="354"/>
      <c r="P33" s="355"/>
      <c r="Q33" s="148"/>
      <c r="R33" s="148"/>
      <c r="S33" s="148"/>
      <c r="T33" s="148"/>
      <c r="U33" s="148"/>
      <c r="V33" s="148"/>
      <c r="W33" s="148"/>
      <c r="X33" s="148"/>
      <c r="Y33" s="148"/>
      <c r="Z33" s="148"/>
      <c r="AA33" s="148"/>
      <c r="AB33" s="148"/>
      <c r="AC33" s="148"/>
      <c r="AD33" s="148"/>
    </row>
    <row r="34">
      <c r="A34" s="347" t="s">
        <v>92</v>
      </c>
      <c r="B34" s="349"/>
      <c r="C34" s="350" t="s">
        <v>20</v>
      </c>
      <c r="D34" s="350" t="s">
        <v>809</v>
      </c>
      <c r="E34" s="351" t="s">
        <v>654</v>
      </c>
      <c r="F34" s="404" t="s">
        <v>810</v>
      </c>
      <c r="G34" s="350" t="s">
        <v>175</v>
      </c>
      <c r="H34" s="667">
        <v>100.0</v>
      </c>
      <c r="I34" s="351" t="s">
        <v>571</v>
      </c>
      <c r="J34" s="352">
        <f t="shared" si="3"/>
        <v>14000</v>
      </c>
      <c r="K34" s="333" t="s">
        <v>578</v>
      </c>
      <c r="L34" s="179"/>
      <c r="M34" s="179"/>
      <c r="N34" s="353"/>
      <c r="O34" s="354"/>
      <c r="P34" s="355"/>
      <c r="Q34" s="148"/>
      <c r="R34" s="148"/>
      <c r="S34" s="148"/>
      <c r="T34" s="148"/>
      <c r="U34" s="148"/>
      <c r="V34" s="148"/>
      <c r="W34" s="148"/>
      <c r="X34" s="148"/>
      <c r="Y34" s="148"/>
      <c r="Z34" s="148"/>
      <c r="AA34" s="148"/>
      <c r="AB34" s="148"/>
      <c r="AC34" s="148"/>
      <c r="AD34" s="148"/>
    </row>
    <row r="35">
      <c r="A35" s="366"/>
      <c r="B35" s="367"/>
      <c r="C35" s="367"/>
      <c r="D35" s="367"/>
      <c r="E35" s="367"/>
      <c r="F35" s="367"/>
      <c r="G35" s="367"/>
      <c r="H35" s="368"/>
      <c r="I35" s="369" t="s">
        <v>125</v>
      </c>
      <c r="J35" s="370">
        <f>SUM(J26:J34)</f>
        <v>113590</v>
      </c>
      <c r="K35" s="370"/>
      <c r="L35" s="335"/>
      <c r="M35" s="335"/>
      <c r="N35" s="336"/>
      <c r="O35" s="346"/>
      <c r="P35" s="371"/>
      <c r="Q35" s="335"/>
      <c r="R35" s="335"/>
      <c r="S35" s="335"/>
      <c r="T35" s="335"/>
      <c r="U35" s="335"/>
      <c r="V35" s="335"/>
      <c r="W35" s="335"/>
      <c r="X35" s="335"/>
      <c r="Y35" s="335"/>
      <c r="Z35" s="335"/>
      <c r="AA35" s="335"/>
      <c r="AB35" s="335"/>
      <c r="AC35" s="335"/>
      <c r="AD35" s="335"/>
    </row>
    <row r="36" ht="28.5" customHeight="1">
      <c r="A36" s="321" t="s">
        <v>22</v>
      </c>
      <c r="B36" s="322"/>
      <c r="C36" s="322"/>
      <c r="D36" s="322"/>
      <c r="E36" s="322"/>
      <c r="F36" s="322"/>
      <c r="G36" s="323"/>
      <c r="H36" s="324"/>
      <c r="I36" s="298"/>
      <c r="J36" s="324"/>
      <c r="K36" s="294"/>
      <c r="L36" s="325"/>
      <c r="M36" s="325"/>
      <c r="N36" s="372"/>
      <c r="O36" s="373"/>
      <c r="P36" s="281"/>
      <c r="Q36" s="281"/>
      <c r="R36" s="281"/>
      <c r="S36" s="281"/>
      <c r="T36" s="281"/>
      <c r="U36" s="281"/>
      <c r="V36" s="281"/>
      <c r="W36" s="281"/>
      <c r="X36" s="281"/>
      <c r="Y36" s="281"/>
      <c r="Z36" s="281"/>
      <c r="AA36" s="281"/>
      <c r="AB36" s="281"/>
      <c r="AC36" s="281"/>
      <c r="AD36" s="281"/>
    </row>
    <row r="37">
      <c r="A37" s="329" t="s">
        <v>16</v>
      </c>
      <c r="B37" s="328" t="s">
        <v>126</v>
      </c>
      <c r="C37" s="339" t="s">
        <v>22</v>
      </c>
      <c r="D37" s="339" t="s">
        <v>127</v>
      </c>
      <c r="E37" s="339" t="s">
        <v>595</v>
      </c>
      <c r="F37" s="340" t="s">
        <v>596</v>
      </c>
      <c r="G37" s="339" t="s">
        <v>130</v>
      </c>
      <c r="H37" s="374" t="s">
        <v>670</v>
      </c>
      <c r="I37" s="374" t="s">
        <v>18</v>
      </c>
      <c r="J37" s="330">
        <f>H37*I37</f>
        <v>50000</v>
      </c>
      <c r="K37" s="333" t="s">
        <v>811</v>
      </c>
      <c r="L37" s="179"/>
      <c r="M37" s="179"/>
      <c r="N37" s="375">
        <f>VLOOKUP($B37,'Rate card'!$A$4:$J195,7,FALSE)</f>
        <v>8000</v>
      </c>
      <c r="O37" s="376">
        <f>I37*N37</f>
        <v>16000</v>
      </c>
      <c r="P37" s="148"/>
      <c r="Q37" s="148"/>
      <c r="R37" s="148"/>
      <c r="S37" s="148"/>
      <c r="T37" s="148"/>
      <c r="U37" s="148"/>
      <c r="V37" s="148"/>
      <c r="W37" s="148"/>
      <c r="X37" s="148"/>
      <c r="Y37" s="148"/>
      <c r="Z37" s="148"/>
      <c r="AA37" s="148"/>
      <c r="AB37" s="148"/>
      <c r="AC37" s="148"/>
      <c r="AD37" s="148"/>
    </row>
    <row r="38">
      <c r="A38" s="366"/>
      <c r="B38" s="367"/>
      <c r="C38" s="367"/>
      <c r="D38" s="367"/>
      <c r="E38" s="367"/>
      <c r="F38" s="367"/>
      <c r="G38" s="367"/>
      <c r="H38" s="379"/>
      <c r="I38" s="369" t="s">
        <v>125</v>
      </c>
      <c r="J38" s="370">
        <f>SUM(J37)</f>
        <v>50000</v>
      </c>
      <c r="K38" s="370"/>
      <c r="L38" s="335"/>
      <c r="M38" s="335"/>
      <c r="N38" s="336"/>
      <c r="O38" s="346"/>
      <c r="P38" s="371"/>
      <c r="Q38" s="335"/>
      <c r="R38" s="335"/>
      <c r="S38" s="335"/>
      <c r="T38" s="335"/>
      <c r="U38" s="335"/>
      <c r="V38" s="335"/>
      <c r="W38" s="335"/>
      <c r="X38" s="335"/>
      <c r="Y38" s="335"/>
      <c r="Z38" s="335"/>
      <c r="AA38" s="335"/>
      <c r="AB38" s="335"/>
      <c r="AC38" s="335"/>
      <c r="AD38" s="335"/>
    </row>
    <row r="39" ht="28.5" customHeight="1">
      <c r="A39" s="321" t="s">
        <v>25</v>
      </c>
      <c r="B39" s="322"/>
      <c r="C39" s="322"/>
      <c r="D39" s="322"/>
      <c r="E39" s="322"/>
      <c r="F39" s="322"/>
      <c r="G39" s="323"/>
      <c r="H39" s="324"/>
      <c r="I39" s="298"/>
      <c r="J39" s="324"/>
      <c r="K39" s="294"/>
      <c r="L39" s="325"/>
      <c r="M39" s="325"/>
      <c r="N39" s="372"/>
      <c r="O39" s="373"/>
      <c r="P39" s="281"/>
      <c r="Q39" s="281"/>
      <c r="R39" s="281"/>
      <c r="S39" s="281"/>
      <c r="T39" s="281"/>
      <c r="U39" s="281"/>
      <c r="V39" s="281"/>
      <c r="W39" s="281"/>
      <c r="X39" s="281"/>
      <c r="Y39" s="281"/>
      <c r="Z39" s="281"/>
      <c r="AA39" s="281"/>
      <c r="AB39" s="281"/>
      <c r="AC39" s="281"/>
      <c r="AD39" s="281"/>
    </row>
    <row r="40">
      <c r="A40" s="329" t="s">
        <v>16</v>
      </c>
      <c r="B40" s="347" t="s">
        <v>141</v>
      </c>
      <c r="C40" s="380" t="s">
        <v>25</v>
      </c>
      <c r="D40" s="343" t="s">
        <v>142</v>
      </c>
      <c r="E40" s="380" t="s">
        <v>143</v>
      </c>
      <c r="F40" s="380" t="s">
        <v>144</v>
      </c>
      <c r="G40" s="381" t="s">
        <v>145</v>
      </c>
      <c r="H40" s="380" t="s">
        <v>63</v>
      </c>
      <c r="I40" s="374" t="s">
        <v>812</v>
      </c>
      <c r="J40" s="330">
        <f>H40*I40</f>
        <v>187000</v>
      </c>
      <c r="K40" s="495">
        <f>J40</f>
        <v>187000</v>
      </c>
      <c r="L40" s="179"/>
      <c r="M40" s="179"/>
      <c r="N40" s="375">
        <f>VLOOKUP($B40,'Rate card'!$A$4:$J195,7,FALSE)</f>
        <v>625</v>
      </c>
      <c r="O40" s="376">
        <f>I40*N40</f>
        <v>467500</v>
      </c>
      <c r="P40" s="148"/>
      <c r="Q40" s="148"/>
      <c r="R40" s="148"/>
      <c r="S40" s="148"/>
      <c r="T40" s="148"/>
      <c r="U40" s="148"/>
      <c r="V40" s="148"/>
      <c r="W40" s="148"/>
      <c r="X40" s="148"/>
      <c r="Y40" s="148"/>
      <c r="Z40" s="148"/>
      <c r="AA40" s="148"/>
      <c r="AB40" s="148"/>
      <c r="AC40" s="148"/>
      <c r="AD40" s="148"/>
    </row>
    <row r="41">
      <c r="A41" s="382"/>
      <c r="B41" s="382"/>
      <c r="C41" s="154"/>
      <c r="D41" s="154"/>
      <c r="E41" s="154"/>
      <c r="F41" s="154"/>
      <c r="G41" s="154"/>
      <c r="H41" s="383"/>
      <c r="I41" s="369" t="s">
        <v>125</v>
      </c>
      <c r="J41" s="384">
        <f>SUM(J40)</f>
        <v>187000</v>
      </c>
      <c r="K41" s="189"/>
      <c r="L41" s="385"/>
      <c r="M41" s="179"/>
      <c r="N41" s="386"/>
      <c r="O41" s="387"/>
      <c r="P41" s="376"/>
      <c r="Q41" s="148"/>
      <c r="R41" s="148"/>
      <c r="S41" s="148"/>
      <c r="T41" s="148"/>
      <c r="U41" s="148"/>
      <c r="V41" s="148"/>
      <c r="W41" s="148"/>
      <c r="X41" s="148"/>
      <c r="Y41" s="148"/>
      <c r="Z41" s="148"/>
      <c r="AA41" s="148"/>
      <c r="AB41" s="148"/>
      <c r="AC41" s="148"/>
      <c r="AD41" s="148"/>
    </row>
    <row r="42">
      <c r="A42" s="388" t="s">
        <v>148</v>
      </c>
      <c r="B42" s="389"/>
      <c r="C42" s="389"/>
      <c r="D42" s="389"/>
      <c r="E42" s="389"/>
      <c r="F42" s="389"/>
      <c r="G42" s="390"/>
      <c r="H42" s="391"/>
      <c r="I42" s="390"/>
      <c r="J42" s="390"/>
      <c r="K42" s="392"/>
      <c r="L42" s="335"/>
      <c r="M42" s="393"/>
      <c r="N42" s="394"/>
      <c r="O42" s="346"/>
      <c r="P42" s="346"/>
      <c r="Q42" s="346"/>
      <c r="R42" s="346"/>
      <c r="S42" s="346"/>
      <c r="T42" s="346"/>
      <c r="U42" s="346"/>
      <c r="V42" s="346"/>
      <c r="W42" s="346"/>
      <c r="X42" s="346"/>
      <c r="Y42" s="346"/>
      <c r="Z42" s="346"/>
      <c r="AA42" s="346"/>
      <c r="AB42" s="346"/>
      <c r="AC42" s="148"/>
      <c r="AD42" s="148"/>
    </row>
    <row r="43">
      <c r="A43" s="347" t="s">
        <v>16</v>
      </c>
      <c r="B43" s="343" t="s">
        <v>149</v>
      </c>
      <c r="C43" s="343" t="str">
        <f>VLOOKUP($B43,'Rate card'!$A$4:$G195,2,FALSE)</f>
        <v>False Ceiling</v>
      </c>
      <c r="D43" s="343" t="str">
        <f>VLOOKUP($B43,'Rate card'!$A$4:$G195,3,FALSE)</f>
        <v>Gypsum Board Ceiling</v>
      </c>
      <c r="E43" s="343" t="str">
        <f>VLOOKUP($B43,'Rate card'!$A$4:$G195,4,FALSE)</f>
        <v>Saint Gobain/Gyproc Board + local A Grade  channel</v>
      </c>
      <c r="F43" s="343" t="str">
        <f>VLOOKUP($B43,'Rate card'!$A$4:$G195,5,FALSE)</f>
        <v>12.5mm thick gypsum board, with local A Grade Channel including all material, labour, transportation etc | Ceiling Channel and Intermediate Channel at 900mm c/c &amp; Ceiling Section at 450mm c/c</v>
      </c>
      <c r="G43" s="343" t="str">
        <f>VLOOKUP($B43,'Rate card'!$A$4:$G195,6,FALSE)</f>
        <v>Sqft</v>
      </c>
      <c r="H43" s="395">
        <v>120.0</v>
      </c>
      <c r="I43" s="344" t="s">
        <v>813</v>
      </c>
      <c r="J43" s="396">
        <f t="shared" ref="J43:J48" si="4">H43*I43</f>
        <v>68760</v>
      </c>
      <c r="K43" s="397" t="s">
        <v>151</v>
      </c>
      <c r="L43" s="346"/>
      <c r="M43" s="346"/>
      <c r="N43" s="398"/>
      <c r="O43" s="346"/>
      <c r="P43" s="346"/>
      <c r="Q43" s="346"/>
      <c r="R43" s="346"/>
      <c r="S43" s="346"/>
      <c r="T43" s="346"/>
      <c r="U43" s="346"/>
      <c r="V43" s="346"/>
      <c r="W43" s="346"/>
      <c r="X43" s="346"/>
      <c r="Y43" s="346"/>
      <c r="Z43" s="346"/>
      <c r="AA43" s="346"/>
      <c r="AB43" s="346"/>
      <c r="AC43" s="148"/>
      <c r="AD43" s="148"/>
    </row>
    <row r="44">
      <c r="A44" s="347" t="s">
        <v>18</v>
      </c>
      <c r="B44" s="347" t="s">
        <v>152</v>
      </c>
      <c r="C44" s="329" t="str">
        <f>VLOOKUP($B44,'Rate card'!$A$4:$G195,2,FALSE)</f>
        <v>False Ceiling</v>
      </c>
      <c r="D44" s="329" t="str">
        <f>VLOOKUP($B44,'Rate card'!$A$4:$G195,3,FALSE)</f>
        <v>Gypsum Board Cove</v>
      </c>
      <c r="E44" s="329" t="str">
        <f>VLOOKUP($B44,'Rate card'!$A$4:$G195,4,FALSE)</f>
        <v>Gypsum cove</v>
      </c>
      <c r="F44" s="329" t="str">
        <f>VLOOKUP($B44,'Rate card'!$A$4:$G195,5,FALSE)</f>
        <v>12.5mm thick gypsum board, with local A Grade Channel including all material, labour, transportation etc | Ceiling Channel and Intermediate Channel at 900mm c/c &amp; Ceiling Section at 450mm c/c</v>
      </c>
      <c r="G44" s="329" t="str">
        <f>VLOOKUP($B44,'Rate card'!$A$4:$G195,6,FALSE)</f>
        <v>Rft</v>
      </c>
      <c r="H44" s="395">
        <v>120.0</v>
      </c>
      <c r="I44" s="328" t="s">
        <v>90</v>
      </c>
      <c r="J44" s="399">
        <f t="shared" si="4"/>
        <v>24000</v>
      </c>
      <c r="K44" s="397" t="s">
        <v>151</v>
      </c>
      <c r="L44" s="346"/>
      <c r="M44" s="346"/>
      <c r="N44" s="398"/>
      <c r="O44" s="346"/>
      <c r="P44" s="346"/>
      <c r="Q44" s="346"/>
      <c r="R44" s="346"/>
      <c r="S44" s="346"/>
      <c r="T44" s="346"/>
      <c r="U44" s="346"/>
      <c r="V44" s="346"/>
      <c r="W44" s="346"/>
      <c r="X44" s="346"/>
      <c r="Y44" s="346"/>
      <c r="Z44" s="346"/>
      <c r="AA44" s="346"/>
      <c r="AB44" s="346"/>
      <c r="AC44" s="148"/>
      <c r="AD44" s="148"/>
    </row>
    <row r="45">
      <c r="A45" s="347" t="s">
        <v>24</v>
      </c>
      <c r="B45" s="356" t="s">
        <v>154</v>
      </c>
      <c r="C45" s="154" t="str">
        <f>VLOOKUP($B45,'Rate card'!$A$4:$G195,2,FALSE)</f>
        <v>False Ceiling</v>
      </c>
      <c r="D45" s="154" t="str">
        <f>VLOOKUP($B45,'Rate card'!$A$4:$G195,3,FALSE)</f>
        <v>Hilux Board ceiling</v>
      </c>
      <c r="E45" s="154" t="str">
        <f>VLOOKUP($B45,'Rate card'!$A$4:$G195,4,FALSE)</f>
        <v>Hilux Board + local A Grade  channel</v>
      </c>
      <c r="F45" s="154" t="str">
        <f>VLOOKUP($B45,'Rate card'!$A$4:$G195,5,FALSE)</f>
        <v>8mm Ramco hilux board, with local A Grade Channel including all material, labour, transportation etc | Ceiling Channel and Intermediate Channel at 900mm c/c &amp; Ceiling Section at 450mm c/c</v>
      </c>
      <c r="G45" s="154" t="str">
        <f>VLOOKUP($B45,'Rate card'!$A$4:$G195,6,FALSE)</f>
        <v>Sqft</v>
      </c>
      <c r="H45" s="151">
        <v>200.0</v>
      </c>
      <c r="I45" s="362" t="s">
        <v>814</v>
      </c>
      <c r="J45" s="358">
        <f t="shared" si="4"/>
        <v>17800</v>
      </c>
      <c r="K45" s="150" t="s">
        <v>156</v>
      </c>
      <c r="L45" s="148"/>
      <c r="M45" s="148"/>
      <c r="N45" s="151">
        <f>VLOOKUP($B45,'Rate card'!$A$4:$J195,7,FALSE)</f>
        <v>120</v>
      </c>
      <c r="O45" s="376">
        <f>I45*N45</f>
        <v>10680</v>
      </c>
      <c r="P45" s="148"/>
      <c r="Q45" s="148"/>
      <c r="R45" s="148"/>
      <c r="S45" s="148"/>
      <c r="T45" s="148"/>
      <c r="U45" s="148"/>
      <c r="V45" s="148"/>
      <c r="W45" s="148"/>
      <c r="X45" s="148"/>
      <c r="Y45" s="148"/>
      <c r="Z45" s="148"/>
      <c r="AA45" s="148"/>
      <c r="AB45" s="148"/>
      <c r="AC45" s="148"/>
      <c r="AD45" s="148"/>
    </row>
    <row r="46">
      <c r="A46" s="347" t="s">
        <v>27</v>
      </c>
      <c r="B46" s="400" t="s">
        <v>157</v>
      </c>
      <c r="C46" s="343" t="str">
        <f>VLOOKUP($B46,'Rate card'!$A$4:$G195,2,FALSE)</f>
        <v>POP</v>
      </c>
      <c r="D46" s="343" t="str">
        <f>VLOOKUP($B46,'Rate card'!$A$4:$G195,3,FALSE)</f>
        <v>POP Punning</v>
      </c>
      <c r="E46" s="343" t="str">
        <f>VLOOKUP($B46,'Rate card'!$A$4:$G195,4,FALSE)</f>
        <v>POP Punning (Plum) 12-25mm thick</v>
      </c>
      <c r="F46" s="343" t="str">
        <f>VLOOKUP($B46,'Rate card'!$A$4:$G195,5,FALSE)</f>
        <v>Providing and applying 12-25  mm thick POP punning on wall /ceiling including scrapping and hacking the existing finished surface and applying plaster of paris in proper line and levels etc. complete.</v>
      </c>
      <c r="G46" s="343" t="str">
        <f>VLOOKUP($B46,'Rate card'!$A$4:$G195,6,FALSE)</f>
        <v>Sqft</v>
      </c>
      <c r="H46" s="401">
        <v>45.0</v>
      </c>
      <c r="I46" s="402" t="s">
        <v>753</v>
      </c>
      <c r="J46" s="396">
        <f t="shared" si="4"/>
        <v>13500</v>
      </c>
      <c r="K46" s="397" t="s">
        <v>602</v>
      </c>
      <c r="L46" s="346"/>
      <c r="M46" s="346"/>
      <c r="N46" s="398"/>
      <c r="O46" s="346"/>
      <c r="P46" s="346"/>
      <c r="Q46" s="346"/>
      <c r="R46" s="346"/>
      <c r="S46" s="346"/>
      <c r="T46" s="346"/>
      <c r="U46" s="346"/>
      <c r="V46" s="346"/>
      <c r="W46" s="346"/>
      <c r="X46" s="346"/>
      <c r="Y46" s="346"/>
      <c r="Z46" s="346"/>
      <c r="AA46" s="346"/>
      <c r="AB46" s="346"/>
      <c r="AC46" s="148"/>
      <c r="AD46" s="148"/>
    </row>
    <row r="47">
      <c r="A47" s="347" t="s">
        <v>30</v>
      </c>
      <c r="B47" s="400" t="s">
        <v>600</v>
      </c>
      <c r="C47" s="343" t="str">
        <f>VLOOKUP($B47,'Rate card'!$A$4:$G195,2,FALSE)</f>
        <v>POP</v>
      </c>
      <c r="D47" s="343" t="str">
        <f>VLOOKUP($B47,'Rate card'!$A$4:$G195,3,FALSE)</f>
        <v>POP Punning dhar</v>
      </c>
      <c r="E47" s="343" t="str">
        <f>VLOOKUP($B47,'Rate card'!$A$4:$G195,4,FALSE)</f>
        <v>POP Punning (Plum) 12-25mm thick</v>
      </c>
      <c r="F47" s="343" t="str">
        <f>VLOOKUP($B47,'Rate card'!$A$4:$G195,5,FALSE)</f>
        <v>Providing and applying 12-25  mm thick POP punning on wall /ceiling including scrapping and hacking the existing finished surface and applying plaster of paris in proper line and levels etc. complete.</v>
      </c>
      <c r="G47" s="343" t="str">
        <f>VLOOKUP($B47,'Rate card'!$A$4:$G195,6,FALSE)</f>
        <v>Rft</v>
      </c>
      <c r="H47" s="401">
        <v>25.0</v>
      </c>
      <c r="I47" s="402" t="s">
        <v>90</v>
      </c>
      <c r="J47" s="396">
        <f t="shared" si="4"/>
        <v>5000</v>
      </c>
      <c r="K47" s="397" t="s">
        <v>602</v>
      </c>
      <c r="L47" s="346"/>
      <c r="M47" s="346"/>
      <c r="N47" s="398"/>
      <c r="O47" s="346"/>
      <c r="P47" s="346"/>
      <c r="Q47" s="346"/>
      <c r="R47" s="346"/>
      <c r="S47" s="346"/>
      <c r="T47" s="346"/>
      <c r="U47" s="346"/>
      <c r="V47" s="346"/>
      <c r="W47" s="346"/>
      <c r="X47" s="346"/>
      <c r="Y47" s="346"/>
      <c r="Z47" s="346"/>
      <c r="AA47" s="346"/>
      <c r="AB47" s="346"/>
      <c r="AC47" s="148"/>
      <c r="AD47" s="148"/>
    </row>
    <row r="48">
      <c r="A48" s="347" t="s">
        <v>32</v>
      </c>
      <c r="B48" s="400" t="s">
        <v>160</v>
      </c>
      <c r="C48" s="343" t="str">
        <f>VLOOKUP($B48,'Rate card'!$A$4:$G195,2,FALSE)</f>
        <v>False Ceiling</v>
      </c>
      <c r="D48" s="343" t="str">
        <f>VLOOKUP($B48,'Rate card'!$A$4:$G195,3,FALSE)</f>
        <v>Light Gala cutting</v>
      </c>
      <c r="E48" s="343" t="str">
        <f>VLOOKUP($B48,'Rate card'!$A$4:$G195,4,FALSE)</f>
        <v>NA</v>
      </c>
      <c r="F48" s="343" t="str">
        <f>VLOOKUP($B48,'Rate card'!$A$4:$G195,5,FALSE)</f>
        <v>NA</v>
      </c>
      <c r="G48" s="343" t="str">
        <f>VLOOKUP($B48,'Rate card'!$A$4:$G195,6,FALSE)</f>
        <v>Nos</v>
      </c>
      <c r="H48" s="395">
        <v>100.0</v>
      </c>
      <c r="I48" s="402" t="s">
        <v>111</v>
      </c>
      <c r="J48" s="396">
        <f t="shared" si="4"/>
        <v>15000</v>
      </c>
      <c r="K48" s="397" t="s">
        <v>151</v>
      </c>
      <c r="L48" s="346"/>
      <c r="M48" s="346"/>
      <c r="N48" s="398"/>
      <c r="O48" s="346"/>
      <c r="P48" s="346"/>
      <c r="Q48" s="346"/>
      <c r="R48" s="346"/>
      <c r="S48" s="346"/>
      <c r="T48" s="346"/>
      <c r="U48" s="346"/>
      <c r="V48" s="346"/>
      <c r="W48" s="346"/>
      <c r="X48" s="346"/>
      <c r="Y48" s="346"/>
      <c r="Z48" s="346"/>
      <c r="AA48" s="346"/>
      <c r="AB48" s="346"/>
      <c r="AC48" s="148"/>
      <c r="AD48" s="148"/>
    </row>
    <row r="49">
      <c r="A49" s="382"/>
      <c r="B49" s="404"/>
      <c r="C49" s="405"/>
      <c r="D49" s="405"/>
      <c r="E49" s="405"/>
      <c r="F49" s="405"/>
      <c r="G49" s="405"/>
      <c r="H49" s="406"/>
      <c r="I49" s="369" t="s">
        <v>125</v>
      </c>
      <c r="J49" s="384">
        <f>SUM(J43:J48)</f>
        <v>144060</v>
      </c>
      <c r="K49" s="189"/>
      <c r="L49" s="385"/>
      <c r="M49" s="179"/>
      <c r="N49" s="386"/>
      <c r="O49" s="387"/>
      <c r="P49" s="376"/>
      <c r="Q49" s="148"/>
      <c r="R49" s="148"/>
      <c r="S49" s="148"/>
      <c r="T49" s="148"/>
      <c r="U49" s="148"/>
      <c r="V49" s="148"/>
      <c r="W49" s="148"/>
      <c r="X49" s="148"/>
      <c r="Y49" s="148"/>
      <c r="Z49" s="148"/>
      <c r="AA49" s="148"/>
      <c r="AB49" s="148"/>
      <c r="AC49" s="148"/>
      <c r="AD49" s="148"/>
    </row>
    <row r="50">
      <c r="A50" s="407" t="s">
        <v>31</v>
      </c>
      <c r="B50" s="322"/>
      <c r="C50" s="322"/>
      <c r="D50" s="322"/>
      <c r="E50" s="322"/>
      <c r="F50" s="322"/>
      <c r="G50" s="323"/>
      <c r="H50" s="324"/>
      <c r="I50" s="390"/>
      <c r="J50" s="390"/>
      <c r="K50" s="294"/>
      <c r="L50" s="281"/>
      <c r="M50" s="281"/>
      <c r="N50" s="372"/>
      <c r="O50" s="373"/>
      <c r="P50" s="281"/>
      <c r="Q50" s="281"/>
      <c r="R50" s="281"/>
      <c r="S50" s="281"/>
      <c r="T50" s="281"/>
      <c r="U50" s="281"/>
      <c r="V50" s="281"/>
      <c r="W50" s="281"/>
      <c r="X50" s="281"/>
      <c r="Y50" s="281"/>
      <c r="Z50" s="281"/>
      <c r="AA50" s="281"/>
      <c r="AB50" s="281"/>
      <c r="AC50" s="281"/>
      <c r="AD50" s="281"/>
    </row>
    <row r="51">
      <c r="A51" s="321" t="s">
        <v>161</v>
      </c>
      <c r="B51" s="322"/>
      <c r="C51" s="322"/>
      <c r="D51" s="322"/>
      <c r="E51" s="322"/>
      <c r="F51" s="322"/>
      <c r="G51" s="323"/>
      <c r="H51" s="324"/>
      <c r="I51" s="322"/>
      <c r="J51" s="324"/>
      <c r="K51" s="294"/>
      <c r="L51" s="281"/>
      <c r="M51" s="281"/>
      <c r="N51" s="372"/>
      <c r="O51" s="373"/>
      <c r="P51" s="281"/>
      <c r="Q51" s="281"/>
      <c r="R51" s="281"/>
      <c r="S51" s="281"/>
      <c r="T51" s="281"/>
      <c r="U51" s="281"/>
      <c r="V51" s="281"/>
      <c r="W51" s="281"/>
      <c r="X51" s="281"/>
      <c r="Y51" s="281"/>
      <c r="Z51" s="281"/>
      <c r="AA51" s="281"/>
      <c r="AB51" s="281"/>
      <c r="AC51" s="281"/>
      <c r="AD51" s="281"/>
    </row>
    <row r="52">
      <c r="A52" s="408" t="s">
        <v>16</v>
      </c>
      <c r="B52" s="409" t="s">
        <v>162</v>
      </c>
      <c r="C52" s="410" t="str">
        <f>VLOOKUP($B52,'Rate card'!$A$4:$G195,2,FALSE)</f>
        <v>Carpentry</v>
      </c>
      <c r="D52" s="412" t="str">
        <f>VLOOKUP($B52,'Rate card'!$A$4:$G195,3,FALSE)</f>
        <v>Main Door+Safety door</v>
      </c>
      <c r="E52" s="412" t="str">
        <f>VLOOKUP($B52,'Rate card'!$A$4:$G195,4,FALSE)</f>
        <v>Laminate Finish</v>
      </c>
      <c r="F52" s="412" t="str">
        <f>VLOOKUP($B52,'Rate card'!$A$4:$G195,5,FALSE)</f>
        <v>MRply + finish laminate from both sides</v>
      </c>
      <c r="G52" s="410" t="str">
        <f>VLOOKUP($B52,'Rate card'!$A$4:$G195,6,FALSE)</f>
        <v>Nos</v>
      </c>
      <c r="H52" s="413">
        <v>40000.0</v>
      </c>
      <c r="I52" s="414" t="s">
        <v>16</v>
      </c>
      <c r="J52" s="415">
        <f t="shared" ref="J52:J60" si="5">H52*I52</f>
        <v>40000</v>
      </c>
      <c r="K52" s="411" t="s">
        <v>815</v>
      </c>
      <c r="L52" s="281"/>
      <c r="M52" s="281"/>
      <c r="N52" s="416"/>
      <c r="O52" s="281"/>
      <c r="P52" s="281"/>
      <c r="Q52" s="281"/>
      <c r="R52" s="281"/>
      <c r="S52" s="281"/>
      <c r="T52" s="281"/>
      <c r="U52" s="281"/>
      <c r="V52" s="281"/>
      <c r="W52" s="281"/>
      <c r="X52" s="281"/>
      <c r="Y52" s="281"/>
      <c r="Z52" s="281"/>
      <c r="AA52" s="281"/>
      <c r="AB52" s="281"/>
      <c r="AC52" s="281"/>
      <c r="AD52" s="281"/>
    </row>
    <row r="53">
      <c r="A53" s="445" t="s">
        <v>18</v>
      </c>
      <c r="B53" s="417" t="s">
        <v>238</v>
      </c>
      <c r="C53" s="417" t="str">
        <f>VLOOKUP($B53,'Rate card'!$A$4:$G195,2,FALSE)</f>
        <v>Carpentry</v>
      </c>
      <c r="D53" s="417" t="str">
        <f>VLOOKUP($B53,'Rate card'!$A$4:$G195,3,FALSE)</f>
        <v>Panelling with framing</v>
      </c>
      <c r="E53" s="417" t="str">
        <f>VLOOKUP($B53,'Rate card'!$A$4:$G195,4,FALSE)</f>
        <v>Laminate Finish</v>
      </c>
      <c r="F53" s="417" t="str">
        <f>VLOOKUP($B53,'Rate card'!$A$4:$G195,5,FALSE)</f>
        <v>MR ply + ply framing + finish laminate</v>
      </c>
      <c r="G53" s="417" t="str">
        <f>VLOOKUP($B53,'Rate card'!$A$4:$G195,6,FALSE)</f>
        <v>Sqft</v>
      </c>
      <c r="H53" s="417">
        <v>650.0</v>
      </c>
      <c r="I53" s="418" t="s">
        <v>216</v>
      </c>
      <c r="J53" s="358">
        <f t="shared" si="5"/>
        <v>19500</v>
      </c>
      <c r="K53" s="404" t="s">
        <v>603</v>
      </c>
      <c r="L53" s="148"/>
      <c r="M53" s="148"/>
      <c r="N53" s="151">
        <f>VLOOKUP($B53,'Rate card'!$A$4:$J195,7,FALSE)</f>
        <v>450</v>
      </c>
      <c r="O53" s="376">
        <f t="shared" ref="O53:O58" si="6">I53*N53</f>
        <v>13500</v>
      </c>
      <c r="P53" s="148"/>
      <c r="Q53" s="148"/>
      <c r="R53" s="148"/>
      <c r="S53" s="148"/>
      <c r="T53" s="148"/>
      <c r="U53" s="148"/>
      <c r="V53" s="148"/>
      <c r="W53" s="148"/>
      <c r="X53" s="148"/>
      <c r="Y53" s="148"/>
      <c r="Z53" s="148"/>
      <c r="AA53" s="148"/>
      <c r="AB53" s="148"/>
      <c r="AC53" s="148"/>
      <c r="AD53" s="148"/>
    </row>
    <row r="54">
      <c r="A54" s="408" t="s">
        <v>24</v>
      </c>
      <c r="B54" s="419" t="s">
        <v>170</v>
      </c>
      <c r="C54" s="420" t="str">
        <f>VLOOKUP($B54,'Rate card'!$A$4:$G195,2,FALSE)</f>
        <v>Carpentry</v>
      </c>
      <c r="D54" s="420" t="str">
        <f>VLOOKUP($B54,'Rate card'!$A$4:$G195,3,FALSE)</f>
        <v>Carcass Storage</v>
      </c>
      <c r="E54" s="420" t="str">
        <f>VLOOKUP($B54,'Rate card'!$A$4:$G195,4,FALSE)</f>
        <v>Laminate Finish</v>
      </c>
      <c r="F54" s="420" t="str">
        <f>VLOOKUP($B54,'Rate card'!$A$4:$G195,5,FALSE)</f>
        <v>MR ply + Inside laminate + finish laminate</v>
      </c>
      <c r="G54" s="420" t="str">
        <f>VLOOKUP($B54,'Rate card'!$A$4:$G195,6,FALSE)</f>
        <v>Sqft</v>
      </c>
      <c r="H54" s="413">
        <v>1800.0</v>
      </c>
      <c r="I54" s="421" t="s">
        <v>107</v>
      </c>
      <c r="J54" s="415">
        <f t="shared" si="5"/>
        <v>27000</v>
      </c>
      <c r="K54" s="422" t="s">
        <v>604</v>
      </c>
      <c r="L54" s="281"/>
      <c r="M54" s="281"/>
      <c r="N54" s="416">
        <f>VLOOKUP($B54,'Rate card'!$A$4:$J195,7,FALSE)</f>
        <v>1350</v>
      </c>
      <c r="O54" s="281">
        <f t="shared" si="6"/>
        <v>20250</v>
      </c>
      <c r="P54" s="281"/>
      <c r="Q54" s="281"/>
      <c r="R54" s="281"/>
      <c r="S54" s="281"/>
      <c r="T54" s="281"/>
      <c r="U54" s="281"/>
      <c r="V54" s="281"/>
      <c r="W54" s="281"/>
      <c r="X54" s="281"/>
      <c r="Y54" s="281"/>
      <c r="Z54" s="281"/>
      <c r="AA54" s="281"/>
      <c r="AB54" s="281"/>
      <c r="AC54" s="281"/>
      <c r="AD54" s="281"/>
    </row>
    <row r="55">
      <c r="A55" s="445" t="s">
        <v>27</v>
      </c>
      <c r="B55" s="419" t="s">
        <v>170</v>
      </c>
      <c r="C55" s="420" t="str">
        <f>VLOOKUP($B55,'Rate card'!$A$4:$G195,2,FALSE)</f>
        <v>Carpentry</v>
      </c>
      <c r="D55" s="420" t="str">
        <f>VLOOKUP($B55,'Rate card'!$A$4:$G195,3,FALSE)</f>
        <v>Carcass Storage</v>
      </c>
      <c r="E55" s="420" t="str">
        <f>VLOOKUP($B55,'Rate card'!$A$4:$G195,4,FALSE)</f>
        <v>Laminate Finish</v>
      </c>
      <c r="F55" s="420" t="str">
        <f>VLOOKUP($B55,'Rate card'!$A$4:$G195,5,FALSE)</f>
        <v>MR ply + Inside laminate + finish laminate</v>
      </c>
      <c r="G55" s="413" t="s">
        <v>188</v>
      </c>
      <c r="H55" s="413">
        <v>4500.0</v>
      </c>
      <c r="I55" s="421" t="s">
        <v>32</v>
      </c>
      <c r="J55" s="415">
        <f t="shared" si="5"/>
        <v>27000</v>
      </c>
      <c r="K55" s="422" t="s">
        <v>190</v>
      </c>
      <c r="L55" s="281"/>
      <c r="M55" s="281"/>
      <c r="N55" s="416">
        <f>VLOOKUP($B55,'Rate card'!$A$4:$J195,7,FALSE)</f>
        <v>1350</v>
      </c>
      <c r="O55" s="281">
        <f t="shared" si="6"/>
        <v>8100</v>
      </c>
      <c r="P55" s="281"/>
      <c r="Q55" s="281"/>
      <c r="R55" s="281"/>
      <c r="S55" s="281"/>
      <c r="T55" s="281"/>
      <c r="U55" s="281"/>
      <c r="V55" s="281"/>
      <c r="W55" s="281"/>
      <c r="X55" s="281"/>
      <c r="Y55" s="281"/>
      <c r="Z55" s="281"/>
      <c r="AA55" s="281"/>
      <c r="AB55" s="281"/>
      <c r="AC55" s="281"/>
      <c r="AD55" s="281"/>
    </row>
    <row r="56">
      <c r="A56" s="445" t="s">
        <v>27</v>
      </c>
      <c r="B56" s="419" t="s">
        <v>170</v>
      </c>
      <c r="C56" s="420" t="str">
        <f>VLOOKUP($B56,'Rate card'!$A$4:$G195,2,FALSE)</f>
        <v>Carpentry</v>
      </c>
      <c r="D56" s="420" t="str">
        <f>VLOOKUP($B56,'Rate card'!$A$4:$G195,3,FALSE)</f>
        <v>Carcass Storage</v>
      </c>
      <c r="E56" s="420" t="str">
        <f>VLOOKUP($B56,'Rate card'!$A$4:$G195,4,FALSE)</f>
        <v>Laminate Finish</v>
      </c>
      <c r="F56" s="420" t="str">
        <f>VLOOKUP($B56,'Rate card'!$A$4:$G195,5,FALSE)</f>
        <v>MR ply + Inside laminate + finish laminate</v>
      </c>
      <c r="G56" s="420" t="str">
        <f>VLOOKUP($B56,'Rate card'!$A$4:$G195,6,FALSE)</f>
        <v>Sqft</v>
      </c>
      <c r="H56" s="420">
        <f>VLOOKUP($B56,'Rate card'!$A$4:$J195,8,FALSE)</f>
        <v>1800</v>
      </c>
      <c r="I56" s="421" t="s">
        <v>616</v>
      </c>
      <c r="J56" s="415">
        <f t="shared" si="5"/>
        <v>37800</v>
      </c>
      <c r="K56" s="422" t="s">
        <v>193</v>
      </c>
      <c r="L56" s="281"/>
      <c r="M56" s="281"/>
      <c r="N56" s="416">
        <f>VLOOKUP($B56,'Rate card'!$A$4:$J195,7,FALSE)</f>
        <v>1350</v>
      </c>
      <c r="O56" s="281">
        <f t="shared" si="6"/>
        <v>28350</v>
      </c>
      <c r="P56" s="281"/>
      <c r="Q56" s="281"/>
      <c r="R56" s="281"/>
      <c r="S56" s="281"/>
      <c r="T56" s="281"/>
      <c r="U56" s="281"/>
      <c r="V56" s="281"/>
      <c r="W56" s="281"/>
      <c r="X56" s="281"/>
      <c r="Y56" s="281"/>
      <c r="Z56" s="281"/>
      <c r="AA56" s="281"/>
      <c r="AB56" s="281"/>
      <c r="AC56" s="281"/>
      <c r="AD56" s="281"/>
    </row>
    <row r="57">
      <c r="A57" s="445" t="s">
        <v>27</v>
      </c>
      <c r="B57" s="419" t="s">
        <v>170</v>
      </c>
      <c r="C57" s="420" t="str">
        <f>VLOOKUP($B57,'Rate card'!$A$4:$G195,2,FALSE)</f>
        <v>Carpentry</v>
      </c>
      <c r="D57" s="420" t="str">
        <f>VLOOKUP($B57,'Rate card'!$A$4:$G195,3,FALSE)</f>
        <v>Carcass Storage</v>
      </c>
      <c r="E57" s="420" t="str">
        <f>VLOOKUP($B57,'Rate card'!$A$4:$G195,4,FALSE)</f>
        <v>Laminate Finish</v>
      </c>
      <c r="F57" s="420" t="str">
        <f>VLOOKUP($B57,'Rate card'!$A$4:$G195,5,FALSE)</f>
        <v>MR ply + Inside laminate + finish laminate</v>
      </c>
      <c r="G57" s="420" t="str">
        <f>VLOOKUP($B57,'Rate card'!$A$4:$G195,6,FALSE)</f>
        <v>Sqft</v>
      </c>
      <c r="H57" s="420">
        <f>VLOOKUP($B57,'Rate card'!$A$4:$J195,8,FALSE)</f>
        <v>1800</v>
      </c>
      <c r="I57" s="421" t="s">
        <v>116</v>
      </c>
      <c r="J57" s="415">
        <f t="shared" si="5"/>
        <v>32400</v>
      </c>
      <c r="K57" s="422" t="s">
        <v>195</v>
      </c>
      <c r="L57" s="281"/>
      <c r="M57" s="281"/>
      <c r="N57" s="416">
        <f>VLOOKUP($B57,'Rate card'!$A$4:$J195,7,FALSE)</f>
        <v>1350</v>
      </c>
      <c r="O57" s="281">
        <f t="shared" si="6"/>
        <v>24300</v>
      </c>
      <c r="P57" s="281"/>
      <c r="Q57" s="281"/>
      <c r="R57" s="281"/>
      <c r="S57" s="281"/>
      <c r="T57" s="281"/>
      <c r="U57" s="281"/>
      <c r="V57" s="281"/>
      <c r="W57" s="281"/>
      <c r="X57" s="281"/>
      <c r="Y57" s="281"/>
      <c r="Z57" s="281"/>
      <c r="AA57" s="281"/>
      <c r="AB57" s="281"/>
      <c r="AC57" s="281"/>
      <c r="AD57" s="281"/>
    </row>
    <row r="58">
      <c r="A58" s="408" t="s">
        <v>30</v>
      </c>
      <c r="B58" s="419" t="s">
        <v>170</v>
      </c>
      <c r="C58" s="420" t="str">
        <f>VLOOKUP($B58,'Rate card'!$A$4:$G195,2,FALSE)</f>
        <v>Carpentry</v>
      </c>
      <c r="D58" s="420" t="str">
        <f>VLOOKUP($B58,'Rate card'!$A$4:$G195,3,FALSE)</f>
        <v>Carcass Storage</v>
      </c>
      <c r="E58" s="420" t="str">
        <f>VLOOKUP($B58,'Rate card'!$A$4:$G195,4,FALSE)</f>
        <v>Laminate Finish</v>
      </c>
      <c r="F58" s="420" t="str">
        <f>VLOOKUP($B58,'Rate card'!$A$4:$G195,5,FALSE)</f>
        <v>MR ply + Inside laminate + finish laminate</v>
      </c>
      <c r="G58" s="420" t="str">
        <f>VLOOKUP($B58,'Rate card'!$A$4:$G195,6,FALSE)</f>
        <v>Sqft</v>
      </c>
      <c r="H58" s="420">
        <f>VLOOKUP($B58,'Rate card'!$A$4:$J195,8,FALSE)</f>
        <v>1800</v>
      </c>
      <c r="I58" s="421" t="s">
        <v>622</v>
      </c>
      <c r="J58" s="415">
        <f t="shared" si="5"/>
        <v>81000</v>
      </c>
      <c r="K58" s="422" t="s">
        <v>816</v>
      </c>
      <c r="L58" s="281"/>
      <c r="M58" s="281"/>
      <c r="N58" s="416">
        <f>VLOOKUP($B58,'Rate card'!$A$4:$J195,7,FALSE)</f>
        <v>1350</v>
      </c>
      <c r="O58" s="281">
        <f t="shared" si="6"/>
        <v>60750</v>
      </c>
      <c r="P58" s="281"/>
      <c r="Q58" s="281"/>
      <c r="R58" s="281"/>
      <c r="S58" s="281"/>
      <c r="T58" s="281"/>
      <c r="U58" s="281"/>
      <c r="V58" s="281"/>
      <c r="W58" s="281"/>
      <c r="X58" s="281"/>
      <c r="Y58" s="281"/>
      <c r="Z58" s="281"/>
      <c r="AA58" s="281"/>
      <c r="AB58" s="281"/>
      <c r="AC58" s="281"/>
      <c r="AD58" s="281"/>
    </row>
    <row r="59">
      <c r="A59" s="408" t="s">
        <v>34</v>
      </c>
      <c r="B59" s="419" t="s">
        <v>179</v>
      </c>
      <c r="C59" s="410" t="str">
        <f>VLOOKUP($B59,'Rate card'!$A$4:$G195,2,FALSE)</f>
        <v>Carpentry</v>
      </c>
      <c r="D59" s="410" t="str">
        <f>VLOOKUP($B59,'Rate card'!$A$4:$G195,3,FALSE)</f>
        <v>Panelling with framing</v>
      </c>
      <c r="E59" s="410" t="str">
        <f>VLOOKUP($B59,'Rate card'!$A$4:$G195,4,FALSE)</f>
        <v>MDF</v>
      </c>
      <c r="F59" s="410" t="str">
        <f>VLOOKUP($B59,'Rate card'!$A$4:$G195,5,FALSE)</f>
        <v>MR ply + ply framing + 12mm MDF</v>
      </c>
      <c r="G59" s="410" t="str">
        <f>VLOOKUP($B59,'Rate card'!$A$4:$G195,6,FALSE)</f>
        <v>Sqft</v>
      </c>
      <c r="H59" s="413">
        <v>600.0</v>
      </c>
      <c r="I59" s="414" t="s">
        <v>224</v>
      </c>
      <c r="J59" s="415">
        <f t="shared" si="5"/>
        <v>13200</v>
      </c>
      <c r="K59" s="411" t="s">
        <v>605</v>
      </c>
      <c r="L59" s="281"/>
      <c r="M59" s="281"/>
      <c r="N59" s="416"/>
      <c r="O59" s="281"/>
      <c r="P59" s="281"/>
      <c r="Q59" s="281"/>
      <c r="R59" s="281"/>
      <c r="S59" s="281"/>
      <c r="T59" s="281"/>
      <c r="U59" s="281"/>
      <c r="V59" s="281"/>
      <c r="W59" s="281"/>
      <c r="X59" s="281"/>
      <c r="Y59" s="281"/>
      <c r="Z59" s="281"/>
      <c r="AA59" s="281"/>
      <c r="AB59" s="281"/>
      <c r="AC59" s="281"/>
      <c r="AD59" s="281"/>
    </row>
    <row r="60">
      <c r="A60" s="445" t="s">
        <v>36</v>
      </c>
      <c r="B60" s="423" t="s">
        <v>179</v>
      </c>
      <c r="C60" s="395" t="s">
        <v>31</v>
      </c>
      <c r="D60" s="343" t="s">
        <v>180</v>
      </c>
      <c r="E60" s="395" t="str">
        <f>E57</f>
        <v>Laminate Finish</v>
      </c>
      <c r="F60" s="395" t="str">
        <f>F58</f>
        <v>MR ply + Inside laminate + finish laminate</v>
      </c>
      <c r="G60" s="410" t="str">
        <f>VLOOKUP($B60,'Rate card'!$A$4:$G195,6,FALSE)</f>
        <v>Sqft</v>
      </c>
      <c r="H60" s="413">
        <v>900.0</v>
      </c>
      <c r="I60" s="421" t="s">
        <v>270</v>
      </c>
      <c r="J60" s="396">
        <f t="shared" si="5"/>
        <v>45000</v>
      </c>
      <c r="K60" s="333" t="s">
        <v>608</v>
      </c>
      <c r="L60" s="346"/>
      <c r="M60" s="346"/>
      <c r="N60" s="371"/>
      <c r="O60" s="346"/>
      <c r="P60" s="346"/>
      <c r="Q60" s="346"/>
      <c r="R60" s="346"/>
      <c r="S60" s="346"/>
      <c r="T60" s="346"/>
      <c r="U60" s="346"/>
      <c r="V60" s="346"/>
      <c r="W60" s="346"/>
      <c r="X60" s="346"/>
      <c r="Y60" s="346"/>
      <c r="Z60" s="346"/>
      <c r="AA60" s="346"/>
      <c r="AB60" s="346"/>
      <c r="AC60" s="281"/>
      <c r="AD60" s="281"/>
    </row>
    <row r="61">
      <c r="A61" s="408"/>
      <c r="B61" s="409"/>
      <c r="C61" s="669"/>
      <c r="D61" s="669"/>
      <c r="E61" s="669"/>
      <c r="F61" s="669"/>
      <c r="G61" s="669"/>
      <c r="H61" s="409"/>
      <c r="I61" s="421"/>
      <c r="J61" s="415"/>
      <c r="K61" s="411"/>
      <c r="L61" s="281"/>
      <c r="M61" s="281"/>
      <c r="N61" s="416"/>
      <c r="O61" s="281"/>
      <c r="P61" s="281"/>
      <c r="Q61" s="281"/>
      <c r="R61" s="281"/>
      <c r="S61" s="281"/>
      <c r="T61" s="281"/>
      <c r="U61" s="281"/>
      <c r="V61" s="281"/>
      <c r="W61" s="281"/>
      <c r="X61" s="281"/>
      <c r="Y61" s="281"/>
      <c r="Z61" s="281"/>
      <c r="AA61" s="281"/>
      <c r="AB61" s="281"/>
      <c r="AC61" s="281"/>
      <c r="AD61" s="281"/>
    </row>
    <row r="62">
      <c r="A62" s="424" t="s">
        <v>205</v>
      </c>
      <c r="B62" s="323"/>
      <c r="C62" s="323"/>
      <c r="D62" s="323"/>
      <c r="E62" s="323"/>
      <c r="F62" s="323"/>
      <c r="G62" s="323"/>
      <c r="H62" s="324"/>
      <c r="I62" s="425"/>
      <c r="J62" s="323"/>
      <c r="K62" s="426"/>
      <c r="L62" s="373"/>
      <c r="M62" s="325"/>
      <c r="N62" s="281"/>
      <c r="O62" s="372"/>
      <c r="P62" s="373"/>
      <c r="Q62" s="281"/>
      <c r="R62" s="281"/>
      <c r="S62" s="281"/>
      <c r="T62" s="281"/>
      <c r="U62" s="281"/>
      <c r="V62" s="281"/>
      <c r="W62" s="281"/>
      <c r="X62" s="281"/>
      <c r="Y62" s="281"/>
      <c r="Z62" s="281"/>
      <c r="AA62" s="281"/>
      <c r="AB62" s="281"/>
      <c r="AC62" s="281"/>
      <c r="AD62" s="281"/>
    </row>
    <row r="63">
      <c r="A63" s="670" t="s">
        <v>16</v>
      </c>
      <c r="B63" s="671" t="s">
        <v>170</v>
      </c>
      <c r="C63" s="672" t="str">
        <f>VLOOKUP($B63,'Rate card'!$A$4:$G195,2,FALSE)</f>
        <v>Carpentry</v>
      </c>
      <c r="D63" s="672" t="str">
        <f>VLOOKUP($B63,'Rate card'!$A$4:$G195,3,FALSE)</f>
        <v>Carcass Storage</v>
      </c>
      <c r="E63" s="673" t="str">
        <f>VLOOKUP($B63,'Rate card'!$A$4:$G195,4,FALSE)</f>
        <v>Laminate Finish</v>
      </c>
      <c r="F63" s="674" t="s">
        <v>817</v>
      </c>
      <c r="G63" s="672" t="str">
        <f>VLOOKUP($B63,'Rate card'!$A$4:$G195,6,FALSE)</f>
        <v>Sqft</v>
      </c>
      <c r="H63" s="674">
        <v>1800.0</v>
      </c>
      <c r="I63" s="675">
        <f>9.5*2.5+6.5*2.5</f>
        <v>40</v>
      </c>
      <c r="J63" s="676">
        <f t="shared" ref="J63:J67" si="7">H63*I63</f>
        <v>72000</v>
      </c>
      <c r="K63" s="674" t="s">
        <v>208</v>
      </c>
      <c r="M63" s="325"/>
      <c r="N63" s="281"/>
      <c r="O63" s="416"/>
      <c r="P63" s="281"/>
      <c r="Q63" s="281"/>
      <c r="R63" s="281"/>
      <c r="S63" s="281"/>
      <c r="T63" s="281"/>
      <c r="U63" s="281"/>
      <c r="V63" s="281"/>
      <c r="W63" s="281"/>
      <c r="X63" s="281"/>
      <c r="Y63" s="281"/>
      <c r="Z63" s="281"/>
      <c r="AA63" s="281"/>
      <c r="AB63" s="281"/>
      <c r="AC63" s="281"/>
      <c r="AD63" s="281"/>
    </row>
    <row r="64">
      <c r="A64" s="670" t="s">
        <v>18</v>
      </c>
      <c r="B64" s="671" t="s">
        <v>170</v>
      </c>
      <c r="C64" s="672" t="str">
        <f>VLOOKUP($B64,'Rate card'!$A$4:$G195,2,FALSE)</f>
        <v>Carpentry</v>
      </c>
      <c r="D64" s="672" t="str">
        <f>VLOOKUP($B64,'Rate card'!$A$4:$G195,3,FALSE)</f>
        <v>Carcass Storage</v>
      </c>
      <c r="E64" s="673" t="str">
        <f>VLOOKUP($B64,'Rate card'!$A$4:$G195,4,FALSE)</f>
        <v>Laminate Finish</v>
      </c>
      <c r="F64" s="674" t="s">
        <v>817</v>
      </c>
      <c r="G64" s="672" t="str">
        <f>VLOOKUP($B64,'Rate card'!$A$4:$G195,6,FALSE)</f>
        <v>Sqft</v>
      </c>
      <c r="H64" s="674">
        <v>1800.0</v>
      </c>
      <c r="I64" s="670">
        <f>7.5*2.5+6.5*2.5+40</f>
        <v>75</v>
      </c>
      <c r="J64" s="676">
        <f t="shared" si="7"/>
        <v>135000</v>
      </c>
      <c r="K64" s="674" t="s">
        <v>209</v>
      </c>
      <c r="M64" s="325"/>
      <c r="N64" s="281"/>
      <c r="O64" s="416"/>
      <c r="P64" s="281"/>
      <c r="Q64" s="281"/>
      <c r="R64" s="281"/>
      <c r="S64" s="281"/>
      <c r="T64" s="281"/>
      <c r="U64" s="281"/>
      <c r="V64" s="281"/>
      <c r="W64" s="281"/>
      <c r="X64" s="281"/>
      <c r="Y64" s="281"/>
      <c r="Z64" s="281"/>
      <c r="AA64" s="281"/>
      <c r="AB64" s="281"/>
      <c r="AC64" s="281"/>
      <c r="AD64" s="281"/>
    </row>
    <row r="65">
      <c r="A65" s="408" t="s">
        <v>24</v>
      </c>
      <c r="B65" s="419" t="s">
        <v>211</v>
      </c>
      <c r="C65" s="420" t="str">
        <f>VLOOKUP($B65,'Rate card'!$A$4:$G195,2,FALSE)</f>
        <v>Carpentry</v>
      </c>
      <c r="D65" s="420" t="str">
        <f>VLOOKUP($B65,'Rate card'!$A$4:$G195,3,FALSE)</f>
        <v>Kitchen Basket </v>
      </c>
      <c r="E65" s="413" t="s">
        <v>212</v>
      </c>
      <c r="F65" s="420" t="str">
        <f>VLOOKUP($B65,'Rate card'!$A$4:$G195,5,FALSE)</f>
        <v>Basket + Channel+Fitting charges</v>
      </c>
      <c r="G65" s="420" t="str">
        <f>VLOOKUP($B65,'Rate card'!$A$4:$G195,6,FALSE)</f>
        <v>Nos</v>
      </c>
      <c r="H65" s="413">
        <v>8000.0</v>
      </c>
      <c r="I65" s="414" t="s">
        <v>27</v>
      </c>
      <c r="J65" s="415">
        <f t="shared" si="7"/>
        <v>32000</v>
      </c>
      <c r="K65" s="413" t="s">
        <v>213</v>
      </c>
      <c r="M65" s="325"/>
      <c r="N65" s="281"/>
      <c r="O65" s="416"/>
      <c r="P65" s="281"/>
      <c r="Q65" s="281"/>
      <c r="R65" s="281"/>
      <c r="S65" s="281"/>
      <c r="T65" s="281"/>
      <c r="U65" s="281"/>
      <c r="V65" s="281"/>
      <c r="W65" s="281"/>
      <c r="X65" s="281"/>
      <c r="Y65" s="281"/>
      <c r="Z65" s="281"/>
      <c r="AA65" s="281"/>
      <c r="AB65" s="281"/>
      <c r="AC65" s="281"/>
      <c r="AD65" s="281"/>
    </row>
    <row r="66">
      <c r="A66" s="408" t="s">
        <v>27</v>
      </c>
      <c r="B66" s="419" t="s">
        <v>214</v>
      </c>
      <c r="C66" s="420" t="str">
        <f>VLOOKUP($B66,'Rate card'!$A$4:$G195,2,FALSE)</f>
        <v>Carpentry</v>
      </c>
      <c r="D66" s="420" t="str">
        <f>VLOOKUP($B66,'Rate card'!$A$4:$G195,3,FALSE)</f>
        <v>Wicker basket</v>
      </c>
      <c r="E66" s="420" t="str">
        <f>VLOOKUP($B66,'Rate card'!$A$4:$G195,4,FALSE)</f>
        <v>Wicker basket</v>
      </c>
      <c r="F66" s="420" t="str">
        <f>VLOOKUP($B66,'Rate card'!$A$4:$G195,5,FALSE)</f>
        <v>Basket + Channel+Fitting charges</v>
      </c>
      <c r="G66" s="420" t="str">
        <f>VLOOKUP($B66,'Rate card'!$A$4:$G195,6,FALSE)</f>
        <v>Nos</v>
      </c>
      <c r="H66" s="413">
        <v>6000.0</v>
      </c>
      <c r="I66" s="414" t="s">
        <v>18</v>
      </c>
      <c r="J66" s="415">
        <f t="shared" si="7"/>
        <v>12000</v>
      </c>
      <c r="K66" s="413" t="s">
        <v>213</v>
      </c>
      <c r="M66" s="325"/>
      <c r="N66" s="281"/>
      <c r="O66" s="416"/>
      <c r="P66" s="281"/>
      <c r="Q66" s="281"/>
      <c r="R66" s="281"/>
      <c r="S66" s="281"/>
      <c r="T66" s="281"/>
      <c r="U66" s="281"/>
      <c r="V66" s="281"/>
      <c r="W66" s="281"/>
      <c r="X66" s="281"/>
      <c r="Y66" s="281"/>
      <c r="Z66" s="281"/>
      <c r="AA66" s="281"/>
      <c r="AB66" s="281"/>
      <c r="AC66" s="281"/>
      <c r="AD66" s="281"/>
    </row>
    <row r="67">
      <c r="A67" s="408" t="s">
        <v>30</v>
      </c>
      <c r="B67" s="409"/>
      <c r="C67" s="672" t="s">
        <v>31</v>
      </c>
      <c r="D67" s="677" t="s">
        <v>217</v>
      </c>
      <c r="E67" s="678" t="s">
        <v>818</v>
      </c>
      <c r="F67" s="677" t="s">
        <v>205</v>
      </c>
      <c r="G67" s="672" t="s">
        <v>175</v>
      </c>
      <c r="H67" s="674">
        <v>1000.0</v>
      </c>
      <c r="I67" s="670">
        <f>3*7</f>
        <v>21</v>
      </c>
      <c r="J67" s="676">
        <f t="shared" si="7"/>
        <v>21000</v>
      </c>
      <c r="K67" s="674" t="s">
        <v>219</v>
      </c>
      <c r="L67" s="485"/>
      <c r="M67" s="155"/>
      <c r="N67" s="383" t="s">
        <v>615</v>
      </c>
      <c r="O67" s="179"/>
      <c r="P67" s="179"/>
      <c r="Q67" s="179"/>
      <c r="R67" s="281"/>
      <c r="S67" s="281"/>
      <c r="T67" s="281"/>
      <c r="U67" s="281"/>
      <c r="V67" s="281"/>
      <c r="W67" s="281"/>
      <c r="X67" s="281"/>
      <c r="Y67" s="281"/>
      <c r="Z67" s="281"/>
      <c r="AA67" s="281"/>
      <c r="AB67" s="281"/>
      <c r="AC67" s="281"/>
      <c r="AD67" s="281"/>
    </row>
    <row r="68">
      <c r="A68" s="432" t="s">
        <v>220</v>
      </c>
      <c r="B68" s="323"/>
      <c r="C68" s="323"/>
      <c r="D68" s="323"/>
      <c r="E68" s="323"/>
      <c r="F68" s="323"/>
      <c r="G68" s="323"/>
      <c r="H68" s="324"/>
      <c r="I68" s="425"/>
      <c r="J68" s="323"/>
      <c r="K68" s="426"/>
      <c r="L68" s="373"/>
      <c r="M68" s="325"/>
      <c r="N68" s="281"/>
      <c r="O68" s="372"/>
      <c r="P68" s="373"/>
      <c r="Q68" s="281"/>
      <c r="R68" s="281"/>
      <c r="S68" s="281"/>
      <c r="T68" s="281"/>
      <c r="U68" s="281"/>
      <c r="V68" s="281"/>
      <c r="W68" s="281"/>
      <c r="X68" s="281"/>
      <c r="Y68" s="281"/>
      <c r="Z68" s="281"/>
      <c r="AA68" s="281"/>
      <c r="AB68" s="281"/>
      <c r="AC68" s="281"/>
      <c r="AD68" s="281"/>
    </row>
    <row r="69">
      <c r="A69" s="408" t="s">
        <v>16</v>
      </c>
      <c r="B69" s="419" t="s">
        <v>170</v>
      </c>
      <c r="C69" s="420" t="str">
        <f>VLOOKUP($B69,'Rate card'!$A$4:$G195,2,FALSE)</f>
        <v>Carpentry</v>
      </c>
      <c r="D69" s="420" t="str">
        <f>VLOOKUP($B69,'Rate card'!$A$4:$G195,3,FALSE)</f>
        <v>Carcass Storage</v>
      </c>
      <c r="E69" s="420" t="str">
        <f>VLOOKUP($B69,'Rate card'!$A$4:$G195,4,FALSE)</f>
        <v>Laminate Finish</v>
      </c>
      <c r="F69" s="413" t="s">
        <v>221</v>
      </c>
      <c r="G69" s="420" t="str">
        <f>VLOOKUP($B69,'Rate card'!$A$4:$G195,6,FALSE)</f>
        <v>Sqft</v>
      </c>
      <c r="H69" s="413">
        <v>1800.0</v>
      </c>
      <c r="I69" s="422" t="s">
        <v>616</v>
      </c>
      <c r="J69" s="415">
        <f t="shared" ref="J69:J71" si="8">H69*I69</f>
        <v>37800</v>
      </c>
      <c r="K69" s="413" t="s">
        <v>208</v>
      </c>
      <c r="M69" s="325"/>
      <c r="N69" s="281"/>
      <c r="O69" s="416"/>
      <c r="P69" s="281"/>
      <c r="Q69" s="281"/>
      <c r="R69" s="281"/>
      <c r="S69" s="281"/>
      <c r="T69" s="281"/>
      <c r="U69" s="281"/>
      <c r="V69" s="281"/>
      <c r="W69" s="281"/>
      <c r="X69" s="281"/>
      <c r="Y69" s="281"/>
      <c r="Z69" s="281"/>
      <c r="AA69" s="281"/>
      <c r="AB69" s="281"/>
      <c r="AC69" s="281"/>
      <c r="AD69" s="281"/>
    </row>
    <row r="70">
      <c r="A70" s="408" t="s">
        <v>18</v>
      </c>
      <c r="B70" s="419" t="s">
        <v>170</v>
      </c>
      <c r="C70" s="420" t="str">
        <f>VLOOKUP($B70,'Rate card'!$A$4:$G195,2,FALSE)</f>
        <v>Carpentry</v>
      </c>
      <c r="D70" s="420" t="str">
        <f>VLOOKUP($B70,'Rate card'!$A$4:$G195,3,FALSE)</f>
        <v>Carcass Storage</v>
      </c>
      <c r="E70" s="420" t="str">
        <f>VLOOKUP($B70,'Rate card'!$A$4:$G195,4,FALSE)</f>
        <v>Laminate Finish</v>
      </c>
      <c r="F70" s="413" t="s">
        <v>221</v>
      </c>
      <c r="G70" s="420" t="str">
        <f>VLOOKUP($B70,'Rate card'!$A$4:$G195,6,FALSE)</f>
        <v>Sqft</v>
      </c>
      <c r="H70" s="413">
        <v>1800.0</v>
      </c>
      <c r="I70" s="408" t="s">
        <v>112</v>
      </c>
      <c r="J70" s="415">
        <f t="shared" si="8"/>
        <v>30600</v>
      </c>
      <c r="K70" s="413" t="s">
        <v>209</v>
      </c>
      <c r="M70" s="325"/>
      <c r="N70" s="281"/>
      <c r="O70" s="416"/>
      <c r="P70" s="281"/>
      <c r="Q70" s="281"/>
      <c r="R70" s="281"/>
      <c r="S70" s="281"/>
      <c r="T70" s="281"/>
      <c r="U70" s="281"/>
      <c r="V70" s="281"/>
      <c r="W70" s="281"/>
      <c r="X70" s="281"/>
      <c r="Y70" s="281"/>
      <c r="Z70" s="281"/>
      <c r="AA70" s="281"/>
      <c r="AB70" s="281"/>
      <c r="AC70" s="281"/>
      <c r="AD70" s="281"/>
    </row>
    <row r="71">
      <c r="A71" s="408" t="s">
        <v>24</v>
      </c>
      <c r="B71" s="419" t="s">
        <v>223</v>
      </c>
      <c r="C71" s="420" t="str">
        <f>VLOOKUP($B71,'Rate card'!$A$4:$G195,2,FALSE)</f>
        <v>Carpentry</v>
      </c>
      <c r="D71" s="433" t="str">
        <f>VLOOKUP($B71,'Rate card'!$A$4:$G195,3,FALSE)</f>
        <v>Carcass Storage</v>
      </c>
      <c r="E71" s="433" t="str">
        <f>VLOOKUP($B71,'Rate card'!$A$4:$G195,4,FALSE)</f>
        <v>Laminate Finish</v>
      </c>
      <c r="F71" s="413" t="s">
        <v>221</v>
      </c>
      <c r="G71" s="420" t="str">
        <f>VLOOKUP($B71,'Rate card'!$A$4:$G195,6,FALSE)</f>
        <v>Sqft</v>
      </c>
      <c r="H71" s="413">
        <v>1800.0</v>
      </c>
      <c r="I71" s="408" t="s">
        <v>116</v>
      </c>
      <c r="J71" s="415">
        <f t="shared" si="8"/>
        <v>32400</v>
      </c>
      <c r="K71" s="422" t="s">
        <v>225</v>
      </c>
      <c r="L71" s="281"/>
      <c r="M71" s="281"/>
      <c r="N71" s="434">
        <f>VLOOKUP($B71,'Rate card'!$A$4:$J195,7,FALSE)</f>
        <v>2000</v>
      </c>
      <c r="O71" s="282">
        <f>I71*N71</f>
        <v>36000</v>
      </c>
      <c r="P71" s="281"/>
      <c r="Q71" s="281"/>
      <c r="R71" s="281"/>
      <c r="S71" s="281"/>
      <c r="T71" s="281"/>
      <c r="U71" s="281"/>
      <c r="V71" s="281"/>
      <c r="W71" s="281"/>
      <c r="X71" s="281"/>
      <c r="Y71" s="281"/>
      <c r="Z71" s="281"/>
      <c r="AA71" s="281"/>
      <c r="AB71" s="281"/>
      <c r="AC71" s="281"/>
      <c r="AD71" s="281"/>
    </row>
    <row r="72">
      <c r="A72" s="408"/>
      <c r="B72" s="409"/>
      <c r="C72" s="669"/>
      <c r="D72" s="669"/>
      <c r="E72" s="669"/>
      <c r="F72" s="669"/>
      <c r="G72" s="669"/>
      <c r="H72" s="409"/>
      <c r="I72" s="421"/>
      <c r="J72" s="415"/>
      <c r="K72" s="411"/>
      <c r="L72" s="281"/>
      <c r="M72" s="281"/>
      <c r="N72" s="416"/>
      <c r="O72" s="281"/>
      <c r="P72" s="281"/>
      <c r="Q72" s="281"/>
      <c r="R72" s="281"/>
      <c r="S72" s="281"/>
      <c r="T72" s="281"/>
      <c r="U72" s="281"/>
      <c r="V72" s="281"/>
      <c r="W72" s="281"/>
      <c r="X72" s="281"/>
      <c r="Y72" s="281"/>
      <c r="Z72" s="281"/>
      <c r="AA72" s="281"/>
      <c r="AB72" s="281"/>
      <c r="AC72" s="281"/>
      <c r="AD72" s="281"/>
    </row>
    <row r="73">
      <c r="A73" s="432" t="s">
        <v>619</v>
      </c>
      <c r="B73" s="323"/>
      <c r="C73" s="323"/>
      <c r="D73" s="323"/>
      <c r="E73" s="323"/>
      <c r="F73" s="323"/>
      <c r="G73" s="323"/>
      <c r="H73" s="324"/>
      <c r="I73" s="322"/>
      <c r="J73" s="324"/>
      <c r="K73" s="294"/>
      <c r="L73" s="281"/>
      <c r="M73" s="281"/>
      <c r="N73" s="416"/>
      <c r="O73" s="281"/>
      <c r="P73" s="281"/>
      <c r="Q73" s="281"/>
      <c r="R73" s="281"/>
      <c r="S73" s="281"/>
      <c r="T73" s="281"/>
      <c r="U73" s="281"/>
      <c r="V73" s="281"/>
      <c r="W73" s="281"/>
      <c r="X73" s="281"/>
      <c r="Y73" s="281"/>
      <c r="Z73" s="281"/>
      <c r="AA73" s="281"/>
      <c r="AB73" s="281"/>
      <c r="AC73" s="281"/>
      <c r="AD73" s="281"/>
    </row>
    <row r="74">
      <c r="A74" s="382" t="s">
        <v>16</v>
      </c>
      <c r="B74" s="435" t="s">
        <v>227</v>
      </c>
      <c r="C74" s="151" t="str">
        <f>VLOOKUP($B74,'Rate card'!$A$4:$G195,2,FALSE)</f>
        <v>Carpentry</v>
      </c>
      <c r="D74" s="151" t="str">
        <f>VLOOKUP($B74,'Rate card'!$A$4:$G195,3,FALSE)</f>
        <v>Bed</v>
      </c>
      <c r="E74" s="151" t="str">
        <f>VLOOKUP($B74,'Rate card'!$A$4:$G195,4,FALSE)</f>
        <v>Laminate Finish</v>
      </c>
      <c r="F74" s="151" t="str">
        <f>VLOOKUP($B74,'Rate card'!$A$4:$G195,5,FALSE)</f>
        <v>MR ply + Inside laminate + finish laminate</v>
      </c>
      <c r="G74" s="151" t="str">
        <f>VLOOKUP($B74,'Rate card'!$A$4:$G195,6,FALSE)</f>
        <v>Sqft</v>
      </c>
      <c r="H74" s="185">
        <v>2200.0</v>
      </c>
      <c r="I74" s="362" t="s">
        <v>64</v>
      </c>
      <c r="J74" s="358">
        <f t="shared" ref="J74:J83" si="9">H74*I74</f>
        <v>88000</v>
      </c>
      <c r="K74" s="72" t="s">
        <v>819</v>
      </c>
      <c r="L74" s="148"/>
      <c r="M74" s="148"/>
      <c r="N74" s="375">
        <f>VLOOKUP($B74,'Rate card'!$A$4:$J195,7,FALSE)</f>
        <v>1400</v>
      </c>
      <c r="O74" s="376">
        <f t="shared" ref="O74:O75" si="10">I74*N74</f>
        <v>56000</v>
      </c>
      <c r="P74" s="148"/>
      <c r="Q74" s="436"/>
      <c r="R74" s="355"/>
      <c r="S74" s="148"/>
      <c r="T74" s="148"/>
      <c r="U74" s="148"/>
      <c r="V74" s="148"/>
      <c r="W74" s="148"/>
      <c r="X74" s="148"/>
      <c r="Y74" s="148"/>
      <c r="Z74" s="148"/>
      <c r="AA74" s="148"/>
      <c r="AB74" s="148"/>
      <c r="AC74" s="148"/>
      <c r="AD74" s="148"/>
    </row>
    <row r="75">
      <c r="A75" s="382" t="s">
        <v>18</v>
      </c>
      <c r="B75" s="435" t="s">
        <v>230</v>
      </c>
      <c r="C75" s="151" t="str">
        <f>VLOOKUP($B75,'Rate card'!$A$4:$G195,2,FALSE)</f>
        <v>Carpentry</v>
      </c>
      <c r="D75" s="151" t="str">
        <f>VLOOKUP($B75,'Rate card'!$A$4:$G195,3,FALSE)</f>
        <v>Headboard</v>
      </c>
      <c r="E75" s="151" t="str">
        <f>VLOOKUP($B75,'Rate card'!$A$4:$G195,4,FALSE)</f>
        <v>Fabric Finish</v>
      </c>
      <c r="F75" s="151" t="str">
        <f>VLOOKUP($B75,'Rate card'!$A$4:$G195,5,FALSE)</f>
        <v>MR ply panelling + Foam material and labour. Excludes Fabric cost</v>
      </c>
      <c r="G75" s="151" t="str">
        <f>VLOOKUP($B75,'Rate card'!$A$4:$G195,6,FALSE)</f>
        <v>Sqft</v>
      </c>
      <c r="H75" s="151">
        <v>1300.0</v>
      </c>
      <c r="I75" s="362" t="s">
        <v>116</v>
      </c>
      <c r="J75" s="358">
        <f t="shared" si="9"/>
        <v>23400</v>
      </c>
      <c r="K75" s="437" t="s">
        <v>231</v>
      </c>
      <c r="L75" s="148"/>
      <c r="M75" s="148"/>
      <c r="N75" s="375">
        <f>VLOOKUP($B75,'Rate card'!$A$4:$J195,7,FALSE)</f>
        <v>950</v>
      </c>
      <c r="O75" s="376">
        <f t="shared" si="10"/>
        <v>17100</v>
      </c>
      <c r="P75" s="148"/>
      <c r="Q75" s="436"/>
      <c r="R75" s="355"/>
      <c r="S75" s="148"/>
      <c r="T75" s="148"/>
      <c r="U75" s="148"/>
      <c r="V75" s="148"/>
      <c r="W75" s="148"/>
      <c r="X75" s="148"/>
      <c r="Y75" s="148"/>
      <c r="Z75" s="148"/>
      <c r="AA75" s="148"/>
      <c r="AB75" s="148"/>
      <c r="AC75" s="148"/>
      <c r="AD75" s="148"/>
    </row>
    <row r="76">
      <c r="A76" s="408" t="s">
        <v>24</v>
      </c>
      <c r="B76" s="419" t="s">
        <v>232</v>
      </c>
      <c r="C76" s="420" t="str">
        <f>VLOOKUP($B76,'Rate card'!$A$4:$G195,2,FALSE)</f>
        <v>Carpentry</v>
      </c>
      <c r="D76" s="413" t="s">
        <v>233</v>
      </c>
      <c r="E76" s="420" t="str">
        <f>VLOOKUP($B76,'Rate card'!$A$4:$G195,4,FALSE)</f>
        <v>Laminate Finish</v>
      </c>
      <c r="F76" s="420" t="str">
        <f>VLOOKUP($B76,'Rate card'!$A$4:$G195,5,FALSE)</f>
        <v>MR ply + Inside laminate + finish laminate (1 Drawer)</v>
      </c>
      <c r="G76" s="420" t="str">
        <f>VLOOKUP($B76,'Rate card'!$A$4:$G195,6,FALSE)</f>
        <v>Nos</v>
      </c>
      <c r="H76" s="413">
        <v>13000.0</v>
      </c>
      <c r="I76" s="438" t="s">
        <v>16</v>
      </c>
      <c r="J76" s="415">
        <f t="shared" si="9"/>
        <v>13000</v>
      </c>
      <c r="K76" s="411" t="s">
        <v>233</v>
      </c>
      <c r="L76" s="281"/>
      <c r="M76" s="281"/>
      <c r="N76" s="416"/>
      <c r="O76" s="281"/>
      <c r="P76" s="281"/>
      <c r="Q76" s="281"/>
      <c r="R76" s="281"/>
      <c r="S76" s="281"/>
      <c r="T76" s="281"/>
      <c r="U76" s="281"/>
      <c r="V76" s="281"/>
      <c r="W76" s="281"/>
      <c r="X76" s="281"/>
      <c r="Y76" s="281"/>
      <c r="Z76" s="281"/>
      <c r="AA76" s="281"/>
      <c r="AB76" s="281"/>
      <c r="AC76" s="281"/>
      <c r="AD76" s="281"/>
    </row>
    <row r="77">
      <c r="A77" s="382" t="s">
        <v>27</v>
      </c>
      <c r="B77" s="419" t="s">
        <v>248</v>
      </c>
      <c r="C77" s="420" t="str">
        <f>VLOOKUP($B77,'Rate card'!$A$4:$G195,2,FALSE)</f>
        <v>Carpentry</v>
      </c>
      <c r="D77" s="420" t="str">
        <f>VLOOKUP($B77,'Rate card'!$A$4:$G195,3,FALSE)</f>
        <v>Study Table</v>
      </c>
      <c r="E77" s="420" t="str">
        <f>VLOOKUP($B77,'Rate card'!$A$4:$G195,4,FALSE)</f>
        <v>Laminate Finish</v>
      </c>
      <c r="F77" s="420" t="str">
        <f>VLOOKUP($B77,'Rate card'!$A$4:$G195,5,FALSE)</f>
        <v>MR ply + Inside laminate + finish laminate (2 pencil drawers)</v>
      </c>
      <c r="G77" s="420" t="str">
        <f>VLOOKUP($B77,'Rate card'!$A$4:$G195,6,FALSE)</f>
        <v>Rft</v>
      </c>
      <c r="H77" s="413">
        <v>4500.0</v>
      </c>
      <c r="I77" s="438" t="s">
        <v>27</v>
      </c>
      <c r="J77" s="415">
        <f t="shared" si="9"/>
        <v>18000</v>
      </c>
      <c r="K77" s="411" t="s">
        <v>249</v>
      </c>
      <c r="L77" s="281"/>
      <c r="M77" s="281"/>
      <c r="N77" s="416"/>
      <c r="O77" s="281"/>
      <c r="P77" s="281"/>
      <c r="Q77" s="439"/>
      <c r="R77" s="2"/>
      <c r="S77" s="281"/>
      <c r="T77" s="281"/>
      <c r="U77" s="281"/>
      <c r="V77" s="281"/>
      <c r="W77" s="281"/>
      <c r="X77" s="281"/>
      <c r="Y77" s="281"/>
      <c r="Z77" s="281"/>
      <c r="AA77" s="281"/>
      <c r="AB77" s="281"/>
      <c r="AC77" s="281"/>
      <c r="AD77" s="281"/>
    </row>
    <row r="78">
      <c r="A78" s="382" t="s">
        <v>30</v>
      </c>
      <c r="B78" s="419" t="s">
        <v>170</v>
      </c>
      <c r="C78" s="420" t="str">
        <f>VLOOKUP($B78,'Rate card'!$A$4:$G195,2,FALSE)</f>
        <v>Carpentry</v>
      </c>
      <c r="D78" s="420" t="str">
        <f>VLOOKUP($B78,'Rate card'!$A$4:$G195,3,FALSE)</f>
        <v>Carcass Storage</v>
      </c>
      <c r="E78" s="420" t="str">
        <f>VLOOKUP($B78,'Rate card'!$A$4:$G195,4,FALSE)</f>
        <v>Laminate Finish</v>
      </c>
      <c r="F78" s="420" t="str">
        <f>VLOOKUP($B78,'Rate card'!$A$4:$G195,5,FALSE)</f>
        <v>MR ply + Inside laminate + finish laminate</v>
      </c>
      <c r="G78" s="420" t="str">
        <f>VLOOKUP($B78,'Rate card'!$A$4:$G195,6,FALSE)</f>
        <v>Sqft</v>
      </c>
      <c r="H78" s="420">
        <f>VLOOKUP($B78,'Rate card'!$A$4:$J195,8,FALSE)</f>
        <v>1800</v>
      </c>
      <c r="I78" s="438" t="s">
        <v>121</v>
      </c>
      <c r="J78" s="415">
        <f t="shared" si="9"/>
        <v>36000</v>
      </c>
      <c r="K78" s="411" t="s">
        <v>250</v>
      </c>
      <c r="L78" s="281"/>
      <c r="M78" s="281"/>
      <c r="N78" s="416"/>
      <c r="O78" s="281"/>
      <c r="P78" s="281"/>
      <c r="Q78" s="439"/>
      <c r="R78" s="2"/>
      <c r="S78" s="281"/>
      <c r="T78" s="281"/>
      <c r="U78" s="281"/>
      <c r="V78" s="281"/>
      <c r="W78" s="281"/>
      <c r="X78" s="281"/>
      <c r="Y78" s="281"/>
      <c r="Z78" s="281"/>
      <c r="AA78" s="281"/>
      <c r="AB78" s="281"/>
      <c r="AC78" s="281"/>
      <c r="AD78" s="281"/>
    </row>
    <row r="79">
      <c r="A79" s="408" t="s">
        <v>32</v>
      </c>
      <c r="B79" s="419" t="s">
        <v>236</v>
      </c>
      <c r="C79" s="420" t="str">
        <f>VLOOKUP($B79,'Rate card'!$A$4:$G195,2,FALSE)</f>
        <v>Carpentry</v>
      </c>
      <c r="D79" s="420" t="str">
        <f>VLOOKUP($B79,'Rate card'!$A$4:$G195,3,FALSE)</f>
        <v>Panelling with framing</v>
      </c>
      <c r="E79" s="420" t="str">
        <f>VLOOKUP($B79,'Rate card'!$A$4:$G195,4,FALSE)</f>
        <v>Mirror Finish</v>
      </c>
      <c r="F79" s="420" t="str">
        <f>VLOOKUP($B79,'Rate card'!$A$4:$G195,5,FALSE)</f>
        <v>MR ply + ply framing + 5mm clear mirror</v>
      </c>
      <c r="G79" s="420" t="str">
        <f>VLOOKUP($B79,'Rate card'!$A$4:$G195,6,FALSE)</f>
        <v>Sqft</v>
      </c>
      <c r="H79" s="420">
        <f>VLOOKUP($B79,'Rate card'!$A$4:$J195,8,FALSE)</f>
        <v>750</v>
      </c>
      <c r="I79" s="438">
        <f>2*5</f>
        <v>10</v>
      </c>
      <c r="J79" s="415">
        <f t="shared" si="9"/>
        <v>7500</v>
      </c>
      <c r="K79" s="411" t="s">
        <v>237</v>
      </c>
      <c r="L79" s="281"/>
      <c r="M79" s="281"/>
      <c r="N79" s="416"/>
      <c r="O79" s="281"/>
      <c r="P79" s="281"/>
      <c r="Q79" s="281"/>
      <c r="R79" s="281"/>
      <c r="S79" s="281"/>
      <c r="T79" s="281"/>
      <c r="U79" s="281"/>
      <c r="V79" s="281"/>
      <c r="W79" s="281"/>
      <c r="X79" s="281"/>
      <c r="Y79" s="281"/>
      <c r="Z79" s="281"/>
      <c r="AA79" s="281"/>
      <c r="AB79" s="281"/>
      <c r="AC79" s="281"/>
      <c r="AD79" s="281"/>
    </row>
    <row r="80">
      <c r="A80" s="382" t="s">
        <v>34</v>
      </c>
      <c r="B80" s="419" t="s">
        <v>252</v>
      </c>
      <c r="C80" s="420" t="str">
        <f>VLOOKUP($B80,'Rate card'!$A$4:$G195,2,FALSE)</f>
        <v>Carpentry</v>
      </c>
      <c r="D80" s="420" t="str">
        <f>VLOOKUP($B80,'Rate card'!$A$4:$G195,3,FALSE)</f>
        <v>Dresser</v>
      </c>
      <c r="E80" s="433" t="str">
        <f>VLOOKUP($B80,'Rate card'!$A$4:$G195,4,FALSE)</f>
        <v>Laminate Finish</v>
      </c>
      <c r="F80" s="433" t="str">
        <f>VLOOKUP($B80,'Rate card'!$A$4:$G195,5,FALSE)</f>
        <v>MRply + Inside laminate + finish laminate </v>
      </c>
      <c r="G80" s="420" t="str">
        <f>VLOOKUP($B80,'Rate card'!$A$4:$G195,6,FALSE)</f>
        <v>Sqft</v>
      </c>
      <c r="H80" s="413">
        <v>1800.0</v>
      </c>
      <c r="I80" s="414" t="s">
        <v>32</v>
      </c>
      <c r="J80" s="415">
        <f t="shared" si="9"/>
        <v>10800</v>
      </c>
      <c r="K80" s="411" t="s">
        <v>234</v>
      </c>
      <c r="L80" s="281"/>
      <c r="M80" s="281"/>
      <c r="N80" s="443">
        <f>VLOOKUP($B80,'Rate card'!$A$4:$J195,7,FALSE)</f>
        <v>1400</v>
      </c>
      <c r="O80" s="444">
        <f>I80*N80</f>
        <v>8400</v>
      </c>
      <c r="P80" s="281"/>
      <c r="Q80" s="281"/>
      <c r="R80" s="281"/>
      <c r="S80" s="281"/>
      <c r="T80" s="281"/>
      <c r="U80" s="281"/>
      <c r="V80" s="281"/>
      <c r="W80" s="281"/>
      <c r="X80" s="281"/>
      <c r="Y80" s="281"/>
      <c r="Z80" s="281"/>
      <c r="AA80" s="281"/>
      <c r="AB80" s="281"/>
      <c r="AC80" s="281"/>
      <c r="AD80" s="281"/>
    </row>
    <row r="81">
      <c r="A81" s="382" t="s">
        <v>36</v>
      </c>
      <c r="B81" s="440" t="s">
        <v>238</v>
      </c>
      <c r="C81" s="395" t="s">
        <v>31</v>
      </c>
      <c r="D81" s="343" t="s">
        <v>180</v>
      </c>
      <c r="E81" s="395" t="str">
        <f>VLOOKUP($B81,'Rate card'!$A$4:$G195,4,FALSE)</f>
        <v>Laminate Finish</v>
      </c>
      <c r="F81" s="441" t="s">
        <v>239</v>
      </c>
      <c r="G81" s="420" t="str">
        <f>VLOOKUP($B81,'Rate card'!$A$4:$G195,6,FALSE)</f>
        <v>Sqft</v>
      </c>
      <c r="H81" s="420">
        <f>VLOOKUP($B81,'Rate card'!$A$4:$J195,8,FALSE)</f>
        <v>650</v>
      </c>
      <c r="I81" s="438" t="s">
        <v>64</v>
      </c>
      <c r="J81" s="415">
        <f t="shared" si="9"/>
        <v>26000</v>
      </c>
      <c r="K81" s="333" t="s">
        <v>241</v>
      </c>
      <c r="L81" s="346"/>
      <c r="M81" s="346"/>
      <c r="N81" s="371"/>
      <c r="O81" s="346"/>
      <c r="P81" s="346"/>
      <c r="Q81" s="346"/>
      <c r="R81" s="346"/>
      <c r="S81" s="346"/>
      <c r="T81" s="346"/>
      <c r="U81" s="346"/>
      <c r="V81" s="346"/>
      <c r="W81" s="346"/>
      <c r="X81" s="346"/>
      <c r="Y81" s="346"/>
      <c r="Z81" s="346"/>
      <c r="AA81" s="346"/>
      <c r="AB81" s="346"/>
      <c r="AC81" s="281"/>
      <c r="AD81" s="281"/>
    </row>
    <row r="82">
      <c r="A82" s="408" t="s">
        <v>92</v>
      </c>
      <c r="B82" s="419" t="s">
        <v>243</v>
      </c>
      <c r="C82" s="420" t="str">
        <f>VLOOKUP($B82,'Rate card'!$A$4:$G195,2,FALSE)</f>
        <v>Carpentry</v>
      </c>
      <c r="D82" s="420" t="str">
        <f>VLOOKUP($B82,'Rate card'!$A$4:$G195,3,FALSE)</f>
        <v>Wardrobe</v>
      </c>
      <c r="E82" s="420" t="str">
        <f>VLOOKUP($B82,'Rate card'!$A$4:$G195,4,FALSE)</f>
        <v>Laminate Finish</v>
      </c>
      <c r="F82" s="420" t="str">
        <f>VLOOKUP($B82,'Rate card'!$A$4:$G195,5,FALSE)</f>
        <v>MR ply + Inside laminate + finish laminate. (Includes 4 pencil drawers, Handles of base rate Rs.1000/pc)</v>
      </c>
      <c r="G82" s="420" t="str">
        <f>VLOOKUP($B82,'Rate card'!$A$4:$G195,6,FALSE)</f>
        <v>Sqft</v>
      </c>
      <c r="H82" s="413">
        <v>1800.0</v>
      </c>
      <c r="I82" s="438" t="s">
        <v>609</v>
      </c>
      <c r="J82" s="415">
        <f t="shared" si="9"/>
        <v>135000</v>
      </c>
      <c r="K82" s="411" t="s">
        <v>244</v>
      </c>
      <c r="L82" s="281"/>
      <c r="M82" s="281"/>
      <c r="N82" s="416"/>
      <c r="O82" s="281"/>
      <c r="P82" s="281"/>
      <c r="Q82" s="442"/>
      <c r="R82" s="2"/>
      <c r="S82" s="281"/>
      <c r="T82" s="281"/>
      <c r="U82" s="281"/>
      <c r="V82" s="281"/>
      <c r="W82" s="281"/>
      <c r="X82" s="281"/>
      <c r="Y82" s="281"/>
      <c r="Z82" s="281"/>
      <c r="AA82" s="281"/>
      <c r="AB82" s="281"/>
      <c r="AC82" s="281"/>
      <c r="AD82" s="281"/>
    </row>
    <row r="83">
      <c r="A83" s="382" t="s">
        <v>95</v>
      </c>
      <c r="B83" s="419" t="s">
        <v>179</v>
      </c>
      <c r="C83" s="420" t="str">
        <f>VLOOKUP($B83,'Rate card'!$A$4:$G195,2,FALSE)</f>
        <v>Carpentry</v>
      </c>
      <c r="D83" s="420" t="str">
        <f>VLOOKUP($B83,'Rate card'!$A$4:$G195,3,FALSE)</f>
        <v>Panelling with framing</v>
      </c>
      <c r="E83" s="420" t="str">
        <f>VLOOKUP($B83,'Rate card'!$A$4:$G195,4,FALSE)</f>
        <v>MDF</v>
      </c>
      <c r="F83" s="420" t="str">
        <f>VLOOKUP($B83,'Rate card'!$A$4:$G195,5,FALSE)</f>
        <v>MR ply + ply framing + 12mm MDF</v>
      </c>
      <c r="G83" s="420" t="str">
        <f>VLOOKUP($B83,'Rate card'!$A$4:$G195,6,FALSE)</f>
        <v>Sqft</v>
      </c>
      <c r="H83" s="413">
        <v>600.0</v>
      </c>
      <c r="I83" s="438" t="s">
        <v>224</v>
      </c>
      <c r="J83" s="415">
        <f t="shared" si="9"/>
        <v>13200</v>
      </c>
      <c r="K83" s="411" t="s">
        <v>245</v>
      </c>
      <c r="L83" s="281"/>
      <c r="M83" s="281"/>
      <c r="N83" s="416"/>
      <c r="O83" s="281"/>
      <c r="P83" s="281"/>
      <c r="Q83" s="281"/>
      <c r="R83" s="281"/>
      <c r="S83" s="281"/>
      <c r="T83" s="281"/>
      <c r="U83" s="281"/>
      <c r="V83" s="281"/>
      <c r="W83" s="281"/>
      <c r="X83" s="281"/>
      <c r="Y83" s="281"/>
      <c r="Z83" s="281"/>
      <c r="AA83" s="281"/>
      <c r="AB83" s="281"/>
      <c r="AC83" s="281"/>
      <c r="AD83" s="281"/>
    </row>
    <row r="84">
      <c r="A84" s="408"/>
      <c r="B84" s="409"/>
      <c r="C84" s="669"/>
      <c r="D84" s="669"/>
      <c r="E84" s="669"/>
      <c r="F84" s="669"/>
      <c r="G84" s="669"/>
      <c r="H84" s="409"/>
      <c r="I84" s="421"/>
      <c r="J84" s="642"/>
      <c r="K84" s="411"/>
      <c r="L84" s="281"/>
      <c r="M84" s="281"/>
      <c r="N84" s="416"/>
      <c r="O84" s="281"/>
      <c r="P84" s="281"/>
      <c r="Q84" s="281"/>
      <c r="R84" s="281"/>
      <c r="S84" s="281"/>
      <c r="T84" s="281"/>
      <c r="U84" s="281"/>
      <c r="V84" s="281"/>
      <c r="W84" s="281"/>
      <c r="X84" s="281"/>
      <c r="Y84" s="281"/>
      <c r="Z84" s="281"/>
      <c r="AA84" s="281"/>
      <c r="AB84" s="281"/>
      <c r="AC84" s="281"/>
      <c r="AD84" s="281"/>
    </row>
    <row r="85">
      <c r="A85" s="432" t="s">
        <v>265</v>
      </c>
      <c r="B85" s="323"/>
      <c r="C85" s="323"/>
      <c r="D85" s="323"/>
      <c r="E85" s="323"/>
      <c r="F85" s="323"/>
      <c r="G85" s="323"/>
      <c r="H85" s="324"/>
      <c r="I85" s="322"/>
      <c r="J85" s="324"/>
      <c r="K85" s="294"/>
      <c r="L85" s="281"/>
      <c r="M85" s="281"/>
      <c r="N85" s="416"/>
      <c r="O85" s="281"/>
      <c r="P85" s="281"/>
      <c r="Q85" s="281"/>
      <c r="R85" s="281"/>
      <c r="S85" s="281"/>
      <c r="T85" s="281"/>
      <c r="U85" s="281"/>
      <c r="V85" s="281"/>
      <c r="W85" s="281"/>
      <c r="X85" s="281"/>
      <c r="Y85" s="281"/>
      <c r="Z85" s="281"/>
      <c r="AA85" s="281"/>
      <c r="AB85" s="281"/>
      <c r="AC85" s="281"/>
      <c r="AD85" s="281"/>
    </row>
    <row r="86">
      <c r="A86" s="408" t="s">
        <v>16</v>
      </c>
      <c r="B86" s="419" t="s">
        <v>227</v>
      </c>
      <c r="C86" s="420" t="str">
        <f>VLOOKUP($B86,'Rate card'!$A$4:$G195,2,FALSE)</f>
        <v>Carpentry</v>
      </c>
      <c r="D86" s="420" t="str">
        <f>VLOOKUP($B86,'Rate card'!$A$4:$G195,3,FALSE)</f>
        <v>Bed</v>
      </c>
      <c r="E86" s="420" t="str">
        <f>VLOOKUP($B86,'Rate card'!$A$4:$G195,4,FALSE)</f>
        <v>Laminate Finish</v>
      </c>
      <c r="F86" s="420" t="str">
        <f>VLOOKUP($B86,'Rate card'!$A$4:$G195,5,FALSE)</f>
        <v>MR ply + Inside laminate + finish laminate</v>
      </c>
      <c r="G86" s="420" t="str">
        <f>VLOOKUP($B86,'Rate card'!$A$4:$G195,6,FALSE)</f>
        <v>Sqft</v>
      </c>
      <c r="H86" s="413">
        <v>2200.0</v>
      </c>
      <c r="I86" s="414" t="s">
        <v>64</v>
      </c>
      <c r="J86" s="415">
        <f t="shared" ref="J86:J95" si="11">H86*I86</f>
        <v>88000</v>
      </c>
      <c r="K86" s="72" t="s">
        <v>247</v>
      </c>
      <c r="L86" s="281"/>
      <c r="M86" s="281"/>
      <c r="N86" s="416">
        <f>VLOOKUP($B86,'Rate card'!$A$4:$J195,7,FALSE)</f>
        <v>1400</v>
      </c>
      <c r="O86" s="281">
        <f t="shared" ref="O86:O87" si="12">I86*N86</f>
        <v>56000</v>
      </c>
      <c r="P86" s="281"/>
      <c r="Q86" s="281"/>
      <c r="R86" s="281"/>
      <c r="S86" s="281"/>
      <c r="T86" s="281"/>
      <c r="U86" s="281"/>
      <c r="V86" s="281"/>
      <c r="W86" s="281"/>
      <c r="X86" s="281"/>
      <c r="Y86" s="281"/>
      <c r="Z86" s="281"/>
      <c r="AA86" s="281"/>
      <c r="AB86" s="281"/>
      <c r="AC86" s="281"/>
      <c r="AD86" s="281"/>
    </row>
    <row r="87">
      <c r="A87" s="408" t="s">
        <v>18</v>
      </c>
      <c r="B87" s="419" t="s">
        <v>230</v>
      </c>
      <c r="C87" s="420" t="str">
        <f>VLOOKUP($B87,'Rate card'!$A$4:$G195,2,FALSE)</f>
        <v>Carpentry</v>
      </c>
      <c r="D87" s="420" t="str">
        <f>VLOOKUP($B87,'Rate card'!$A$4:$G195,3,FALSE)</f>
        <v>Headboard</v>
      </c>
      <c r="E87" s="420" t="str">
        <f>VLOOKUP($B87,'Rate card'!$A$4:$G195,4,FALSE)</f>
        <v>Fabric Finish</v>
      </c>
      <c r="F87" s="420" t="str">
        <f>VLOOKUP($B87,'Rate card'!$A$4:$G195,5,FALSE)</f>
        <v>MR ply panelling + Foam material and labour. Excludes Fabric cost</v>
      </c>
      <c r="G87" s="420" t="str">
        <f>VLOOKUP($B87,'Rate card'!$A$4:$G195,6,FALSE)</f>
        <v>Sqft</v>
      </c>
      <c r="H87" s="413">
        <v>1300.0</v>
      </c>
      <c r="I87" s="414" t="s">
        <v>116</v>
      </c>
      <c r="J87" s="415">
        <f t="shared" si="11"/>
        <v>23400</v>
      </c>
      <c r="K87" s="411" t="s">
        <v>231</v>
      </c>
      <c r="L87" s="281"/>
      <c r="M87" s="281"/>
      <c r="N87" s="416">
        <f>VLOOKUP($B87,'Rate card'!$A$4:$J195,7,FALSE)</f>
        <v>950</v>
      </c>
      <c r="O87" s="281">
        <f t="shared" si="12"/>
        <v>17100</v>
      </c>
      <c r="P87" s="281"/>
      <c r="Q87" s="281"/>
      <c r="R87" s="281"/>
      <c r="S87" s="281"/>
      <c r="T87" s="281"/>
      <c r="U87" s="281"/>
      <c r="V87" s="281"/>
      <c r="W87" s="281"/>
      <c r="X87" s="281"/>
      <c r="Y87" s="281"/>
      <c r="Z87" s="281"/>
      <c r="AA87" s="281"/>
      <c r="AB87" s="281"/>
      <c r="AC87" s="281"/>
      <c r="AD87" s="281"/>
    </row>
    <row r="88">
      <c r="A88" s="408" t="s">
        <v>24</v>
      </c>
      <c r="B88" s="419" t="s">
        <v>232</v>
      </c>
      <c r="C88" s="420" t="str">
        <f>VLOOKUP($B88,'Rate card'!$A$4:$G195,2,FALSE)</f>
        <v>Carpentry</v>
      </c>
      <c r="D88" s="413" t="s">
        <v>233</v>
      </c>
      <c r="E88" s="420" t="str">
        <f>VLOOKUP($B88,'Rate card'!$A$4:$G195,4,FALSE)</f>
        <v>Laminate Finish</v>
      </c>
      <c r="F88" s="420" t="str">
        <f>VLOOKUP($B88,'Rate card'!$A$4:$G195,5,FALSE)</f>
        <v>MR ply + Inside laminate + finish laminate (1 Drawer)</v>
      </c>
      <c r="G88" s="420" t="str">
        <f>VLOOKUP($B88,'Rate card'!$A$4:$G195,6,FALSE)</f>
        <v>Nos</v>
      </c>
      <c r="H88" s="413">
        <v>13000.0</v>
      </c>
      <c r="I88" s="438" t="s">
        <v>16</v>
      </c>
      <c r="J88" s="415">
        <f t="shared" si="11"/>
        <v>13000</v>
      </c>
      <c r="K88" s="411" t="s">
        <v>233</v>
      </c>
      <c r="L88" s="281"/>
      <c r="M88" s="281"/>
      <c r="N88" s="416"/>
      <c r="O88" s="281"/>
      <c r="P88" s="281"/>
      <c r="Q88" s="281"/>
      <c r="R88" s="281"/>
      <c r="S88" s="281"/>
      <c r="T88" s="281"/>
      <c r="U88" s="281"/>
      <c r="V88" s="281"/>
      <c r="W88" s="281"/>
      <c r="X88" s="281"/>
      <c r="Y88" s="281"/>
      <c r="Z88" s="281"/>
      <c r="AA88" s="281"/>
      <c r="AB88" s="281"/>
      <c r="AC88" s="281"/>
      <c r="AD88" s="281"/>
    </row>
    <row r="89">
      <c r="A89" s="408" t="s">
        <v>27</v>
      </c>
      <c r="B89" s="419" t="s">
        <v>236</v>
      </c>
      <c r="C89" s="420" t="str">
        <f>VLOOKUP($B89,'Rate card'!$A$4:$G195,2,FALSE)</f>
        <v>Carpentry</v>
      </c>
      <c r="D89" s="420" t="str">
        <f>VLOOKUP($B89,'Rate card'!$A$4:$G195,3,FALSE)</f>
        <v>Panelling with framing</v>
      </c>
      <c r="E89" s="420" t="str">
        <f>VLOOKUP($B89,'Rate card'!$A$4:$G195,4,FALSE)</f>
        <v>Mirror Finish</v>
      </c>
      <c r="F89" s="420" t="str">
        <f>VLOOKUP($B89,'Rate card'!$A$4:$G195,5,FALSE)</f>
        <v>MR ply + ply framing + 5mm clear mirror</v>
      </c>
      <c r="G89" s="420" t="str">
        <f>VLOOKUP($B89,'Rate card'!$A$4:$G195,6,FALSE)</f>
        <v>Sqft</v>
      </c>
      <c r="H89" s="420">
        <f>VLOOKUP($B89,'Rate card'!$A$4:$J195,8,FALSE)</f>
        <v>750</v>
      </c>
      <c r="I89" s="438">
        <f>2*5</f>
        <v>10</v>
      </c>
      <c r="J89" s="415">
        <f t="shared" si="11"/>
        <v>7500</v>
      </c>
      <c r="K89" s="411" t="s">
        <v>237</v>
      </c>
      <c r="L89" s="281"/>
      <c r="M89" s="281"/>
      <c r="N89" s="416"/>
      <c r="O89" s="281"/>
      <c r="P89" s="281"/>
      <c r="Q89" s="281"/>
      <c r="R89" s="281"/>
      <c r="S89" s="281"/>
      <c r="T89" s="281"/>
      <c r="U89" s="281"/>
      <c r="V89" s="281"/>
      <c r="W89" s="281"/>
      <c r="X89" s="281"/>
      <c r="Y89" s="281"/>
      <c r="Z89" s="281"/>
      <c r="AA89" s="281"/>
      <c r="AB89" s="281"/>
      <c r="AC89" s="281"/>
      <c r="AD89" s="281"/>
    </row>
    <row r="90">
      <c r="A90" s="408" t="s">
        <v>30</v>
      </c>
      <c r="B90" s="419" t="s">
        <v>252</v>
      </c>
      <c r="C90" s="420" t="str">
        <f>VLOOKUP($B90,'Rate card'!$A$4:$G195,2,FALSE)</f>
        <v>Carpentry</v>
      </c>
      <c r="D90" s="420" t="str">
        <f>VLOOKUP($B90,'Rate card'!$A$4:$G195,3,FALSE)</f>
        <v>Dresser</v>
      </c>
      <c r="E90" s="433" t="str">
        <f>VLOOKUP($B90,'Rate card'!$A$4:$G195,4,FALSE)</f>
        <v>Laminate Finish</v>
      </c>
      <c r="F90" s="433" t="str">
        <f>VLOOKUP($B90,'Rate card'!$A$4:$G195,5,FALSE)</f>
        <v>MRply + Inside laminate + finish laminate </v>
      </c>
      <c r="G90" s="420" t="str">
        <f>VLOOKUP($B90,'Rate card'!$A$4:$G195,6,FALSE)</f>
        <v>Sqft</v>
      </c>
      <c r="H90" s="413">
        <v>1800.0</v>
      </c>
      <c r="I90" s="414" t="s">
        <v>32</v>
      </c>
      <c r="J90" s="415">
        <f t="shared" si="11"/>
        <v>10800</v>
      </c>
      <c r="K90" s="411" t="s">
        <v>234</v>
      </c>
      <c r="L90" s="281"/>
      <c r="M90" s="281"/>
      <c r="N90" s="443">
        <f>VLOOKUP($B90,'Rate card'!$A$4:$J195,7,FALSE)</f>
        <v>1400</v>
      </c>
      <c r="O90" s="444">
        <f>I90*N90</f>
        <v>8400</v>
      </c>
      <c r="P90" s="281"/>
      <c r="Q90" s="281"/>
      <c r="R90" s="281"/>
      <c r="S90" s="281"/>
      <c r="T90" s="281"/>
      <c r="U90" s="281"/>
      <c r="V90" s="281"/>
      <c r="W90" s="281"/>
      <c r="X90" s="281"/>
      <c r="Y90" s="281"/>
      <c r="Z90" s="281"/>
      <c r="AA90" s="281"/>
      <c r="AB90" s="281"/>
      <c r="AC90" s="281"/>
      <c r="AD90" s="281"/>
    </row>
    <row r="91">
      <c r="A91" s="408" t="s">
        <v>32</v>
      </c>
      <c r="B91" s="440" t="s">
        <v>238</v>
      </c>
      <c r="C91" s="395" t="s">
        <v>31</v>
      </c>
      <c r="D91" s="343" t="s">
        <v>180</v>
      </c>
      <c r="E91" s="395" t="str">
        <f>VLOOKUP($B91,'Rate card'!$A$4:$G195,4,FALSE)</f>
        <v>Laminate Finish</v>
      </c>
      <c r="F91" s="441" t="s">
        <v>239</v>
      </c>
      <c r="G91" s="420" t="str">
        <f>VLOOKUP($B91,'Rate card'!$A$4:$G195,6,FALSE)</f>
        <v>Sqft</v>
      </c>
      <c r="H91" s="420">
        <f>VLOOKUP($B91,'Rate card'!$A$4:$J195,8,FALSE)</f>
        <v>650</v>
      </c>
      <c r="I91" s="438" t="s">
        <v>270</v>
      </c>
      <c r="J91" s="415">
        <f t="shared" si="11"/>
        <v>32500</v>
      </c>
      <c r="K91" s="333" t="s">
        <v>241</v>
      </c>
      <c r="L91" s="346"/>
      <c r="M91" s="346"/>
      <c r="N91" s="371"/>
      <c r="O91" s="346"/>
      <c r="P91" s="346"/>
      <c r="Q91" s="346"/>
      <c r="R91" s="346"/>
      <c r="S91" s="346"/>
      <c r="T91" s="346"/>
      <c r="U91" s="346"/>
      <c r="V91" s="346"/>
      <c r="W91" s="346"/>
      <c r="X91" s="346"/>
      <c r="Y91" s="346"/>
      <c r="Z91" s="346"/>
      <c r="AA91" s="346"/>
      <c r="AB91" s="346"/>
      <c r="AC91" s="281"/>
      <c r="AD91" s="281"/>
    </row>
    <row r="92">
      <c r="A92" s="408" t="s">
        <v>34</v>
      </c>
      <c r="B92" s="419" t="s">
        <v>248</v>
      </c>
      <c r="C92" s="420" t="str">
        <f>VLOOKUP($B92,'Rate card'!$A$4:$G195,2,FALSE)</f>
        <v>Carpentry</v>
      </c>
      <c r="D92" s="420" t="str">
        <f>VLOOKUP($B92,'Rate card'!$A$4:$G195,3,FALSE)</f>
        <v>Study Table</v>
      </c>
      <c r="E92" s="420" t="str">
        <f>VLOOKUP($B92,'Rate card'!$A$4:$G195,4,FALSE)</f>
        <v>Laminate Finish</v>
      </c>
      <c r="F92" s="420" t="str">
        <f>VLOOKUP($B92,'Rate card'!$A$4:$G195,5,FALSE)</f>
        <v>MR ply + Inside laminate + finish laminate (2 pencil drawers)</v>
      </c>
      <c r="G92" s="420" t="str">
        <f>VLOOKUP($B92,'Rate card'!$A$4:$G195,6,FALSE)</f>
        <v>Rft</v>
      </c>
      <c r="H92" s="413">
        <v>4500.0</v>
      </c>
      <c r="I92" s="438" t="s">
        <v>24</v>
      </c>
      <c r="J92" s="415">
        <f t="shared" si="11"/>
        <v>13500</v>
      </c>
      <c r="K92" s="411" t="s">
        <v>249</v>
      </c>
      <c r="L92" s="281"/>
      <c r="M92" s="281"/>
      <c r="N92" s="416"/>
      <c r="O92" s="281"/>
      <c r="P92" s="281"/>
      <c r="Q92" s="439"/>
      <c r="R92" s="2"/>
      <c r="S92" s="281"/>
      <c r="T92" s="281"/>
      <c r="U92" s="281"/>
      <c r="V92" s="281"/>
      <c r="W92" s="281"/>
      <c r="X92" s="281"/>
      <c r="Y92" s="281"/>
      <c r="Z92" s="281"/>
      <c r="AA92" s="281"/>
      <c r="AB92" s="281"/>
      <c r="AC92" s="281"/>
      <c r="AD92" s="281"/>
    </row>
    <row r="93">
      <c r="A93" s="408" t="s">
        <v>36</v>
      </c>
      <c r="B93" s="419" t="s">
        <v>170</v>
      </c>
      <c r="C93" s="420" t="str">
        <f>VLOOKUP($B93,'Rate card'!$A$4:$G195,2,FALSE)</f>
        <v>Carpentry</v>
      </c>
      <c r="D93" s="420" t="str">
        <f>VLOOKUP($B93,'Rate card'!$A$4:$G195,3,FALSE)</f>
        <v>Carcass Storage</v>
      </c>
      <c r="E93" s="420" t="str">
        <f>VLOOKUP($B93,'Rate card'!$A$4:$G195,4,FALSE)</f>
        <v>Laminate Finish</v>
      </c>
      <c r="F93" s="420" t="str">
        <f>VLOOKUP($B93,'Rate card'!$A$4:$G195,5,FALSE)</f>
        <v>MR ply + Inside laminate + finish laminate</v>
      </c>
      <c r="G93" s="420" t="str">
        <f>VLOOKUP($B93,'Rate card'!$A$4:$G195,6,FALSE)</f>
        <v>Sqft</v>
      </c>
      <c r="H93" s="420">
        <f>VLOOKUP($B93,'Rate card'!$A$4:$J195,8,FALSE)</f>
        <v>1800</v>
      </c>
      <c r="I93" s="438" t="s">
        <v>100</v>
      </c>
      <c r="J93" s="415">
        <f t="shared" si="11"/>
        <v>21600</v>
      </c>
      <c r="K93" s="411" t="s">
        <v>250</v>
      </c>
      <c r="L93" s="281"/>
      <c r="M93" s="281"/>
      <c r="N93" s="416"/>
      <c r="O93" s="281"/>
      <c r="P93" s="281"/>
      <c r="Q93" s="439"/>
      <c r="R93" s="2"/>
      <c r="S93" s="281"/>
      <c r="T93" s="281"/>
      <c r="U93" s="281"/>
      <c r="V93" s="281"/>
      <c r="W93" s="281"/>
      <c r="X93" s="281"/>
      <c r="Y93" s="281"/>
      <c r="Z93" s="281"/>
      <c r="AA93" s="281"/>
      <c r="AB93" s="281"/>
      <c r="AC93" s="281"/>
      <c r="AD93" s="281"/>
    </row>
    <row r="94">
      <c r="A94" s="670" t="s">
        <v>92</v>
      </c>
      <c r="B94" s="671" t="s">
        <v>243</v>
      </c>
      <c r="C94" s="672" t="str">
        <f>VLOOKUP($B94,'Rate card'!$A$4:$G195,2,FALSE)</f>
        <v>Carpentry</v>
      </c>
      <c r="D94" s="672" t="str">
        <f>VLOOKUP($B94,'Rate card'!$A$4:$G195,3,FALSE)</f>
        <v>Wardrobe</v>
      </c>
      <c r="E94" s="672" t="str">
        <f>VLOOKUP($B94,'Rate card'!$A$4:$G195,4,FALSE)</f>
        <v>Laminate Finish</v>
      </c>
      <c r="F94" s="672" t="str">
        <f>VLOOKUP($B94,'Rate card'!$A$4:$G195,5,FALSE)</f>
        <v>MR ply + Inside laminate + finish laminate. (Includes 4 pencil drawers, Handles of base rate Rs.1000/pc)</v>
      </c>
      <c r="G94" s="672" t="str">
        <f>VLOOKUP($B94,'Rate card'!$A$4:$G195,6,FALSE)</f>
        <v>Sqft</v>
      </c>
      <c r="H94" s="674">
        <v>1800.0</v>
      </c>
      <c r="I94" s="679" t="s">
        <v>820</v>
      </c>
      <c r="J94" s="676">
        <f t="shared" si="11"/>
        <v>117000</v>
      </c>
      <c r="K94" s="674" t="s">
        <v>244</v>
      </c>
      <c r="L94" s="281"/>
      <c r="M94" s="281"/>
      <c r="N94" s="416"/>
      <c r="O94" s="281"/>
      <c r="P94" s="281"/>
      <c r="Q94" s="442"/>
      <c r="R94" s="2"/>
      <c r="S94" s="281"/>
      <c r="T94" s="281"/>
      <c r="U94" s="281"/>
      <c r="V94" s="281"/>
      <c r="W94" s="281"/>
      <c r="X94" s="281"/>
      <c r="Y94" s="281"/>
      <c r="Z94" s="281"/>
      <c r="AA94" s="281"/>
      <c r="AB94" s="281"/>
      <c r="AC94" s="281"/>
      <c r="AD94" s="281"/>
    </row>
    <row r="95">
      <c r="A95" s="408" t="s">
        <v>95</v>
      </c>
      <c r="B95" s="419" t="s">
        <v>179</v>
      </c>
      <c r="C95" s="420" t="str">
        <f>VLOOKUP($B95,'Rate card'!$A$4:$G195,2,FALSE)</f>
        <v>Carpentry</v>
      </c>
      <c r="D95" s="420" t="str">
        <f>VLOOKUP($B95,'Rate card'!$A$4:$G195,3,FALSE)</f>
        <v>Panelling with framing</v>
      </c>
      <c r="E95" s="420" t="str">
        <f>VLOOKUP($B95,'Rate card'!$A$4:$G195,4,FALSE)</f>
        <v>MDF</v>
      </c>
      <c r="F95" s="420" t="str">
        <f>VLOOKUP($B95,'Rate card'!$A$4:$G195,5,FALSE)</f>
        <v>MR ply + ply framing + 12mm MDF</v>
      </c>
      <c r="G95" s="420" t="str">
        <f>VLOOKUP($B95,'Rate card'!$A$4:$G195,6,FALSE)</f>
        <v>Sqft</v>
      </c>
      <c r="H95" s="413">
        <v>600.0</v>
      </c>
      <c r="I95" s="438" t="s">
        <v>224</v>
      </c>
      <c r="J95" s="415">
        <f t="shared" si="11"/>
        <v>13200</v>
      </c>
      <c r="K95" s="411" t="s">
        <v>245</v>
      </c>
      <c r="L95" s="281"/>
      <c r="M95" s="281"/>
      <c r="N95" s="416">
        <f>VLOOKUP($B95,'Rate card'!$A$4:$J195,7,FALSE)</f>
        <v>450</v>
      </c>
      <c r="O95" s="281">
        <f>I95*N95</f>
        <v>9900</v>
      </c>
      <c r="P95" s="281"/>
      <c r="Q95" s="281"/>
      <c r="R95" s="281"/>
      <c r="S95" s="281"/>
      <c r="T95" s="281"/>
      <c r="U95" s="281"/>
      <c r="V95" s="281"/>
      <c r="W95" s="281"/>
      <c r="X95" s="281"/>
      <c r="Y95" s="281"/>
      <c r="Z95" s="281"/>
      <c r="AA95" s="281"/>
      <c r="AB95" s="281"/>
      <c r="AC95" s="281"/>
      <c r="AD95" s="281"/>
    </row>
    <row r="96">
      <c r="A96" s="408"/>
      <c r="B96" s="409"/>
      <c r="C96" s="669"/>
      <c r="D96" s="669"/>
      <c r="E96" s="669"/>
      <c r="F96" s="669"/>
      <c r="G96" s="669"/>
      <c r="H96" s="409"/>
      <c r="I96" s="421"/>
      <c r="J96" s="642"/>
      <c r="K96" s="411"/>
      <c r="L96" s="281"/>
      <c r="M96" s="281"/>
      <c r="N96" s="416"/>
      <c r="O96" s="281"/>
      <c r="P96" s="281"/>
      <c r="Q96" s="281"/>
      <c r="R96" s="281"/>
      <c r="S96" s="281"/>
      <c r="T96" s="281"/>
      <c r="U96" s="281"/>
      <c r="V96" s="281"/>
      <c r="W96" s="281"/>
      <c r="X96" s="281"/>
      <c r="Y96" s="281"/>
      <c r="Z96" s="281"/>
      <c r="AA96" s="281"/>
      <c r="AB96" s="281"/>
      <c r="AC96" s="281"/>
      <c r="AD96" s="281"/>
    </row>
    <row r="97">
      <c r="A97" s="432" t="s">
        <v>278</v>
      </c>
      <c r="B97" s="323"/>
      <c r="C97" s="323"/>
      <c r="D97" s="323"/>
      <c r="E97" s="323"/>
      <c r="F97" s="323"/>
      <c r="G97" s="323"/>
      <c r="H97" s="324"/>
      <c r="I97" s="322"/>
      <c r="J97" s="324"/>
      <c r="K97" s="294"/>
      <c r="L97" s="281"/>
      <c r="M97" s="281"/>
      <c r="N97" s="416">
        <f>VLOOKUP($B97,'Rate card'!$A$4:$J195,7,FALSE)</f>
        <v>0</v>
      </c>
      <c r="O97" s="281">
        <f t="shared" ref="O97:O104" si="13">I97*N97</f>
        <v>0</v>
      </c>
      <c r="P97" s="281"/>
      <c r="Q97" s="281"/>
      <c r="R97" s="281"/>
      <c r="S97" s="281"/>
      <c r="T97" s="281"/>
      <c r="U97" s="281"/>
      <c r="V97" s="281"/>
      <c r="W97" s="281"/>
      <c r="X97" s="281"/>
      <c r="Y97" s="281"/>
      <c r="Z97" s="281"/>
      <c r="AA97" s="281"/>
      <c r="AB97" s="281"/>
      <c r="AC97" s="281"/>
      <c r="AD97" s="281"/>
    </row>
    <row r="98">
      <c r="A98" s="408" t="s">
        <v>16</v>
      </c>
      <c r="B98" s="419" t="s">
        <v>170</v>
      </c>
      <c r="C98" s="420" t="str">
        <f>VLOOKUP($B98,'Rate card'!$A$4:$G195,2,FALSE)</f>
        <v>Carpentry</v>
      </c>
      <c r="D98" s="420" t="str">
        <f>VLOOKUP($B98,'Rate card'!$A$4:$G195,3,FALSE)</f>
        <v>Carcass Storage</v>
      </c>
      <c r="E98" s="420" t="str">
        <f>VLOOKUP($B98,'Rate card'!$A$4:$G195,4,FALSE)</f>
        <v>Laminate Finish</v>
      </c>
      <c r="F98" s="420" t="str">
        <f>VLOOKUP($B98,'Rate card'!$A$4:$G195,5,FALSE)</f>
        <v>MR ply + Inside laminate + finish laminate</v>
      </c>
      <c r="G98" s="420" t="str">
        <f>VLOOKUP($B98,'Rate card'!$A$4:$G195,6,FALSE)</f>
        <v>Sqft</v>
      </c>
      <c r="H98" s="420">
        <f>VLOOKUP($B98,'Rate card'!$A$4:$J195,8,FALSE)</f>
        <v>1800</v>
      </c>
      <c r="I98" s="446" t="s">
        <v>32</v>
      </c>
      <c r="J98" s="415">
        <f t="shared" ref="J98:J100" si="14">H98*I98</f>
        <v>10800</v>
      </c>
      <c r="K98" s="62" t="s">
        <v>279</v>
      </c>
      <c r="L98" s="281"/>
      <c r="M98" s="281"/>
      <c r="N98" s="416">
        <f>VLOOKUP($B98,'Rate card'!$A$4:$J195,7,FALSE)</f>
        <v>1350</v>
      </c>
      <c r="O98" s="281">
        <f t="shared" si="13"/>
        <v>8100</v>
      </c>
      <c r="P98" s="281"/>
      <c r="Q98" s="281"/>
      <c r="R98" s="281"/>
      <c r="S98" s="281"/>
      <c r="T98" s="281"/>
      <c r="U98" s="281"/>
      <c r="V98" s="281"/>
      <c r="W98" s="281"/>
      <c r="X98" s="281"/>
      <c r="Y98" s="281"/>
      <c r="Z98" s="281"/>
      <c r="AA98" s="281"/>
      <c r="AB98" s="281"/>
      <c r="AC98" s="281"/>
      <c r="AD98" s="281"/>
    </row>
    <row r="99">
      <c r="A99" s="408">
        <f t="shared" ref="A99:A100" si="15">A98+1</f>
        <v>2</v>
      </c>
      <c r="B99" s="419" t="s">
        <v>280</v>
      </c>
      <c r="C99" s="410" t="str">
        <f>VLOOKUP($B99,'Rate card'!$A$4:$G195,2,FALSE)</f>
        <v>Carpentry</v>
      </c>
      <c r="D99" s="412" t="str">
        <f>VLOOKUP($B99,'Rate card'!$A$4:$G195,3,FALSE)</f>
        <v>Mirror panelling</v>
      </c>
      <c r="E99" s="412" t="str">
        <f>VLOOKUP($B99,'Rate card'!$A$4:$G195,4,FALSE)</f>
        <v>Mirror finish</v>
      </c>
      <c r="F99" s="412" t="str">
        <f>VLOOKUP($B99,'Rate card'!$A$4:$G195,5,FALSE)</f>
        <v>MRply + ply framing + finish mirror</v>
      </c>
      <c r="G99" s="410" t="str">
        <f>VLOOKUP($B99,'Rate card'!$A$4:$G195,6,FALSE)</f>
        <v>Ls</v>
      </c>
      <c r="H99" s="420">
        <f>VLOOKUP($B99,'Rate card'!$A$4:$J195,8,FALSE)</f>
        <v>7000</v>
      </c>
      <c r="I99" s="438" t="s">
        <v>16</v>
      </c>
      <c r="J99" s="447">
        <f t="shared" si="14"/>
        <v>7000</v>
      </c>
      <c r="K99" s="62" t="s">
        <v>281</v>
      </c>
      <c r="L99" s="281"/>
      <c r="M99" s="281"/>
      <c r="N99" s="443">
        <f>VLOOKUP($B99,'Rate card'!$A$4:$J195,7,FALSE)</f>
        <v>5500</v>
      </c>
      <c r="O99" s="444">
        <f t="shared" si="13"/>
        <v>5500</v>
      </c>
      <c r="P99" s="281"/>
      <c r="Q99" s="281"/>
      <c r="R99" s="281"/>
      <c r="S99" s="281"/>
      <c r="T99" s="281"/>
      <c r="U99" s="281"/>
      <c r="V99" s="281"/>
      <c r="W99" s="281"/>
      <c r="X99" s="281"/>
      <c r="Y99" s="281"/>
      <c r="Z99" s="281"/>
      <c r="AA99" s="281"/>
      <c r="AB99" s="281"/>
      <c r="AC99" s="281"/>
      <c r="AD99" s="281"/>
    </row>
    <row r="100">
      <c r="A100" s="408">
        <f t="shared" si="15"/>
        <v>3</v>
      </c>
      <c r="B100" s="419" t="s">
        <v>282</v>
      </c>
      <c r="C100" s="410" t="str">
        <f>VLOOKUP($B100,'Rate card'!$A$4:$G195,2,FALSE)</f>
        <v>Carpentry</v>
      </c>
      <c r="D100" s="410" t="str">
        <f>VLOOKUP($B100,'Rate card'!$A$4:$G195,3,FALSE)</f>
        <v>Glass Partiton</v>
      </c>
      <c r="E100" s="410" t="str">
        <f>VLOOKUP($B100,'Rate card'!$A$4:$G195,4,FALSE)</f>
        <v>12mm toughned glass</v>
      </c>
      <c r="F100" s="410" t="str">
        <f>VLOOKUP($B100,'Rate card'!$A$4:$G195,5,FALSE)</f>
        <v>12mm toughned glass + Fitting labour + loading, unloading + All fitting hardware + Silicon etc</v>
      </c>
      <c r="G100" s="410" t="str">
        <f>VLOOKUP($B100,'Rate card'!$A$4:$G195,6,FALSE)</f>
        <v>Sqft</v>
      </c>
      <c r="H100" s="420">
        <f>VLOOKUP($B100,'Rate card'!$A$4:$J195,8,FALSE)</f>
        <v>750</v>
      </c>
      <c r="I100" s="438" t="s">
        <v>64</v>
      </c>
      <c r="J100" s="447">
        <f t="shared" si="14"/>
        <v>30000</v>
      </c>
      <c r="K100" s="62" t="s">
        <v>281</v>
      </c>
      <c r="L100" s="281"/>
      <c r="M100" s="281"/>
      <c r="N100" s="416">
        <f>VLOOKUP($B100,'Rate card'!$A$4:$J195,7,FALSE)</f>
        <v>450</v>
      </c>
      <c r="O100" s="281">
        <f t="shared" si="13"/>
        <v>18000</v>
      </c>
      <c r="P100" s="281"/>
      <c r="Q100" s="281"/>
      <c r="R100" s="281"/>
      <c r="S100" s="281"/>
      <c r="T100" s="281"/>
      <c r="U100" s="281"/>
      <c r="V100" s="281"/>
      <c r="W100" s="281"/>
      <c r="X100" s="281"/>
      <c r="Y100" s="281"/>
      <c r="Z100" s="281"/>
      <c r="AA100" s="281"/>
      <c r="AB100" s="281"/>
      <c r="AC100" s="281"/>
      <c r="AD100" s="281"/>
    </row>
    <row r="101">
      <c r="A101" s="432" t="s">
        <v>821</v>
      </c>
      <c r="B101" s="323"/>
      <c r="C101" s="323"/>
      <c r="D101" s="323"/>
      <c r="E101" s="323"/>
      <c r="F101" s="323"/>
      <c r="G101" s="323"/>
      <c r="H101" s="324"/>
      <c r="I101" s="322"/>
      <c r="J101" s="324"/>
      <c r="K101" s="294"/>
      <c r="L101" s="281"/>
      <c r="M101" s="281"/>
      <c r="N101" s="416">
        <f>VLOOKUP($B101,'Rate card'!$A$4:$J195,7,FALSE)</f>
        <v>0</v>
      </c>
      <c r="O101" s="281">
        <f t="shared" si="13"/>
        <v>0</v>
      </c>
      <c r="P101" s="281"/>
      <c r="Q101" s="281"/>
      <c r="R101" s="281"/>
      <c r="S101" s="281"/>
      <c r="T101" s="281"/>
      <c r="U101" s="281"/>
      <c r="V101" s="281"/>
      <c r="W101" s="281"/>
      <c r="X101" s="281"/>
      <c r="Y101" s="281"/>
      <c r="Z101" s="281"/>
      <c r="AA101" s="281"/>
      <c r="AB101" s="281"/>
      <c r="AC101" s="281"/>
      <c r="AD101" s="281"/>
    </row>
    <row r="102">
      <c r="A102" s="408" t="s">
        <v>16</v>
      </c>
      <c r="B102" s="419" t="s">
        <v>170</v>
      </c>
      <c r="C102" s="420" t="str">
        <f>VLOOKUP($B102,'Rate card'!$A$4:$G195,2,FALSE)</f>
        <v>Carpentry</v>
      </c>
      <c r="D102" s="420" t="str">
        <f>VLOOKUP($B102,'Rate card'!$A$4:$G195,3,FALSE)</f>
        <v>Carcass Storage</v>
      </c>
      <c r="E102" s="420" t="str">
        <f>VLOOKUP($B102,'Rate card'!$A$4:$G195,4,FALSE)</f>
        <v>Laminate Finish</v>
      </c>
      <c r="F102" s="420" t="str">
        <f>VLOOKUP($B102,'Rate card'!$A$4:$G195,5,FALSE)</f>
        <v>MR ply + Inside laminate + finish laminate</v>
      </c>
      <c r="G102" s="420" t="str">
        <f>VLOOKUP($B102,'Rate card'!$A$4:$G195,6,FALSE)</f>
        <v>Sqft</v>
      </c>
      <c r="H102" s="420">
        <f>VLOOKUP($B102,'Rate card'!$A$4:$J195,8,FALSE)</f>
        <v>1800</v>
      </c>
      <c r="I102" s="446" t="s">
        <v>32</v>
      </c>
      <c r="J102" s="415">
        <f t="shared" ref="J102:J104" si="16">H102*I102</f>
        <v>10800</v>
      </c>
      <c r="K102" s="62" t="s">
        <v>279</v>
      </c>
      <c r="L102" s="281"/>
      <c r="M102" s="281"/>
      <c r="N102" s="416">
        <f>VLOOKUP($B102,'Rate card'!$A$4:$J195,7,FALSE)</f>
        <v>1350</v>
      </c>
      <c r="O102" s="281">
        <f t="shared" si="13"/>
        <v>8100</v>
      </c>
      <c r="P102" s="281"/>
      <c r="Q102" s="281"/>
      <c r="R102" s="281"/>
      <c r="S102" s="281"/>
      <c r="T102" s="281"/>
      <c r="U102" s="281"/>
      <c r="V102" s="281"/>
      <c r="W102" s="281"/>
      <c r="X102" s="281"/>
      <c r="Y102" s="281"/>
      <c r="Z102" s="281"/>
      <c r="AA102" s="281"/>
      <c r="AB102" s="281"/>
      <c r="AC102" s="281"/>
      <c r="AD102" s="281"/>
    </row>
    <row r="103">
      <c r="A103" s="408">
        <f t="shared" ref="A103:A104" si="17">A102+1</f>
        <v>2</v>
      </c>
      <c r="B103" s="419" t="s">
        <v>280</v>
      </c>
      <c r="C103" s="410" t="str">
        <f>VLOOKUP($B103,'Rate card'!$A$4:$G195,2,FALSE)</f>
        <v>Carpentry</v>
      </c>
      <c r="D103" s="412" t="str">
        <f>VLOOKUP($B103,'Rate card'!$A$4:$G195,3,FALSE)</f>
        <v>Mirror panelling</v>
      </c>
      <c r="E103" s="412" t="str">
        <f>VLOOKUP($B103,'Rate card'!$A$4:$G195,4,FALSE)</f>
        <v>Mirror finish</v>
      </c>
      <c r="F103" s="412" t="str">
        <f>VLOOKUP($B103,'Rate card'!$A$4:$G195,5,FALSE)</f>
        <v>MRply + ply framing + finish mirror</v>
      </c>
      <c r="G103" s="410" t="str">
        <f>VLOOKUP($B103,'Rate card'!$A$4:$G195,6,FALSE)</f>
        <v>Ls</v>
      </c>
      <c r="H103" s="420">
        <f>VLOOKUP($B103,'Rate card'!$A$4:$J195,8,FALSE)</f>
        <v>7000</v>
      </c>
      <c r="I103" s="438" t="s">
        <v>16</v>
      </c>
      <c r="J103" s="447">
        <f t="shared" si="16"/>
        <v>7000</v>
      </c>
      <c r="K103" s="62" t="s">
        <v>281</v>
      </c>
      <c r="L103" s="281"/>
      <c r="M103" s="281"/>
      <c r="N103" s="443">
        <f>VLOOKUP($B103,'Rate card'!$A$4:$J195,7,FALSE)</f>
        <v>5500</v>
      </c>
      <c r="O103" s="444">
        <f t="shared" si="13"/>
        <v>5500</v>
      </c>
      <c r="P103" s="281"/>
      <c r="Q103" s="281"/>
      <c r="R103" s="281"/>
      <c r="S103" s="281"/>
      <c r="T103" s="281"/>
      <c r="U103" s="281"/>
      <c r="V103" s="281"/>
      <c r="W103" s="281"/>
      <c r="X103" s="281"/>
      <c r="Y103" s="281"/>
      <c r="Z103" s="281"/>
      <c r="AA103" s="281"/>
      <c r="AB103" s="281"/>
      <c r="AC103" s="281"/>
      <c r="AD103" s="281"/>
    </row>
    <row r="104">
      <c r="A104" s="408">
        <f t="shared" si="17"/>
        <v>3</v>
      </c>
      <c r="B104" s="419" t="s">
        <v>282</v>
      </c>
      <c r="C104" s="410" t="str">
        <f>VLOOKUP($B104,'Rate card'!$A$4:$G195,2,FALSE)</f>
        <v>Carpentry</v>
      </c>
      <c r="D104" s="410" t="str">
        <f>VLOOKUP($B104,'Rate card'!$A$4:$G195,3,FALSE)</f>
        <v>Glass Partiton</v>
      </c>
      <c r="E104" s="410" t="str">
        <f>VLOOKUP($B104,'Rate card'!$A$4:$G195,4,FALSE)</f>
        <v>12mm toughned glass</v>
      </c>
      <c r="F104" s="410" t="str">
        <f>VLOOKUP($B104,'Rate card'!$A$4:$G195,5,FALSE)</f>
        <v>12mm toughned glass + Fitting labour + loading, unloading + All fitting hardware + Silicon etc</v>
      </c>
      <c r="G104" s="410" t="str">
        <f>VLOOKUP($B104,'Rate card'!$A$4:$G195,6,FALSE)</f>
        <v>Sqft</v>
      </c>
      <c r="H104" s="420">
        <f>VLOOKUP($B104,'Rate card'!$A$4:$J195,8,FALSE)</f>
        <v>750</v>
      </c>
      <c r="I104" s="438" t="s">
        <v>693</v>
      </c>
      <c r="J104" s="447">
        <f t="shared" si="16"/>
        <v>24000</v>
      </c>
      <c r="K104" s="62" t="s">
        <v>822</v>
      </c>
      <c r="L104" s="281"/>
      <c r="M104" s="281"/>
      <c r="N104" s="416">
        <f>VLOOKUP($B104,'Rate card'!$A$4:$J195,7,FALSE)</f>
        <v>450</v>
      </c>
      <c r="O104" s="281">
        <f t="shared" si="13"/>
        <v>14400</v>
      </c>
      <c r="P104" s="281"/>
      <c r="Q104" s="281"/>
      <c r="R104" s="281"/>
      <c r="S104" s="281"/>
      <c r="T104" s="281"/>
      <c r="U104" s="281"/>
      <c r="V104" s="281"/>
      <c r="W104" s="281"/>
      <c r="X104" s="281"/>
      <c r="Y104" s="281"/>
      <c r="Z104" s="281"/>
      <c r="AA104" s="281"/>
      <c r="AB104" s="281"/>
      <c r="AC104" s="281"/>
      <c r="AD104" s="281"/>
    </row>
    <row r="105">
      <c r="A105" s="408"/>
      <c r="B105" s="409"/>
      <c r="C105" s="669"/>
      <c r="D105" s="669"/>
      <c r="E105" s="669"/>
      <c r="F105" s="669"/>
      <c r="G105" s="669"/>
      <c r="H105" s="680"/>
      <c r="I105" s="438"/>
      <c r="J105" s="447"/>
      <c r="K105" s="62"/>
      <c r="L105" s="281"/>
      <c r="M105" s="281"/>
      <c r="N105" s="416"/>
      <c r="O105" s="281"/>
      <c r="P105" s="281"/>
      <c r="Q105" s="281"/>
      <c r="R105" s="281"/>
      <c r="S105" s="281"/>
      <c r="T105" s="281"/>
      <c r="U105" s="281"/>
      <c r="V105" s="281"/>
      <c r="W105" s="281"/>
      <c r="X105" s="281"/>
      <c r="Y105" s="281"/>
      <c r="Z105" s="281"/>
      <c r="AA105" s="281"/>
      <c r="AB105" s="281"/>
      <c r="AC105" s="281"/>
      <c r="AD105" s="281"/>
    </row>
    <row r="106">
      <c r="A106" s="432" t="s">
        <v>287</v>
      </c>
      <c r="B106" s="323"/>
      <c r="C106" s="323"/>
      <c r="D106" s="323"/>
      <c r="E106" s="323"/>
      <c r="F106" s="323"/>
      <c r="G106" s="323"/>
      <c r="H106" s="324"/>
      <c r="I106" s="322"/>
      <c r="J106" s="324"/>
      <c r="K106" s="294"/>
      <c r="L106" s="281"/>
      <c r="M106" s="281"/>
      <c r="N106" s="416">
        <f>VLOOKUP($B106,'Rate card'!$A$4:$J195,7,FALSE)</f>
        <v>0</v>
      </c>
      <c r="O106" s="281">
        <f t="shared" ref="O106:O107" si="18">I106*N106</f>
        <v>0</v>
      </c>
      <c r="P106" s="281"/>
      <c r="Q106" s="281"/>
      <c r="R106" s="281"/>
      <c r="S106" s="281"/>
      <c r="T106" s="281"/>
      <c r="U106" s="281"/>
      <c r="V106" s="281"/>
      <c r="W106" s="281"/>
      <c r="X106" s="281"/>
      <c r="Y106" s="281"/>
      <c r="Z106" s="281"/>
      <c r="AA106" s="281"/>
      <c r="AB106" s="281"/>
      <c r="AC106" s="281"/>
      <c r="AD106" s="281"/>
    </row>
    <row r="107">
      <c r="A107" s="670" t="s">
        <v>16</v>
      </c>
      <c r="B107" s="671" t="s">
        <v>170</v>
      </c>
      <c r="C107" s="672" t="str">
        <f>VLOOKUP($B107,'Rate card'!$A$4:$G195,2,FALSE)</f>
        <v>Carpentry</v>
      </c>
      <c r="D107" s="674" t="s">
        <v>677</v>
      </c>
      <c r="E107" s="672" t="str">
        <f>VLOOKUP($B107,'Rate card'!$A$4:$G195,4,FALSE)</f>
        <v>Laminate Finish</v>
      </c>
      <c r="F107" s="674" t="s">
        <v>636</v>
      </c>
      <c r="G107" s="674" t="s">
        <v>289</v>
      </c>
      <c r="H107" s="674">
        <v>25000.0</v>
      </c>
      <c r="I107" s="675" t="s">
        <v>729</v>
      </c>
      <c r="J107" s="676">
        <f>H107*I107</f>
        <v>0</v>
      </c>
      <c r="K107" s="599" t="s">
        <v>638</v>
      </c>
      <c r="L107" s="281"/>
      <c r="M107" s="281"/>
      <c r="N107" s="416">
        <f>VLOOKUP($B107,'Rate card'!$A$4:$J195,7,FALSE)</f>
        <v>1350</v>
      </c>
      <c r="O107" s="281">
        <f t="shared" si="18"/>
        <v>0</v>
      </c>
      <c r="P107" s="281"/>
      <c r="Q107" s="281"/>
      <c r="R107" s="281"/>
      <c r="S107" s="281"/>
      <c r="T107" s="281"/>
      <c r="U107" s="281"/>
      <c r="V107" s="281"/>
      <c r="W107" s="281"/>
      <c r="X107" s="281"/>
      <c r="Y107" s="281"/>
      <c r="Z107" s="281"/>
      <c r="AA107" s="281"/>
      <c r="AB107" s="281"/>
      <c r="AC107" s="281"/>
      <c r="AD107" s="281"/>
    </row>
    <row r="108">
      <c r="A108" s="448"/>
      <c r="B108" s="449"/>
      <c r="C108" s="449"/>
      <c r="D108" s="449"/>
      <c r="E108" s="449"/>
      <c r="F108" s="449"/>
      <c r="G108" s="449"/>
      <c r="H108" s="450"/>
      <c r="I108" s="369" t="s">
        <v>125</v>
      </c>
      <c r="J108" s="384">
        <f>SUM(J52:J107)</f>
        <v>1496700</v>
      </c>
      <c r="K108" s="451"/>
      <c r="L108" s="325"/>
      <c r="M108" s="325"/>
      <c r="N108" s="452"/>
      <c r="O108" s="325"/>
      <c r="P108" s="325"/>
      <c r="Q108" s="325"/>
      <c r="R108" s="325"/>
      <c r="S108" s="325"/>
      <c r="T108" s="325"/>
      <c r="U108" s="325"/>
      <c r="V108" s="325"/>
      <c r="W108" s="325"/>
      <c r="X108" s="325"/>
      <c r="Y108" s="325"/>
      <c r="Z108" s="325"/>
      <c r="AA108" s="325"/>
      <c r="AB108" s="325"/>
      <c r="AC108" s="325"/>
      <c r="AD108" s="325"/>
    </row>
    <row r="109">
      <c r="A109" s="424" t="s">
        <v>33</v>
      </c>
      <c r="B109" s="323"/>
      <c r="C109" s="323"/>
      <c r="D109" s="323"/>
      <c r="E109" s="323"/>
      <c r="F109" s="323"/>
      <c r="G109" s="323"/>
      <c r="H109" s="324"/>
      <c r="I109" s="322"/>
      <c r="J109" s="324"/>
      <c r="K109" s="294"/>
      <c r="L109" s="281"/>
      <c r="M109" s="281"/>
      <c r="N109" s="372"/>
      <c r="O109" s="373"/>
      <c r="P109" s="281"/>
      <c r="Q109" s="281"/>
      <c r="R109" s="281"/>
      <c r="S109" s="281"/>
      <c r="T109" s="281"/>
      <c r="U109" s="281"/>
      <c r="V109" s="281"/>
      <c r="W109" s="281"/>
      <c r="X109" s="281"/>
      <c r="Y109" s="281"/>
      <c r="Z109" s="281"/>
      <c r="AA109" s="281"/>
      <c r="AB109" s="281"/>
      <c r="AC109" s="281"/>
      <c r="AD109" s="281"/>
    </row>
    <row r="110">
      <c r="A110" s="408" t="s">
        <v>16</v>
      </c>
      <c r="B110" s="419" t="s">
        <v>297</v>
      </c>
      <c r="C110" s="433" t="str">
        <f>VLOOKUP($B110,'Rate card'!$A$4:$G195,2,FALSE)</f>
        <v>Paint</v>
      </c>
      <c r="D110" s="433" t="str">
        <f>VLOOKUP($B110,'Rate card'!$A$4:$G195,3,FALSE)</f>
        <v>Royal Shyne</v>
      </c>
      <c r="E110" s="433" t="str">
        <f>VLOOKUP($B110,'Rate card'!$A$4:$G195,4,FALSE)</f>
        <v>2 Primer + 1 Putty + 2 RLE</v>
      </c>
      <c r="F110" s="433" t="str">
        <f>VLOOKUP($B110,'Rate card'!$A$4:$G195,5,FALSE)</f>
        <v>Painting with royal Shyne on ceiling, to give an even shade – Two or more coats on new work including preparation of surface. (_putty+_primer+_paint) as per requirement</v>
      </c>
      <c r="G110" s="433" t="str">
        <f>VLOOKUP($B110,'Rate card'!$A$4:$G195,6,FALSE)</f>
        <v>Sqft</v>
      </c>
      <c r="H110" s="420">
        <f>VLOOKUP($B110,'Rate card'!$A$4:$J195,8,FALSE)</f>
        <v>42</v>
      </c>
      <c r="I110" s="453" t="s">
        <v>823</v>
      </c>
      <c r="J110" s="415">
        <f t="shared" ref="J110:J111" si="19">H110*I110</f>
        <v>31080</v>
      </c>
      <c r="K110" s="75" t="s">
        <v>294</v>
      </c>
      <c r="L110" s="281"/>
      <c r="M110" s="281"/>
      <c r="N110" s="416">
        <f>VLOOKUP($B110,'Rate card'!$A$4:$J195,7,FALSE)</f>
        <v>35</v>
      </c>
      <c r="O110" s="281">
        <f t="shared" ref="O110:O111" si="20">I110*N110</f>
        <v>25900</v>
      </c>
      <c r="P110" s="281"/>
      <c r="Q110" s="281"/>
      <c r="R110" s="281"/>
      <c r="S110" s="281"/>
      <c r="T110" s="281"/>
      <c r="U110" s="281"/>
      <c r="V110" s="281"/>
      <c r="W110" s="281"/>
      <c r="X110" s="281"/>
      <c r="Y110" s="281"/>
      <c r="Z110" s="281"/>
      <c r="AA110" s="281"/>
      <c r="AB110" s="281"/>
      <c r="AC110" s="281"/>
      <c r="AD110" s="281"/>
    </row>
    <row r="111">
      <c r="A111" s="408">
        <f>A110+1</f>
        <v>2</v>
      </c>
      <c r="B111" s="419" t="s">
        <v>298</v>
      </c>
      <c r="C111" s="433" t="str">
        <f>VLOOKUP($B111,'Rate card'!$A$4:$G195,2,FALSE)</f>
        <v>Paint</v>
      </c>
      <c r="D111" s="433" t="str">
        <f>VLOOKUP($B111,'Rate card'!$A$4:$G195,3,FALSE)</f>
        <v>Royal Shyne</v>
      </c>
      <c r="E111" s="433" t="str">
        <f>VLOOKUP($B111,'Rate card'!$A$4:$G195,4,FALSE)</f>
        <v>2 Primer + 1 Putty + 2 RLE</v>
      </c>
      <c r="F111" s="433" t="str">
        <f>VLOOKUP($B111,'Rate card'!$A$4:$G195,5,FALSE)</f>
        <v>Painting with royal Shyne on walls, to give an even shade – Two or more coats on new work including preparation of surface. (_putty+_primer+_paint) as per requirement</v>
      </c>
      <c r="G111" s="433" t="str">
        <f>VLOOKUP($B111,'Rate card'!$A$4:$G195,6,FALSE)</f>
        <v>Sqft</v>
      </c>
      <c r="H111" s="420">
        <f>VLOOKUP($B111,'Rate card'!$A$4:$J195,8,FALSE)</f>
        <v>45</v>
      </c>
      <c r="I111" s="454">
        <f>740*2.5</f>
        <v>1850</v>
      </c>
      <c r="J111" s="415">
        <f t="shared" si="19"/>
        <v>83250</v>
      </c>
      <c r="K111" s="75" t="s">
        <v>299</v>
      </c>
      <c r="L111" s="281"/>
      <c r="M111" s="281"/>
      <c r="N111" s="416">
        <f>VLOOKUP($B111,'Rate card'!$A$4:$J195,7,FALSE)</f>
        <v>35</v>
      </c>
      <c r="O111" s="281">
        <f t="shared" si="20"/>
        <v>64750</v>
      </c>
      <c r="P111" s="281"/>
      <c r="Q111" s="281"/>
      <c r="R111" s="281"/>
      <c r="S111" s="281"/>
      <c r="T111" s="281"/>
      <c r="U111" s="281"/>
      <c r="V111" s="281"/>
      <c r="W111" s="281"/>
      <c r="X111" s="281"/>
      <c r="Y111" s="281"/>
      <c r="Z111" s="281"/>
      <c r="AA111" s="281"/>
      <c r="AB111" s="281"/>
      <c r="AC111" s="281"/>
      <c r="AD111" s="281"/>
    </row>
    <row r="112">
      <c r="A112" s="408"/>
      <c r="B112" s="457"/>
      <c r="C112" s="457"/>
      <c r="D112" s="457"/>
      <c r="E112" s="457"/>
      <c r="F112" s="457"/>
      <c r="G112" s="457"/>
      <c r="H112" s="415"/>
      <c r="I112" s="369" t="s">
        <v>125</v>
      </c>
      <c r="J112" s="384">
        <f>sum(J110:J111)</f>
        <v>114330</v>
      </c>
      <c r="K112" s="67"/>
      <c r="L112" s="281"/>
      <c r="M112" s="281"/>
      <c r="N112" s="416">
        <f>VLOOKUP($B112,'Rate card'!$A$4:$J195,7,FALSE)</f>
        <v>0</v>
      </c>
      <c r="O112" s="121">
        <f>SUM(O110:O111)</f>
        <v>90650</v>
      </c>
      <c r="P112" s="281"/>
      <c r="Q112" s="281"/>
      <c r="R112" s="281"/>
      <c r="S112" s="281"/>
      <c r="T112" s="281"/>
      <c r="U112" s="281"/>
      <c r="V112" s="281"/>
      <c r="W112" s="281"/>
      <c r="X112" s="281"/>
      <c r="Y112" s="281"/>
      <c r="Z112" s="281"/>
      <c r="AA112" s="281"/>
      <c r="AB112" s="281"/>
      <c r="AC112" s="281"/>
      <c r="AD112" s="281"/>
    </row>
    <row r="113">
      <c r="A113" s="424" t="s">
        <v>35</v>
      </c>
      <c r="B113" s="323"/>
      <c r="C113" s="323"/>
      <c r="D113" s="323"/>
      <c r="E113" s="323"/>
      <c r="F113" s="323"/>
      <c r="G113" s="323"/>
      <c r="H113" s="324"/>
      <c r="I113" s="322"/>
      <c r="J113" s="324"/>
      <c r="K113" s="294"/>
      <c r="L113" s="281"/>
      <c r="M113" s="281"/>
      <c r="N113" s="372"/>
      <c r="O113" s="373"/>
      <c r="P113" s="281"/>
      <c r="Q113" s="281"/>
      <c r="R113" s="281"/>
      <c r="S113" s="281"/>
      <c r="T113" s="281"/>
      <c r="U113" s="281"/>
      <c r="V113" s="281"/>
      <c r="W113" s="281"/>
      <c r="X113" s="281"/>
      <c r="Y113" s="281"/>
      <c r="Z113" s="281"/>
      <c r="AA113" s="281"/>
      <c r="AB113" s="281"/>
      <c r="AC113" s="281"/>
      <c r="AD113" s="281"/>
    </row>
    <row r="114">
      <c r="A114" s="408" t="s">
        <v>16</v>
      </c>
      <c r="B114" s="419" t="s">
        <v>305</v>
      </c>
      <c r="C114" s="420" t="str">
        <f>VLOOKUP($B114,'Rate card'!$A$4:$G195,2,FALSE)</f>
        <v>CLEANING</v>
      </c>
      <c r="D114" s="420" t="str">
        <f>VLOOKUP($B114,'Rate card'!$A$4:$G195,3,FALSE)</f>
        <v>NA</v>
      </c>
      <c r="E114" s="420" t="str">
        <f>VLOOKUP($B114,'Rate card'!$A$4:$G195,4,FALSE)</f>
        <v>NA</v>
      </c>
      <c r="F114" s="420" t="str">
        <f>VLOOKUP($B114,'Rate card'!$A$4:$G195,5,FALSE)</f>
        <v>NA</v>
      </c>
      <c r="G114" s="420" t="str">
        <f>VLOOKUP($B114,'Rate card'!$A$4:$G195,6,FALSE)</f>
        <v>Ls</v>
      </c>
      <c r="H114" s="458">
        <v>20000.0</v>
      </c>
      <c r="I114" s="453" t="s">
        <v>16</v>
      </c>
      <c r="J114" s="415">
        <f t="shared" ref="J114:J116" si="21">H114*I114</f>
        <v>20000</v>
      </c>
      <c r="K114" s="62"/>
      <c r="L114" s="281"/>
      <c r="M114" s="281"/>
      <c r="N114" s="434">
        <f t="shared" ref="N114:N116" si="22">H114-5000</f>
        <v>15000</v>
      </c>
      <c r="O114" s="282">
        <f t="shared" ref="O114:O116" si="23">I114*N114</f>
        <v>15000</v>
      </c>
      <c r="P114" s="281"/>
      <c r="Q114" s="281"/>
      <c r="R114" s="281"/>
      <c r="S114" s="281"/>
      <c r="T114" s="281"/>
      <c r="U114" s="281"/>
      <c r="V114" s="281"/>
      <c r="W114" s="281"/>
      <c r="X114" s="281"/>
      <c r="Y114" s="281"/>
      <c r="Z114" s="281"/>
      <c r="AA114" s="281"/>
      <c r="AB114" s="281"/>
      <c r="AC114" s="281"/>
      <c r="AD114" s="281"/>
    </row>
    <row r="115">
      <c r="A115" s="408">
        <f t="shared" ref="A115:A116" si="24">A114+1</f>
        <v>2</v>
      </c>
      <c r="B115" s="419" t="s">
        <v>306</v>
      </c>
      <c r="C115" s="420" t="str">
        <f>VLOOKUP($B115,'Rate card'!$A$4:$G195,2,FALSE)</f>
        <v>DEBRIS REMOVAL</v>
      </c>
      <c r="D115" s="420" t="str">
        <f>VLOOKUP($B115,'Rate card'!$A$4:$G195,3,FALSE)</f>
        <v>NA</v>
      </c>
      <c r="E115" s="420" t="str">
        <f>VLOOKUP($B115,'Rate card'!$A$4:$G195,4,FALSE)</f>
        <v>NA</v>
      </c>
      <c r="F115" s="420" t="str">
        <f>VLOOKUP($B115,'Rate card'!$A$4:$G195,5,FALSE)</f>
        <v>NA</v>
      </c>
      <c r="G115" s="420" t="str">
        <f>VLOOKUP($B115,'Rate card'!$A$4:$G195,6,FALSE)</f>
        <v>Ls</v>
      </c>
      <c r="H115" s="458">
        <v>20000.0</v>
      </c>
      <c r="I115" s="421" t="s">
        <v>16</v>
      </c>
      <c r="J115" s="415">
        <f t="shared" si="21"/>
        <v>20000</v>
      </c>
      <c r="K115" s="62"/>
      <c r="L115" s="281"/>
      <c r="M115" s="281"/>
      <c r="N115" s="434">
        <f t="shared" si="22"/>
        <v>15000</v>
      </c>
      <c r="O115" s="282">
        <f t="shared" si="23"/>
        <v>15000</v>
      </c>
      <c r="P115" s="281"/>
      <c r="Q115" s="281"/>
      <c r="R115" s="281"/>
      <c r="S115" s="281"/>
      <c r="T115" s="281"/>
      <c r="U115" s="281"/>
      <c r="V115" s="281"/>
      <c r="W115" s="281"/>
      <c r="X115" s="281"/>
      <c r="Y115" s="281"/>
      <c r="Z115" s="281"/>
      <c r="AA115" s="281"/>
      <c r="AB115" s="281"/>
      <c r="AC115" s="281"/>
      <c r="AD115" s="281"/>
    </row>
    <row r="116">
      <c r="A116" s="408">
        <f t="shared" si="24"/>
        <v>3</v>
      </c>
      <c r="B116" s="419" t="s">
        <v>307</v>
      </c>
      <c r="C116" s="420" t="str">
        <f>VLOOKUP($B116,'Rate card'!$A$4:$G195,2,FALSE)</f>
        <v>MISCELLENIOUS</v>
      </c>
      <c r="D116" s="420" t="str">
        <f>VLOOKUP($B116,'Rate card'!$A$4:$G195,3,FALSE)</f>
        <v>NA</v>
      </c>
      <c r="E116" s="420" t="str">
        <f>VLOOKUP($B116,'Rate card'!$A$4:$G195,4,FALSE)</f>
        <v>NA</v>
      </c>
      <c r="F116" s="420" t="str">
        <f>VLOOKUP($B116,'Rate card'!$A$4:$G195,5,FALSE)</f>
        <v>Floor Covering, Doors and Windows Covering</v>
      </c>
      <c r="G116" s="420" t="str">
        <f>VLOOKUP($B116,'Rate card'!$A$4:$G195,6,FALSE)</f>
        <v>Ls</v>
      </c>
      <c r="H116" s="458">
        <v>20000.0</v>
      </c>
      <c r="I116" s="421" t="s">
        <v>16</v>
      </c>
      <c r="J116" s="415">
        <f t="shared" si="21"/>
        <v>20000</v>
      </c>
      <c r="K116" s="62"/>
      <c r="L116" s="281"/>
      <c r="M116" s="281"/>
      <c r="N116" s="434">
        <f t="shared" si="22"/>
        <v>15000</v>
      </c>
      <c r="O116" s="282">
        <f t="shared" si="23"/>
        <v>15000</v>
      </c>
      <c r="P116" s="281"/>
      <c r="Q116" s="281"/>
      <c r="R116" s="281"/>
      <c r="S116" s="281"/>
      <c r="T116" s="281"/>
      <c r="U116" s="281"/>
      <c r="V116" s="281"/>
      <c r="W116" s="281"/>
      <c r="X116" s="281"/>
      <c r="Y116" s="281"/>
      <c r="Z116" s="281"/>
      <c r="AA116" s="281"/>
      <c r="AB116" s="281"/>
      <c r="AC116" s="281"/>
      <c r="AD116" s="281"/>
    </row>
    <row r="117">
      <c r="A117" s="459"/>
      <c r="B117" s="457"/>
      <c r="C117" s="457"/>
      <c r="D117" s="457"/>
      <c r="E117" s="457"/>
      <c r="F117" s="457"/>
      <c r="G117" s="457"/>
      <c r="H117" s="415"/>
      <c r="I117" s="369" t="s">
        <v>125</v>
      </c>
      <c r="J117" s="384">
        <f>SUM(J114:J116)</f>
        <v>60000</v>
      </c>
      <c r="K117" s="67"/>
      <c r="L117" s="281"/>
      <c r="M117" s="281"/>
      <c r="N117" s="416" t="str">
        <f>VLOOKUP($B117,'Rate card'!$A$4:$J195,10,FALSE)</f>
        <v/>
      </c>
      <c r="O117" s="121">
        <f>SUM(O114:O116)</f>
        <v>45000</v>
      </c>
      <c r="P117" s="281"/>
      <c r="Q117" s="281"/>
      <c r="R117" s="281"/>
      <c r="S117" s="281"/>
      <c r="T117" s="281"/>
      <c r="U117" s="281"/>
      <c r="V117" s="281"/>
      <c r="W117" s="281"/>
      <c r="X117" s="281"/>
      <c r="Y117" s="281"/>
      <c r="Z117" s="281"/>
      <c r="AA117" s="281"/>
      <c r="AB117" s="281"/>
      <c r="AC117" s="281"/>
      <c r="AD117" s="281"/>
    </row>
    <row r="118">
      <c r="A118" s="424"/>
      <c r="B118" s="323"/>
      <c r="C118" s="323"/>
      <c r="D118" s="323"/>
      <c r="E118" s="323"/>
      <c r="F118" s="323"/>
      <c r="G118" s="323"/>
      <c r="H118" s="324"/>
      <c r="I118" s="460"/>
      <c r="J118" s="461"/>
      <c r="K118" s="294"/>
      <c r="L118" s="281"/>
      <c r="M118" s="281"/>
      <c r="N118" s="372"/>
      <c r="O118" s="373"/>
      <c r="P118" s="281"/>
      <c r="Q118" s="281"/>
      <c r="R118" s="281"/>
      <c r="S118" s="281"/>
      <c r="T118" s="281"/>
      <c r="U118" s="281"/>
      <c r="V118" s="281"/>
      <c r="W118" s="281"/>
      <c r="X118" s="281"/>
      <c r="Y118" s="281"/>
      <c r="Z118" s="281"/>
      <c r="AA118" s="281"/>
      <c r="AB118" s="281"/>
      <c r="AC118" s="281"/>
      <c r="AD118" s="281"/>
    </row>
    <row r="119">
      <c r="A119" s="281"/>
      <c r="B119" s="281"/>
      <c r="C119" s="281"/>
      <c r="D119" s="281"/>
      <c r="E119" s="281"/>
      <c r="F119" s="281"/>
      <c r="G119" s="281"/>
      <c r="H119" s="282"/>
      <c r="I119" s="283"/>
      <c r="J119" s="282"/>
      <c r="K119" s="281"/>
      <c r="L119" s="281"/>
      <c r="M119" s="281"/>
      <c r="N119" s="281"/>
      <c r="O119" s="281"/>
      <c r="P119" s="281"/>
      <c r="Q119" s="281"/>
      <c r="R119" s="281"/>
      <c r="S119" s="281"/>
      <c r="T119" s="281"/>
      <c r="U119" s="281"/>
      <c r="V119" s="281"/>
      <c r="W119" s="281"/>
      <c r="X119" s="281"/>
      <c r="Y119" s="281"/>
      <c r="Z119" s="281"/>
      <c r="AA119" s="281"/>
      <c r="AB119" s="281"/>
      <c r="AC119" s="281"/>
      <c r="AD119" s="281"/>
    </row>
    <row r="120" hidden="1">
      <c r="A120" s="281"/>
      <c r="B120" s="281"/>
      <c r="C120" s="281"/>
      <c r="D120" s="281"/>
      <c r="E120" s="281"/>
      <c r="F120" s="281"/>
      <c r="G120" s="281"/>
      <c r="H120" s="282"/>
      <c r="I120" s="283"/>
      <c r="J120" s="282"/>
      <c r="K120" s="281"/>
      <c r="L120" s="281"/>
      <c r="M120" s="281"/>
      <c r="N120" s="281"/>
      <c r="O120" s="281"/>
      <c r="P120" s="281"/>
      <c r="Q120" s="281"/>
      <c r="R120" s="281"/>
      <c r="S120" s="281"/>
      <c r="T120" s="281"/>
      <c r="U120" s="281"/>
      <c r="V120" s="281"/>
      <c r="W120" s="281"/>
      <c r="X120" s="281"/>
      <c r="Y120" s="281"/>
      <c r="Z120" s="281"/>
      <c r="AA120" s="281"/>
      <c r="AB120" s="281"/>
      <c r="AC120" s="281"/>
      <c r="AD120" s="281"/>
    </row>
    <row r="121" hidden="1">
      <c r="A121" s="281"/>
      <c r="B121" s="281"/>
      <c r="C121" s="281"/>
      <c r="D121" s="281"/>
      <c r="E121" s="281"/>
      <c r="F121" s="281"/>
      <c r="G121" s="281"/>
      <c r="H121" s="282"/>
      <c r="I121" s="283"/>
      <c r="J121" s="282"/>
      <c r="K121" s="281"/>
      <c r="L121" s="281"/>
      <c r="M121" s="281"/>
      <c r="N121" s="281"/>
      <c r="O121" s="281"/>
      <c r="P121" s="281"/>
      <c r="Q121" s="281"/>
      <c r="R121" s="281"/>
      <c r="S121" s="281"/>
      <c r="T121" s="281"/>
      <c r="U121" s="281"/>
      <c r="V121" s="281"/>
      <c r="W121" s="281"/>
      <c r="X121" s="281"/>
      <c r="Y121" s="281"/>
      <c r="Z121" s="281"/>
      <c r="AA121" s="281"/>
      <c r="AB121" s="281"/>
      <c r="AC121" s="281"/>
      <c r="AD121" s="281"/>
    </row>
    <row r="122" hidden="1">
      <c r="A122" s="281"/>
      <c r="B122" s="281"/>
      <c r="C122" s="281"/>
      <c r="D122" s="281"/>
      <c r="E122" s="281"/>
      <c r="F122" s="281"/>
      <c r="G122" s="281"/>
      <c r="H122" s="282"/>
      <c r="I122" s="283"/>
      <c r="J122" s="282"/>
      <c r="K122" s="281"/>
      <c r="L122" s="281"/>
      <c r="M122" s="281"/>
      <c r="N122" s="281"/>
      <c r="O122" s="281"/>
      <c r="P122" s="281"/>
      <c r="Q122" s="281"/>
      <c r="R122" s="281"/>
      <c r="S122" s="281"/>
      <c r="T122" s="281"/>
      <c r="U122" s="281"/>
      <c r="V122" s="281"/>
      <c r="W122" s="281"/>
      <c r="X122" s="281"/>
      <c r="Y122" s="281"/>
      <c r="Z122" s="281"/>
      <c r="AA122" s="281"/>
      <c r="AB122" s="281"/>
      <c r="AC122" s="281"/>
      <c r="AD122" s="281"/>
    </row>
    <row r="123" hidden="1">
      <c r="A123" s="281"/>
      <c r="B123" s="281"/>
      <c r="C123" s="281"/>
      <c r="D123" s="281"/>
      <c r="E123" s="281"/>
      <c r="F123" s="281"/>
      <c r="G123" s="281"/>
      <c r="H123" s="282"/>
      <c r="I123" s="283"/>
      <c r="J123" s="282"/>
      <c r="K123" s="281"/>
      <c r="L123" s="281"/>
      <c r="M123" s="281"/>
      <c r="N123" s="281"/>
      <c r="O123" s="281"/>
      <c r="P123" s="281"/>
      <c r="Q123" s="281"/>
      <c r="R123" s="281"/>
      <c r="S123" s="281"/>
      <c r="T123" s="281"/>
      <c r="U123" s="281"/>
      <c r="V123" s="281"/>
      <c r="W123" s="281"/>
      <c r="X123" s="281"/>
      <c r="Y123" s="281"/>
      <c r="Z123" s="281"/>
      <c r="AA123" s="281"/>
      <c r="AB123" s="281"/>
      <c r="AC123" s="281"/>
      <c r="AD123" s="281"/>
    </row>
    <row r="124" hidden="1">
      <c r="A124" s="281"/>
      <c r="B124" s="281"/>
      <c r="C124" s="281"/>
      <c r="D124" s="281"/>
      <c r="E124" s="281"/>
      <c r="F124" s="281"/>
      <c r="G124" s="281"/>
      <c r="H124" s="282"/>
      <c r="I124" s="283"/>
      <c r="J124" s="282"/>
      <c r="K124" s="281"/>
      <c r="L124" s="281"/>
      <c r="M124" s="281"/>
      <c r="N124" s="281"/>
      <c r="O124" s="281"/>
      <c r="P124" s="281"/>
      <c r="Q124" s="281"/>
      <c r="R124" s="281"/>
      <c r="S124" s="281"/>
      <c r="T124" s="281"/>
      <c r="U124" s="281"/>
      <c r="V124" s="281"/>
      <c r="W124" s="281"/>
      <c r="X124" s="281"/>
      <c r="Y124" s="281"/>
      <c r="Z124" s="281"/>
      <c r="AA124" s="281"/>
      <c r="AB124" s="281"/>
      <c r="AC124" s="281"/>
      <c r="AD124" s="281"/>
    </row>
    <row r="125" hidden="1">
      <c r="A125" s="281"/>
      <c r="B125" s="281"/>
      <c r="C125" s="281"/>
      <c r="D125" s="281"/>
      <c r="E125" s="281"/>
      <c r="F125" s="281"/>
      <c r="G125" s="281"/>
      <c r="H125" s="282"/>
      <c r="I125" s="283"/>
      <c r="J125" s="282"/>
      <c r="K125" s="281"/>
      <c r="L125" s="281"/>
      <c r="M125" s="281"/>
      <c r="N125" s="281"/>
      <c r="O125" s="281"/>
      <c r="P125" s="281"/>
      <c r="Q125" s="281"/>
      <c r="R125" s="281"/>
      <c r="S125" s="281"/>
      <c r="T125" s="281"/>
      <c r="U125" s="281"/>
      <c r="V125" s="281"/>
      <c r="W125" s="281"/>
      <c r="X125" s="281"/>
      <c r="Y125" s="281"/>
      <c r="Z125" s="281"/>
      <c r="AA125" s="281"/>
      <c r="AB125" s="281"/>
      <c r="AC125" s="281"/>
      <c r="AD125" s="281"/>
    </row>
    <row r="126" hidden="1">
      <c r="A126" s="281"/>
      <c r="B126" s="281"/>
      <c r="C126" s="281"/>
      <c r="D126" s="281"/>
      <c r="E126" s="281"/>
      <c r="F126" s="281"/>
      <c r="G126" s="281"/>
      <c r="H126" s="282"/>
      <c r="I126" s="283"/>
      <c r="J126" s="282"/>
      <c r="K126" s="281"/>
      <c r="L126" s="281"/>
      <c r="M126" s="281"/>
      <c r="N126" s="281"/>
      <c r="O126" s="281"/>
      <c r="P126" s="281"/>
      <c r="Q126" s="281"/>
      <c r="R126" s="281"/>
      <c r="S126" s="281"/>
      <c r="T126" s="281"/>
      <c r="U126" s="281"/>
      <c r="V126" s="281"/>
      <c r="W126" s="281"/>
      <c r="X126" s="281"/>
      <c r="Y126" s="281"/>
      <c r="Z126" s="281"/>
      <c r="AA126" s="281"/>
      <c r="AB126" s="281"/>
      <c r="AC126" s="281"/>
      <c r="AD126" s="281"/>
    </row>
    <row r="127" hidden="1">
      <c r="A127" s="281"/>
      <c r="B127" s="281"/>
      <c r="C127" s="281"/>
      <c r="D127" s="281"/>
      <c r="E127" s="281"/>
      <c r="F127" s="281"/>
      <c r="G127" s="281"/>
      <c r="H127" s="282"/>
      <c r="I127" s="283"/>
      <c r="J127" s="282"/>
      <c r="K127" s="281"/>
      <c r="L127" s="281"/>
      <c r="M127" s="281"/>
      <c r="N127" s="281"/>
      <c r="O127" s="281"/>
      <c r="P127" s="281"/>
      <c r="Q127" s="281"/>
      <c r="R127" s="281"/>
      <c r="S127" s="281"/>
      <c r="T127" s="281"/>
      <c r="U127" s="281"/>
      <c r="V127" s="281"/>
      <c r="W127" s="281"/>
      <c r="X127" s="281"/>
      <c r="Y127" s="281"/>
      <c r="Z127" s="281"/>
      <c r="AA127" s="281"/>
      <c r="AB127" s="281"/>
      <c r="AC127" s="281"/>
      <c r="AD127" s="281"/>
    </row>
    <row r="128" hidden="1">
      <c r="A128" s="281"/>
      <c r="B128" s="281"/>
      <c r="C128" s="281"/>
      <c r="D128" s="281"/>
      <c r="E128" s="281"/>
      <c r="F128" s="281"/>
      <c r="G128" s="281"/>
      <c r="H128" s="282"/>
      <c r="I128" s="283"/>
      <c r="J128" s="282"/>
      <c r="K128" s="281"/>
      <c r="L128" s="281"/>
      <c r="M128" s="281"/>
      <c r="N128" s="281"/>
      <c r="O128" s="281"/>
      <c r="P128" s="281"/>
      <c r="Q128" s="281"/>
      <c r="R128" s="281"/>
      <c r="S128" s="281"/>
      <c r="T128" s="281"/>
      <c r="U128" s="281"/>
      <c r="V128" s="281"/>
      <c r="W128" s="281"/>
      <c r="X128" s="281"/>
      <c r="Y128" s="281"/>
      <c r="Z128" s="281"/>
      <c r="AA128" s="281"/>
      <c r="AB128" s="281"/>
      <c r="AC128" s="281"/>
      <c r="AD128" s="281"/>
    </row>
    <row r="129" hidden="1">
      <c r="A129" s="281"/>
      <c r="B129" s="281"/>
      <c r="C129" s="281"/>
      <c r="D129" s="281"/>
      <c r="E129" s="281"/>
      <c r="F129" s="281"/>
      <c r="G129" s="281"/>
      <c r="H129" s="282"/>
      <c r="I129" s="283"/>
      <c r="J129" s="282"/>
      <c r="K129" s="281"/>
      <c r="L129" s="281"/>
      <c r="M129" s="281"/>
      <c r="N129" s="281"/>
      <c r="O129" s="281"/>
      <c r="P129" s="281"/>
      <c r="Q129" s="281"/>
      <c r="R129" s="281"/>
      <c r="S129" s="281"/>
      <c r="T129" s="281"/>
      <c r="U129" s="281"/>
      <c r="V129" s="281"/>
      <c r="W129" s="281"/>
      <c r="X129" s="281"/>
      <c r="Y129" s="281"/>
      <c r="Z129" s="281"/>
      <c r="AA129" s="281"/>
      <c r="AB129" s="281"/>
      <c r="AC129" s="281"/>
      <c r="AD129" s="281"/>
    </row>
    <row r="130" hidden="1">
      <c r="A130" s="281"/>
      <c r="B130" s="281"/>
      <c r="C130" s="281"/>
      <c r="D130" s="281"/>
      <c r="E130" s="281"/>
      <c r="F130" s="281"/>
      <c r="G130" s="281"/>
      <c r="H130" s="282"/>
      <c r="I130" s="283"/>
      <c r="J130" s="282"/>
      <c r="K130" s="281"/>
      <c r="L130" s="281"/>
      <c r="M130" s="281"/>
      <c r="N130" s="281"/>
      <c r="O130" s="281"/>
      <c r="P130" s="281"/>
      <c r="Q130" s="281"/>
      <c r="R130" s="281"/>
      <c r="S130" s="281"/>
      <c r="T130" s="281"/>
      <c r="U130" s="281"/>
      <c r="V130" s="281"/>
      <c r="W130" s="281"/>
      <c r="X130" s="281"/>
      <c r="Y130" s="281"/>
      <c r="Z130" s="281"/>
      <c r="AA130" s="281"/>
      <c r="AB130" s="281"/>
      <c r="AC130" s="281"/>
      <c r="AD130" s="281"/>
    </row>
    <row r="131" hidden="1">
      <c r="A131" s="281"/>
      <c r="B131" s="281"/>
      <c r="C131" s="281"/>
      <c r="D131" s="281"/>
      <c r="E131" s="281"/>
      <c r="F131" s="281"/>
      <c r="G131" s="281"/>
      <c r="H131" s="282"/>
      <c r="I131" s="283"/>
      <c r="J131" s="282"/>
      <c r="K131" s="281"/>
      <c r="L131" s="281"/>
      <c r="M131" s="281"/>
      <c r="N131" s="281"/>
      <c r="O131" s="281"/>
      <c r="P131" s="281"/>
      <c r="Q131" s="281"/>
      <c r="R131" s="281"/>
      <c r="S131" s="281"/>
      <c r="T131" s="281"/>
      <c r="U131" s="281"/>
      <c r="V131" s="281"/>
      <c r="W131" s="281"/>
      <c r="X131" s="281"/>
      <c r="Y131" s="281"/>
      <c r="Z131" s="281"/>
      <c r="AA131" s="281"/>
      <c r="AB131" s="281"/>
      <c r="AC131" s="281"/>
      <c r="AD131" s="281"/>
    </row>
    <row r="132" hidden="1">
      <c r="A132" s="281"/>
      <c r="B132" s="281"/>
      <c r="C132" s="281"/>
      <c r="D132" s="281"/>
      <c r="E132" s="281"/>
      <c r="F132" s="281"/>
      <c r="G132" s="281"/>
      <c r="H132" s="282"/>
      <c r="I132" s="283"/>
      <c r="J132" s="282"/>
      <c r="K132" s="281"/>
      <c r="L132" s="281"/>
      <c r="M132" s="281"/>
      <c r="N132" s="281"/>
      <c r="O132" s="281"/>
      <c r="P132" s="281"/>
      <c r="Q132" s="281"/>
      <c r="R132" s="281"/>
      <c r="S132" s="281"/>
      <c r="T132" s="281"/>
      <c r="U132" s="281"/>
      <c r="V132" s="281"/>
      <c r="W132" s="281"/>
      <c r="X132" s="281"/>
      <c r="Y132" s="281"/>
      <c r="Z132" s="281"/>
      <c r="AA132" s="281"/>
      <c r="AB132" s="281"/>
      <c r="AC132" s="281"/>
      <c r="AD132" s="281"/>
    </row>
    <row r="133" hidden="1">
      <c r="A133" s="281"/>
      <c r="B133" s="281"/>
      <c r="C133" s="281"/>
      <c r="D133" s="281"/>
      <c r="E133" s="281"/>
      <c r="F133" s="281"/>
      <c r="G133" s="281"/>
      <c r="H133" s="282"/>
      <c r="I133" s="283"/>
      <c r="J133" s="282"/>
      <c r="K133" s="281"/>
      <c r="L133" s="281"/>
      <c r="M133" s="281"/>
      <c r="N133" s="281"/>
      <c r="O133" s="281"/>
      <c r="P133" s="281"/>
      <c r="Q133" s="281"/>
      <c r="R133" s="281"/>
      <c r="S133" s="281"/>
      <c r="T133" s="281"/>
      <c r="U133" s="281"/>
      <c r="V133" s="281"/>
      <c r="W133" s="281"/>
      <c r="X133" s="281"/>
      <c r="Y133" s="281"/>
      <c r="Z133" s="281"/>
      <c r="AA133" s="281"/>
      <c r="AB133" s="281"/>
      <c r="AC133" s="281"/>
      <c r="AD133" s="281"/>
    </row>
    <row r="134" hidden="1">
      <c r="A134" s="281"/>
      <c r="B134" s="281"/>
      <c r="C134" s="281"/>
      <c r="D134" s="281"/>
      <c r="E134" s="281"/>
      <c r="F134" s="281"/>
      <c r="G134" s="281"/>
      <c r="H134" s="282"/>
      <c r="I134" s="283"/>
      <c r="J134" s="282"/>
      <c r="K134" s="281"/>
      <c r="L134" s="281"/>
      <c r="M134" s="281"/>
      <c r="N134" s="281"/>
      <c r="O134" s="281"/>
      <c r="P134" s="281"/>
      <c r="Q134" s="281"/>
      <c r="R134" s="281"/>
      <c r="S134" s="281"/>
      <c r="T134" s="281"/>
      <c r="U134" s="281"/>
      <c r="V134" s="281"/>
      <c r="W134" s="281"/>
      <c r="X134" s="281"/>
      <c r="Y134" s="281"/>
      <c r="Z134" s="281"/>
      <c r="AA134" s="281"/>
      <c r="AB134" s="281"/>
      <c r="AC134" s="281"/>
      <c r="AD134" s="281"/>
    </row>
    <row r="135" hidden="1">
      <c r="A135" s="281"/>
      <c r="B135" s="281"/>
      <c r="C135" s="281"/>
      <c r="D135" s="281"/>
      <c r="E135" s="281"/>
      <c r="F135" s="281"/>
      <c r="G135" s="281"/>
      <c r="H135" s="282"/>
      <c r="I135" s="283"/>
      <c r="J135" s="282"/>
      <c r="K135" s="281"/>
      <c r="L135" s="281"/>
      <c r="M135" s="281"/>
      <c r="N135" s="281"/>
      <c r="O135" s="281"/>
      <c r="P135" s="281"/>
      <c r="Q135" s="281"/>
      <c r="R135" s="281"/>
      <c r="S135" s="281"/>
      <c r="T135" s="281"/>
      <c r="U135" s="281"/>
      <c r="V135" s="281"/>
      <c r="W135" s="281"/>
      <c r="X135" s="281"/>
      <c r="Y135" s="281"/>
      <c r="Z135" s="281"/>
      <c r="AA135" s="281"/>
      <c r="AB135" s="281"/>
      <c r="AC135" s="281"/>
      <c r="AD135" s="281"/>
    </row>
    <row r="136" hidden="1">
      <c r="A136" s="281"/>
      <c r="B136" s="281"/>
      <c r="C136" s="281"/>
      <c r="D136" s="281"/>
      <c r="E136" s="281"/>
      <c r="F136" s="281"/>
      <c r="G136" s="281"/>
      <c r="H136" s="282"/>
      <c r="I136" s="283"/>
      <c r="J136" s="282"/>
      <c r="K136" s="281"/>
      <c r="L136" s="281"/>
      <c r="M136" s="281"/>
      <c r="N136" s="281"/>
      <c r="O136" s="281"/>
      <c r="P136" s="281"/>
      <c r="Q136" s="281"/>
      <c r="R136" s="281"/>
      <c r="S136" s="281"/>
      <c r="T136" s="281"/>
      <c r="U136" s="281"/>
      <c r="V136" s="281"/>
      <c r="W136" s="281"/>
      <c r="X136" s="281"/>
      <c r="Y136" s="281"/>
      <c r="Z136" s="281"/>
      <c r="AA136" s="281"/>
      <c r="AB136" s="281"/>
      <c r="AC136" s="281"/>
      <c r="AD136" s="281"/>
    </row>
    <row r="137" hidden="1">
      <c r="A137" s="281"/>
      <c r="B137" s="281"/>
      <c r="C137" s="281"/>
      <c r="D137" s="281"/>
      <c r="E137" s="281"/>
      <c r="F137" s="281"/>
      <c r="G137" s="281"/>
      <c r="H137" s="282"/>
      <c r="I137" s="283"/>
      <c r="J137" s="282"/>
      <c r="K137" s="281"/>
      <c r="L137" s="281"/>
      <c r="M137" s="281"/>
      <c r="N137" s="281"/>
      <c r="O137" s="281"/>
      <c r="P137" s="281"/>
      <c r="Q137" s="281"/>
      <c r="R137" s="281"/>
      <c r="S137" s="281"/>
      <c r="T137" s="281"/>
      <c r="U137" s="281"/>
      <c r="V137" s="281"/>
      <c r="W137" s="281"/>
      <c r="X137" s="281"/>
      <c r="Y137" s="281"/>
      <c r="Z137" s="281"/>
      <c r="AA137" s="281"/>
      <c r="AB137" s="281"/>
      <c r="AC137" s="281"/>
      <c r="AD137" s="281"/>
    </row>
    <row r="138" hidden="1">
      <c r="A138" s="281"/>
      <c r="B138" s="281"/>
      <c r="C138" s="281"/>
      <c r="D138" s="281"/>
      <c r="E138" s="281"/>
      <c r="F138" s="281"/>
      <c r="G138" s="281"/>
      <c r="H138" s="282"/>
      <c r="I138" s="283"/>
      <c r="J138" s="282"/>
      <c r="K138" s="281"/>
      <c r="L138" s="281"/>
      <c r="M138" s="281"/>
      <c r="N138" s="281"/>
      <c r="O138" s="281"/>
      <c r="P138" s="281"/>
      <c r="Q138" s="281"/>
      <c r="R138" s="281"/>
      <c r="S138" s="281"/>
      <c r="T138" s="281"/>
      <c r="U138" s="281"/>
      <c r="V138" s="281"/>
      <c r="W138" s="281"/>
      <c r="X138" s="281"/>
      <c r="Y138" s="281"/>
      <c r="Z138" s="281"/>
      <c r="AA138" s="281"/>
      <c r="AB138" s="281"/>
      <c r="AC138" s="281"/>
      <c r="AD138" s="281"/>
    </row>
    <row r="139" hidden="1">
      <c r="A139" s="281"/>
      <c r="B139" s="281"/>
      <c r="C139" s="281"/>
      <c r="D139" s="281"/>
      <c r="E139" s="281"/>
      <c r="F139" s="281"/>
      <c r="G139" s="281"/>
      <c r="H139" s="282"/>
      <c r="I139" s="283"/>
      <c r="J139" s="282"/>
      <c r="K139" s="281"/>
      <c r="L139" s="281"/>
      <c r="M139" s="281"/>
      <c r="N139" s="281"/>
      <c r="O139" s="281"/>
      <c r="P139" s="281"/>
      <c r="Q139" s="281"/>
      <c r="R139" s="281"/>
      <c r="S139" s="281"/>
      <c r="T139" s="281"/>
      <c r="U139" s="281"/>
      <c r="V139" s="281"/>
      <c r="W139" s="281"/>
      <c r="X139" s="281"/>
      <c r="Y139" s="281"/>
      <c r="Z139" s="281"/>
      <c r="AA139" s="281"/>
      <c r="AB139" s="281"/>
      <c r="AC139" s="281"/>
      <c r="AD139" s="281"/>
    </row>
    <row r="140" hidden="1">
      <c r="A140" s="281"/>
      <c r="B140" s="281"/>
      <c r="C140" s="281"/>
      <c r="D140" s="281"/>
      <c r="E140" s="281"/>
      <c r="F140" s="281"/>
      <c r="G140" s="281"/>
      <c r="H140" s="282"/>
      <c r="I140" s="283"/>
      <c r="J140" s="282"/>
      <c r="K140" s="281"/>
      <c r="L140" s="281"/>
      <c r="M140" s="281"/>
      <c r="N140" s="281"/>
      <c r="O140" s="281"/>
      <c r="P140" s="281"/>
      <c r="Q140" s="281"/>
      <c r="R140" s="281"/>
      <c r="S140" s="281"/>
      <c r="T140" s="281"/>
      <c r="U140" s="281"/>
      <c r="V140" s="281"/>
      <c r="W140" s="281"/>
      <c r="X140" s="281"/>
      <c r="Y140" s="281"/>
      <c r="Z140" s="281"/>
      <c r="AA140" s="281"/>
      <c r="AB140" s="281"/>
      <c r="AC140" s="281"/>
      <c r="AD140" s="281"/>
    </row>
    <row r="141">
      <c r="A141" s="281"/>
      <c r="B141" s="281"/>
      <c r="C141" s="281"/>
      <c r="D141" s="281"/>
      <c r="E141" s="281"/>
      <c r="F141" s="281"/>
      <c r="G141" s="281"/>
      <c r="H141" s="282"/>
      <c r="I141" s="283"/>
      <c r="J141" s="282"/>
      <c r="K141" s="281"/>
      <c r="L141" s="281"/>
      <c r="M141" s="281"/>
      <c r="N141" s="281"/>
      <c r="O141" s="281"/>
      <c r="P141" s="281"/>
      <c r="Q141" s="281"/>
      <c r="R141" s="281"/>
      <c r="S141" s="281"/>
      <c r="T141" s="281"/>
      <c r="U141" s="281"/>
      <c r="V141" s="281"/>
      <c r="W141" s="281"/>
      <c r="X141" s="281"/>
      <c r="Y141" s="281"/>
      <c r="Z141" s="281"/>
      <c r="AA141" s="281"/>
      <c r="AB141" s="281"/>
      <c r="AC141" s="281"/>
      <c r="AD141" s="281"/>
    </row>
    <row r="142">
      <c r="A142" s="281"/>
      <c r="B142" s="281"/>
      <c r="C142" s="281"/>
      <c r="D142" s="281"/>
      <c r="E142" s="281"/>
      <c r="F142" s="281"/>
      <c r="G142" s="281"/>
      <c r="H142" s="282"/>
      <c r="I142" s="283"/>
      <c r="J142" s="282"/>
      <c r="K142" s="281"/>
      <c r="L142" s="281"/>
      <c r="M142" s="281"/>
      <c r="N142" s="281"/>
      <c r="O142" s="281"/>
      <c r="P142" s="281"/>
      <c r="Q142" s="281"/>
      <c r="R142" s="281"/>
      <c r="S142" s="281"/>
      <c r="T142" s="281"/>
      <c r="U142" s="281"/>
      <c r="V142" s="281"/>
      <c r="W142" s="281"/>
      <c r="X142" s="281"/>
      <c r="Y142" s="281"/>
      <c r="Z142" s="281"/>
      <c r="AA142" s="281"/>
      <c r="AB142" s="281"/>
      <c r="AC142" s="281"/>
      <c r="AD142" s="281"/>
    </row>
    <row r="143">
      <c r="A143" s="462" t="s">
        <v>309</v>
      </c>
      <c r="B143" s="463"/>
      <c r="C143" s="463"/>
      <c r="D143" s="463"/>
      <c r="E143" s="463"/>
      <c r="F143" s="281"/>
      <c r="G143" s="281"/>
      <c r="H143" s="282"/>
      <c r="I143" s="283"/>
      <c r="J143" s="282"/>
      <c r="K143" s="281"/>
      <c r="L143" s="281"/>
      <c r="M143" s="281"/>
      <c r="N143" s="281"/>
      <c r="O143" s="281"/>
      <c r="P143" s="281"/>
      <c r="Q143" s="281"/>
      <c r="R143" s="281"/>
      <c r="S143" s="281"/>
      <c r="T143" s="281"/>
      <c r="U143" s="281"/>
      <c r="V143" s="281"/>
      <c r="W143" s="281"/>
      <c r="X143" s="281"/>
      <c r="Y143" s="281"/>
      <c r="Z143" s="281"/>
      <c r="AA143" s="281"/>
      <c r="AB143" s="281"/>
      <c r="AC143" s="281"/>
      <c r="AD143" s="281"/>
    </row>
    <row r="144">
      <c r="A144" s="464" t="s">
        <v>310</v>
      </c>
      <c r="B144" s="463"/>
      <c r="C144" s="463"/>
      <c r="D144" s="463"/>
      <c r="E144" s="463"/>
      <c r="F144" s="281"/>
      <c r="G144" s="281"/>
      <c r="H144" s="282"/>
      <c r="I144" s="283"/>
      <c r="J144" s="282"/>
      <c r="K144" s="281"/>
      <c r="L144" s="281"/>
      <c r="M144" s="281"/>
      <c r="N144" s="281"/>
      <c r="O144" s="281"/>
      <c r="P144" s="281"/>
      <c r="Q144" s="281"/>
      <c r="R144" s="281"/>
      <c r="S144" s="281"/>
      <c r="T144" s="281"/>
      <c r="U144" s="281"/>
      <c r="V144" s="281"/>
      <c r="W144" s="281"/>
      <c r="X144" s="281"/>
      <c r="Y144" s="281"/>
      <c r="Z144" s="281"/>
      <c r="AA144" s="281"/>
      <c r="AB144" s="281"/>
      <c r="AC144" s="281"/>
      <c r="AD144" s="281"/>
    </row>
    <row r="145">
      <c r="A145" s="464" t="s">
        <v>311</v>
      </c>
      <c r="B145" s="463"/>
      <c r="C145" s="463"/>
      <c r="D145" s="463"/>
      <c r="E145" s="463"/>
      <c r="F145" s="281"/>
      <c r="G145" s="281"/>
      <c r="H145" s="282"/>
      <c r="I145" s="283"/>
      <c r="J145" s="282"/>
      <c r="K145" s="281"/>
      <c r="L145" s="281"/>
      <c r="M145" s="281"/>
      <c r="N145" s="281"/>
      <c r="O145" s="281"/>
      <c r="P145" s="281"/>
      <c r="Q145" s="281"/>
      <c r="R145" s="281"/>
      <c r="S145" s="281"/>
      <c r="T145" s="281"/>
      <c r="U145" s="281"/>
      <c r="V145" s="281"/>
      <c r="W145" s="281"/>
      <c r="X145" s="281"/>
      <c r="Y145" s="281"/>
      <c r="Z145" s="281"/>
      <c r="AA145" s="281"/>
      <c r="AB145" s="281"/>
      <c r="AC145" s="281"/>
      <c r="AD145" s="281"/>
    </row>
    <row r="146">
      <c r="A146" s="464" t="s">
        <v>312</v>
      </c>
      <c r="B146" s="463"/>
      <c r="C146" s="463"/>
      <c r="D146" s="463"/>
      <c r="E146" s="463"/>
      <c r="F146" s="281"/>
      <c r="G146" s="281"/>
      <c r="H146" s="282"/>
      <c r="I146" s="283"/>
      <c r="J146" s="282"/>
      <c r="K146" s="281"/>
      <c r="L146" s="281"/>
      <c r="M146" s="281"/>
      <c r="N146" s="281"/>
      <c r="O146" s="281"/>
      <c r="P146" s="281"/>
      <c r="Q146" s="281"/>
      <c r="R146" s="281"/>
      <c r="S146" s="281"/>
      <c r="T146" s="281"/>
      <c r="U146" s="281"/>
      <c r="V146" s="281"/>
      <c r="W146" s="281"/>
      <c r="X146" s="281"/>
      <c r="Y146" s="281"/>
      <c r="Z146" s="281"/>
      <c r="AA146" s="281"/>
      <c r="AB146" s="281"/>
      <c r="AC146" s="281"/>
      <c r="AD146" s="281"/>
    </row>
    <row r="147">
      <c r="A147" s="464" t="s">
        <v>313</v>
      </c>
      <c r="B147" s="463"/>
      <c r="C147" s="463"/>
      <c r="D147" s="463"/>
      <c r="E147" s="463"/>
      <c r="F147" s="281"/>
      <c r="G147" s="281"/>
      <c r="H147" s="282"/>
      <c r="I147" s="283"/>
      <c r="J147" s="282"/>
      <c r="K147" s="281"/>
      <c r="L147" s="281"/>
      <c r="M147" s="281"/>
      <c r="N147" s="281"/>
      <c r="O147" s="281"/>
      <c r="P147" s="281"/>
      <c r="Q147" s="281"/>
      <c r="R147" s="281"/>
      <c r="S147" s="281"/>
      <c r="T147" s="281"/>
      <c r="U147" s="281"/>
      <c r="V147" s="281"/>
      <c r="W147" s="281"/>
      <c r="X147" s="281"/>
      <c r="Y147" s="281"/>
      <c r="Z147" s="281"/>
      <c r="AA147" s="281"/>
      <c r="AB147" s="281"/>
      <c r="AC147" s="281"/>
      <c r="AD147" s="281"/>
    </row>
    <row r="148">
      <c r="A148" s="464" t="s">
        <v>314</v>
      </c>
      <c r="B148" s="463"/>
      <c r="C148" s="463"/>
      <c r="D148" s="463"/>
      <c r="E148" s="463"/>
      <c r="F148" s="281"/>
      <c r="G148" s="281"/>
      <c r="H148" s="282"/>
      <c r="I148" s="283"/>
      <c r="J148" s="282"/>
      <c r="K148" s="281"/>
      <c r="L148" s="281"/>
      <c r="M148" s="281"/>
      <c r="N148" s="281"/>
      <c r="O148" s="281"/>
      <c r="P148" s="281"/>
      <c r="Q148" s="281"/>
      <c r="R148" s="281"/>
      <c r="S148" s="281"/>
      <c r="T148" s="281"/>
      <c r="U148" s="281"/>
      <c r="V148" s="281"/>
      <c r="W148" s="281"/>
      <c r="X148" s="281"/>
      <c r="Y148" s="281"/>
      <c r="Z148" s="281"/>
      <c r="AA148" s="281"/>
      <c r="AB148" s="281"/>
      <c r="AC148" s="281"/>
      <c r="AD148" s="281"/>
    </row>
    <row r="149">
      <c r="A149" s="464" t="s">
        <v>315</v>
      </c>
      <c r="B149" s="463"/>
      <c r="C149" s="463"/>
      <c r="D149" s="463"/>
      <c r="E149" s="463"/>
      <c r="F149" s="281"/>
      <c r="G149" s="281"/>
      <c r="H149" s="282"/>
      <c r="I149" s="283"/>
      <c r="J149" s="282"/>
      <c r="K149" s="281"/>
      <c r="L149" s="281"/>
      <c r="M149" s="281"/>
      <c r="N149" s="281"/>
      <c r="O149" s="281"/>
      <c r="P149" s="281"/>
      <c r="Q149" s="281"/>
      <c r="R149" s="281"/>
      <c r="S149" s="281"/>
      <c r="T149" s="281"/>
      <c r="U149" s="281"/>
      <c r="V149" s="281"/>
      <c r="W149" s="281"/>
      <c r="X149" s="281"/>
      <c r="Y149" s="281"/>
      <c r="Z149" s="281"/>
      <c r="AA149" s="281"/>
      <c r="AB149" s="281"/>
      <c r="AC149" s="281"/>
      <c r="AD149" s="281"/>
    </row>
    <row r="150">
      <c r="A150" s="464" t="s">
        <v>316</v>
      </c>
      <c r="B150" s="463"/>
      <c r="C150" s="463"/>
      <c r="D150" s="463"/>
      <c r="E150" s="463"/>
      <c r="F150" s="281"/>
      <c r="G150" s="281"/>
      <c r="H150" s="282"/>
      <c r="I150" s="283"/>
      <c r="J150" s="282"/>
      <c r="K150" s="281"/>
      <c r="L150" s="281"/>
      <c r="M150" s="281"/>
      <c r="N150" s="281"/>
      <c r="O150" s="281"/>
      <c r="P150" s="281"/>
      <c r="Q150" s="281"/>
      <c r="R150" s="281"/>
      <c r="S150" s="281"/>
      <c r="T150" s="281"/>
      <c r="U150" s="281"/>
      <c r="V150" s="281"/>
      <c r="W150" s="281"/>
      <c r="X150" s="281"/>
      <c r="Y150" s="281"/>
      <c r="Z150" s="281"/>
      <c r="AA150" s="281"/>
      <c r="AB150" s="281"/>
      <c r="AC150" s="281"/>
      <c r="AD150" s="281"/>
    </row>
    <row r="151">
      <c r="A151" s="464" t="s">
        <v>317</v>
      </c>
      <c r="B151" s="463"/>
      <c r="C151" s="463"/>
      <c r="D151" s="463"/>
      <c r="E151" s="463"/>
      <c r="F151" s="281"/>
      <c r="G151" s="281"/>
      <c r="H151" s="282"/>
      <c r="I151" s="283"/>
      <c r="J151" s="282"/>
      <c r="K151" s="281"/>
      <c r="L151" s="281"/>
      <c r="M151" s="281"/>
      <c r="N151" s="281"/>
      <c r="O151" s="281"/>
      <c r="P151" s="281"/>
      <c r="Q151" s="281"/>
      <c r="R151" s="281"/>
      <c r="S151" s="281"/>
      <c r="T151" s="281"/>
      <c r="U151" s="281"/>
      <c r="V151" s="281"/>
      <c r="W151" s="281"/>
      <c r="X151" s="281"/>
      <c r="Y151" s="281"/>
      <c r="Z151" s="281"/>
      <c r="AA151" s="281"/>
      <c r="AB151" s="281"/>
      <c r="AC151" s="281"/>
      <c r="AD151" s="281"/>
    </row>
    <row r="152">
      <c r="A152" s="464" t="s">
        <v>318</v>
      </c>
      <c r="B152" s="463"/>
      <c r="C152" s="463"/>
      <c r="D152" s="463"/>
      <c r="E152" s="463"/>
      <c r="F152" s="281"/>
      <c r="G152" s="281"/>
      <c r="H152" s="282"/>
      <c r="I152" s="283"/>
      <c r="J152" s="282"/>
      <c r="K152" s="281"/>
      <c r="L152" s="281"/>
      <c r="M152" s="281"/>
      <c r="N152" s="281"/>
      <c r="O152" s="281"/>
      <c r="P152" s="281"/>
      <c r="Q152" s="281"/>
      <c r="R152" s="281"/>
      <c r="S152" s="281"/>
      <c r="T152" s="281"/>
      <c r="U152" s="281"/>
      <c r="V152" s="281"/>
      <c r="W152" s="281"/>
      <c r="X152" s="281"/>
      <c r="Y152" s="281"/>
      <c r="Z152" s="281"/>
      <c r="AA152" s="281"/>
      <c r="AB152" s="281"/>
      <c r="AC152" s="281"/>
      <c r="AD152" s="281"/>
    </row>
    <row r="153">
      <c r="A153" s="464" t="s">
        <v>319</v>
      </c>
      <c r="B153" s="463"/>
      <c r="C153" s="463"/>
      <c r="D153" s="463"/>
      <c r="E153" s="463"/>
      <c r="F153" s="281"/>
      <c r="G153" s="281"/>
      <c r="H153" s="282"/>
      <c r="I153" s="283"/>
      <c r="J153" s="282"/>
      <c r="K153" s="281"/>
      <c r="L153" s="281"/>
      <c r="M153" s="281"/>
      <c r="N153" s="281"/>
      <c r="O153" s="281"/>
      <c r="P153" s="281"/>
      <c r="Q153" s="281"/>
      <c r="R153" s="281"/>
      <c r="S153" s="281"/>
      <c r="T153" s="281"/>
      <c r="U153" s="281"/>
      <c r="V153" s="281"/>
      <c r="W153" s="281"/>
      <c r="X153" s="281"/>
      <c r="Y153" s="281"/>
      <c r="Z153" s="281"/>
      <c r="AA153" s="281"/>
      <c r="AB153" s="281"/>
      <c r="AC153" s="281"/>
      <c r="AD153" s="281"/>
    </row>
    <row r="154">
      <c r="A154" s="464" t="s">
        <v>320</v>
      </c>
      <c r="B154" s="463"/>
      <c r="C154" s="463"/>
      <c r="D154" s="463"/>
      <c r="E154" s="463"/>
      <c r="F154" s="281"/>
      <c r="G154" s="281"/>
      <c r="H154" s="282"/>
      <c r="I154" s="283"/>
      <c r="J154" s="282"/>
      <c r="K154" s="281"/>
      <c r="L154" s="281"/>
      <c r="M154" s="281"/>
      <c r="N154" s="281"/>
      <c r="O154" s="281"/>
      <c r="P154" s="281"/>
      <c r="Q154" s="281"/>
      <c r="R154" s="281"/>
      <c r="S154" s="281"/>
      <c r="T154" s="281"/>
      <c r="U154" s="281"/>
      <c r="V154" s="281"/>
      <c r="W154" s="281"/>
      <c r="X154" s="281"/>
      <c r="Y154" s="281"/>
      <c r="Z154" s="281"/>
      <c r="AA154" s="281"/>
      <c r="AB154" s="281"/>
      <c r="AC154" s="281"/>
      <c r="AD154" s="281"/>
    </row>
    <row r="155">
      <c r="A155" s="464" t="s">
        <v>321</v>
      </c>
      <c r="B155" s="463"/>
      <c r="C155" s="463"/>
      <c r="D155" s="463"/>
      <c r="E155" s="463"/>
      <c r="F155" s="281"/>
      <c r="G155" s="281"/>
      <c r="H155" s="282"/>
      <c r="I155" s="283"/>
      <c r="J155" s="282"/>
      <c r="K155" s="281"/>
      <c r="L155" s="281"/>
      <c r="M155" s="281"/>
      <c r="N155" s="281"/>
      <c r="O155" s="281"/>
      <c r="P155" s="281"/>
      <c r="Q155" s="281"/>
      <c r="R155" s="281"/>
      <c r="S155" s="281"/>
      <c r="T155" s="281"/>
      <c r="U155" s="281"/>
      <c r="V155" s="281"/>
      <c r="W155" s="281"/>
      <c r="X155" s="281"/>
      <c r="Y155" s="281"/>
      <c r="Z155" s="281"/>
      <c r="AA155" s="281"/>
      <c r="AB155" s="281"/>
      <c r="AC155" s="281"/>
      <c r="AD155" s="281"/>
    </row>
    <row r="156">
      <c r="A156" s="465" t="s">
        <v>322</v>
      </c>
      <c r="B156" s="466"/>
      <c r="C156" s="466"/>
      <c r="D156" s="466"/>
      <c r="E156" s="466"/>
      <c r="F156" s="467"/>
      <c r="G156" s="467"/>
      <c r="H156" s="468"/>
      <c r="I156" s="469"/>
      <c r="J156" s="468"/>
      <c r="K156" s="467"/>
      <c r="L156" s="297"/>
      <c r="M156" s="297"/>
      <c r="N156" s="297"/>
      <c r="O156" s="297"/>
      <c r="P156" s="297"/>
      <c r="Q156" s="297"/>
      <c r="R156" s="297"/>
      <c r="S156" s="297"/>
      <c r="T156" s="297"/>
      <c r="U156" s="297"/>
      <c r="V156" s="297"/>
      <c r="W156" s="297"/>
      <c r="X156" s="297"/>
      <c r="Y156" s="297"/>
      <c r="Z156" s="281"/>
      <c r="AA156" s="281"/>
      <c r="AB156" s="281"/>
      <c r="AC156" s="281"/>
      <c r="AD156" s="281"/>
    </row>
    <row r="157">
      <c r="A157" s="470" t="s">
        <v>323</v>
      </c>
      <c r="B157" s="471"/>
      <c r="C157" s="471"/>
      <c r="D157" s="471"/>
      <c r="E157" s="471"/>
      <c r="F157" s="471"/>
      <c r="G157" s="471"/>
      <c r="H157" s="472"/>
      <c r="I157" s="473"/>
      <c r="J157" s="472"/>
      <c r="K157" s="471"/>
      <c r="L157" s="297"/>
      <c r="M157" s="297"/>
      <c r="N157" s="297"/>
      <c r="O157" s="297"/>
      <c r="P157" s="297"/>
      <c r="Q157" s="297"/>
      <c r="R157" s="297"/>
      <c r="S157" s="297"/>
      <c r="T157" s="297"/>
      <c r="U157" s="297"/>
      <c r="V157" s="297"/>
      <c r="W157" s="297"/>
      <c r="X157" s="297"/>
      <c r="Y157" s="297"/>
      <c r="Z157" s="297"/>
      <c r="AA157" s="297"/>
      <c r="AB157" s="297"/>
      <c r="AC157" s="297"/>
      <c r="AD157" s="297"/>
    </row>
    <row r="158">
      <c r="A158" s="413">
        <v>1.0</v>
      </c>
      <c r="B158" s="474"/>
      <c r="C158" s="475" t="s">
        <v>324</v>
      </c>
      <c r="D158" s="476" t="s">
        <v>824</v>
      </c>
      <c r="E158" s="474"/>
      <c r="F158" s="413" t="s">
        <v>326</v>
      </c>
      <c r="G158" s="476" t="s">
        <v>289</v>
      </c>
      <c r="H158" s="409">
        <v>70000.0</v>
      </c>
      <c r="I158" s="453" t="s">
        <v>16</v>
      </c>
      <c r="J158" s="415">
        <f t="shared" ref="J158:J163" si="25">H158*I158</f>
        <v>70000</v>
      </c>
      <c r="K158" s="409" t="s">
        <v>825</v>
      </c>
      <c r="L158" s="297"/>
      <c r="M158" s="297"/>
      <c r="N158" s="297"/>
      <c r="O158" s="297"/>
      <c r="P158" s="297"/>
      <c r="Q158" s="297"/>
      <c r="R158" s="297"/>
      <c r="S158" s="297"/>
      <c r="T158" s="297"/>
      <c r="U158" s="297"/>
      <c r="V158" s="297"/>
      <c r="W158" s="297"/>
      <c r="X158" s="297"/>
      <c r="Y158" s="297"/>
      <c r="Z158" s="297"/>
      <c r="AA158" s="297"/>
      <c r="AB158" s="297"/>
      <c r="AC158" s="297"/>
      <c r="AD158" s="297"/>
    </row>
    <row r="159">
      <c r="A159" s="413">
        <v>2.0</v>
      </c>
      <c r="B159" s="474"/>
      <c r="C159" s="475" t="s">
        <v>826</v>
      </c>
      <c r="D159" s="476"/>
      <c r="E159" s="474"/>
      <c r="F159" s="413" t="s">
        <v>326</v>
      </c>
      <c r="G159" s="476" t="s">
        <v>289</v>
      </c>
      <c r="H159" s="409">
        <v>20000.0</v>
      </c>
      <c r="I159" s="453" t="s">
        <v>16</v>
      </c>
      <c r="J159" s="415">
        <f t="shared" si="25"/>
        <v>20000</v>
      </c>
      <c r="K159" s="409" t="s">
        <v>825</v>
      </c>
      <c r="L159" s="297"/>
      <c r="M159" s="297"/>
      <c r="N159" s="297"/>
      <c r="O159" s="297"/>
      <c r="P159" s="297"/>
      <c r="Q159" s="297"/>
      <c r="R159" s="297"/>
      <c r="S159" s="297"/>
      <c r="T159" s="297"/>
      <c r="U159" s="297"/>
      <c r="V159" s="297"/>
      <c r="W159" s="297"/>
      <c r="X159" s="297"/>
      <c r="Y159" s="297"/>
      <c r="Z159" s="297"/>
      <c r="AA159" s="297"/>
      <c r="AB159" s="297"/>
      <c r="AC159" s="297"/>
      <c r="AD159" s="297"/>
    </row>
    <row r="160">
      <c r="A160" s="413">
        <v>3.0</v>
      </c>
      <c r="B160" s="474"/>
      <c r="C160" s="475" t="s">
        <v>827</v>
      </c>
      <c r="D160" s="476"/>
      <c r="E160" s="474"/>
      <c r="F160" s="413" t="s">
        <v>326</v>
      </c>
      <c r="G160" s="476" t="s">
        <v>289</v>
      </c>
      <c r="H160" s="409">
        <v>8000.0</v>
      </c>
      <c r="I160" s="453" t="s">
        <v>18</v>
      </c>
      <c r="J160" s="415">
        <f t="shared" si="25"/>
        <v>16000</v>
      </c>
      <c r="K160" s="409" t="s">
        <v>825</v>
      </c>
      <c r="L160" s="297"/>
      <c r="M160" s="297"/>
      <c r="N160" s="297"/>
      <c r="O160" s="297"/>
      <c r="P160" s="297"/>
      <c r="Q160" s="297"/>
      <c r="R160" s="297"/>
      <c r="S160" s="297"/>
      <c r="T160" s="297"/>
      <c r="U160" s="297"/>
      <c r="V160" s="297"/>
      <c r="W160" s="297"/>
      <c r="X160" s="297"/>
      <c r="Y160" s="297"/>
      <c r="Z160" s="297"/>
      <c r="AA160" s="297"/>
      <c r="AB160" s="297"/>
      <c r="AC160" s="297"/>
      <c r="AD160" s="297"/>
    </row>
    <row r="161">
      <c r="A161" s="413">
        <v>4.0</v>
      </c>
      <c r="B161" s="474"/>
      <c r="C161" s="411" t="s">
        <v>329</v>
      </c>
      <c r="D161" s="476"/>
      <c r="E161" s="474"/>
      <c r="F161" s="413" t="s">
        <v>326</v>
      </c>
      <c r="G161" s="476" t="s">
        <v>641</v>
      </c>
      <c r="H161" s="409">
        <v>15000.0</v>
      </c>
      <c r="I161" s="446" t="s">
        <v>16</v>
      </c>
      <c r="J161" s="415">
        <f t="shared" si="25"/>
        <v>15000</v>
      </c>
      <c r="K161" s="409" t="s">
        <v>330</v>
      </c>
      <c r="L161" s="297"/>
      <c r="M161" s="297"/>
      <c r="N161" s="297"/>
      <c r="O161" s="297"/>
      <c r="P161" s="297"/>
      <c r="Q161" s="297"/>
      <c r="R161" s="297"/>
      <c r="S161" s="297"/>
      <c r="T161" s="297"/>
      <c r="U161" s="297"/>
      <c r="V161" s="297"/>
      <c r="W161" s="297"/>
      <c r="X161" s="297"/>
      <c r="Y161" s="297"/>
      <c r="Z161" s="297"/>
      <c r="AA161" s="297"/>
      <c r="AB161" s="297"/>
      <c r="AC161" s="297"/>
      <c r="AD161" s="297"/>
    </row>
    <row r="162">
      <c r="A162" s="413">
        <v>5.0</v>
      </c>
      <c r="B162" s="474"/>
      <c r="C162" s="475" t="s">
        <v>332</v>
      </c>
      <c r="D162" s="476" t="s">
        <v>333</v>
      </c>
      <c r="E162" s="474"/>
      <c r="F162" s="413" t="s">
        <v>326</v>
      </c>
      <c r="G162" s="476" t="s">
        <v>641</v>
      </c>
      <c r="H162" s="409">
        <v>80000.0</v>
      </c>
      <c r="I162" s="453" t="s">
        <v>16</v>
      </c>
      <c r="J162" s="415">
        <f t="shared" si="25"/>
        <v>80000</v>
      </c>
      <c r="K162" s="409" t="s">
        <v>330</v>
      </c>
      <c r="L162" s="297"/>
      <c r="M162" s="297"/>
      <c r="N162" s="297"/>
      <c r="O162" s="297"/>
      <c r="P162" s="297"/>
      <c r="Q162" s="297"/>
      <c r="R162" s="297"/>
      <c r="S162" s="297"/>
      <c r="T162" s="297"/>
      <c r="U162" s="297"/>
      <c r="V162" s="297"/>
      <c r="W162" s="297"/>
      <c r="X162" s="297"/>
      <c r="Y162" s="297"/>
      <c r="Z162" s="297"/>
      <c r="AA162" s="297"/>
      <c r="AB162" s="297"/>
      <c r="AC162" s="297"/>
      <c r="AD162" s="297"/>
    </row>
    <row r="163">
      <c r="A163" s="413">
        <v>6.0</v>
      </c>
      <c r="B163" s="474"/>
      <c r="C163" s="413" t="s">
        <v>334</v>
      </c>
      <c r="D163" s="413" t="s">
        <v>335</v>
      </c>
      <c r="E163" s="474"/>
      <c r="F163" s="413" t="s">
        <v>326</v>
      </c>
      <c r="G163" s="476" t="s">
        <v>641</v>
      </c>
      <c r="H163" s="409">
        <v>10000.0</v>
      </c>
      <c r="I163" s="422" t="s">
        <v>18</v>
      </c>
      <c r="J163" s="415">
        <f t="shared" si="25"/>
        <v>20000</v>
      </c>
      <c r="K163" s="409" t="s">
        <v>646</v>
      </c>
      <c r="L163" s="297"/>
      <c r="M163" s="297"/>
      <c r="N163" s="297"/>
      <c r="O163" s="297"/>
      <c r="P163" s="297"/>
      <c r="Q163" s="297"/>
      <c r="R163" s="297"/>
      <c r="S163" s="297"/>
      <c r="T163" s="297"/>
      <c r="U163" s="297"/>
      <c r="V163" s="297"/>
      <c r="W163" s="297"/>
      <c r="X163" s="297"/>
      <c r="Y163" s="297"/>
      <c r="Z163" s="297"/>
      <c r="AA163" s="297"/>
      <c r="AB163" s="297"/>
      <c r="AC163" s="297"/>
      <c r="AD163" s="297"/>
    </row>
    <row r="164">
      <c r="A164" s="477"/>
      <c r="B164" s="474"/>
      <c r="C164" s="474"/>
      <c r="D164" s="474"/>
      <c r="E164" s="474"/>
      <c r="F164" s="474"/>
      <c r="G164" s="474"/>
      <c r="H164" s="409"/>
      <c r="I164" s="478" t="s">
        <v>125</v>
      </c>
      <c r="J164" s="479">
        <f>SUM(J158:J163)</f>
        <v>221000</v>
      </c>
      <c r="K164" s="474"/>
      <c r="L164" s="297"/>
      <c r="M164" s="297"/>
      <c r="N164" s="297"/>
      <c r="O164" s="297"/>
      <c r="P164" s="297"/>
      <c r="Q164" s="297"/>
      <c r="R164" s="297"/>
      <c r="S164" s="297"/>
      <c r="T164" s="297"/>
      <c r="U164" s="297"/>
      <c r="V164" s="297"/>
      <c r="W164" s="297"/>
      <c r="X164" s="297"/>
      <c r="Y164" s="297"/>
      <c r="Z164" s="297"/>
      <c r="AA164" s="297"/>
      <c r="AB164" s="297"/>
      <c r="AC164" s="297"/>
      <c r="AD164" s="297"/>
    </row>
    <row r="165">
      <c r="A165" s="424" t="s">
        <v>337</v>
      </c>
      <c r="B165" s="323"/>
      <c r="C165" s="323"/>
      <c r="D165" s="323"/>
      <c r="E165" s="323"/>
      <c r="F165" s="323"/>
      <c r="G165" s="323"/>
      <c r="H165" s="324"/>
      <c r="I165" s="460"/>
      <c r="J165" s="461"/>
      <c r="K165" s="323"/>
      <c r="L165" s="281"/>
      <c r="M165" s="281"/>
      <c r="N165" s="281"/>
      <c r="O165" s="281"/>
      <c r="P165" s="281"/>
      <c r="Q165" s="281"/>
      <c r="R165" s="281"/>
      <c r="S165" s="281"/>
      <c r="T165" s="281"/>
      <c r="U165" s="281"/>
      <c r="V165" s="281"/>
      <c r="W165" s="281"/>
      <c r="X165" s="281"/>
      <c r="Y165" s="281"/>
      <c r="Z165" s="281"/>
      <c r="AA165" s="281"/>
      <c r="AB165" s="281"/>
      <c r="AC165" s="281"/>
      <c r="AD165" s="281"/>
    </row>
    <row r="166">
      <c r="A166" s="419">
        <v>1.0</v>
      </c>
      <c r="B166" s="457"/>
      <c r="C166" s="413" t="s">
        <v>338</v>
      </c>
      <c r="D166" s="480"/>
      <c r="E166" s="480"/>
      <c r="F166" s="480"/>
      <c r="G166" s="481" t="s">
        <v>339</v>
      </c>
      <c r="H166" s="482">
        <v>60000.0</v>
      </c>
      <c r="I166" s="453" t="s">
        <v>16</v>
      </c>
      <c r="J166" s="483">
        <f>(H166*I166)</f>
        <v>60000</v>
      </c>
      <c r="K166" s="532" t="s">
        <v>145</v>
      </c>
      <c r="L166" s="293" t="s">
        <v>828</v>
      </c>
      <c r="M166" s="281"/>
      <c r="N166" s="281"/>
      <c r="O166" s="281"/>
      <c r="P166" s="281"/>
      <c r="Q166" s="281"/>
      <c r="R166" s="281"/>
      <c r="S166" s="281"/>
      <c r="T166" s="281"/>
      <c r="U166" s="281"/>
      <c r="V166" s="281"/>
      <c r="W166" s="281"/>
      <c r="X166" s="281"/>
      <c r="Y166" s="281"/>
      <c r="Z166" s="281"/>
      <c r="AA166" s="281"/>
      <c r="AB166" s="281"/>
      <c r="AC166" s="281"/>
      <c r="AD166" s="281"/>
    </row>
    <row r="167">
      <c r="A167" s="484">
        <v>2.0</v>
      </c>
      <c r="B167" s="147"/>
      <c r="C167" s="485" t="s">
        <v>581</v>
      </c>
      <c r="D167" s="484" t="s">
        <v>341</v>
      </c>
      <c r="E167" s="147"/>
      <c r="F167" s="147"/>
      <c r="G167" s="485" t="s">
        <v>175</v>
      </c>
      <c r="H167" s="486">
        <v>120.0</v>
      </c>
      <c r="I167" s="681" t="str">
        <f t="shared" ref="I167:I168" si="26">I28</f>
        <v>70</v>
      </c>
      <c r="J167" s="155">
        <f t="shared" ref="J167:J169" si="27">H167*I167</f>
        <v>8400</v>
      </c>
      <c r="K167" s="484" t="s">
        <v>829</v>
      </c>
      <c r="L167" s="148"/>
      <c r="M167" s="148"/>
      <c r="N167" s="148"/>
      <c r="O167" s="148"/>
      <c r="P167" s="148"/>
      <c r="Q167" s="148"/>
      <c r="R167" s="148"/>
      <c r="S167" s="148"/>
      <c r="T167" s="148"/>
      <c r="U167" s="148"/>
      <c r="V167" s="148"/>
      <c r="W167" s="148"/>
      <c r="X167" s="148"/>
      <c r="Y167" s="148"/>
      <c r="Z167" s="148"/>
      <c r="AA167" s="148"/>
      <c r="AB167" s="148"/>
      <c r="AC167" s="148"/>
      <c r="AD167" s="148"/>
    </row>
    <row r="168">
      <c r="A168" s="419">
        <v>3.0</v>
      </c>
      <c r="B168" s="147"/>
      <c r="C168" s="485" t="s">
        <v>340</v>
      </c>
      <c r="D168" s="485" t="s">
        <v>647</v>
      </c>
      <c r="E168" s="147"/>
      <c r="F168" s="147"/>
      <c r="G168" s="485" t="s">
        <v>175</v>
      </c>
      <c r="H168" s="682">
        <v>100.0</v>
      </c>
      <c r="I168" s="681" t="str">
        <f t="shared" si="26"/>
        <v>252</v>
      </c>
      <c r="J168" s="155">
        <f t="shared" si="27"/>
        <v>25200</v>
      </c>
      <c r="K168" s="484" t="s">
        <v>830</v>
      </c>
      <c r="L168" s="148"/>
      <c r="M168" s="148"/>
      <c r="N168" s="148"/>
      <c r="O168" s="148"/>
      <c r="P168" s="148"/>
      <c r="Q168" s="148"/>
      <c r="R168" s="148"/>
      <c r="S168" s="148"/>
      <c r="T168" s="148"/>
      <c r="U168" s="148"/>
      <c r="V168" s="148"/>
      <c r="W168" s="148"/>
      <c r="X168" s="148"/>
      <c r="Y168" s="148"/>
      <c r="Z168" s="148"/>
      <c r="AA168" s="148"/>
      <c r="AB168" s="148"/>
      <c r="AC168" s="148"/>
      <c r="AD168" s="148"/>
    </row>
    <row r="169">
      <c r="A169" s="484">
        <v>4.0</v>
      </c>
      <c r="B169" s="147"/>
      <c r="C169" s="485" t="s">
        <v>345</v>
      </c>
      <c r="D169" s="484" t="s">
        <v>346</v>
      </c>
      <c r="E169" s="488" t="s">
        <v>347</v>
      </c>
      <c r="F169" s="147"/>
      <c r="G169" s="485" t="s">
        <v>175</v>
      </c>
      <c r="H169" s="486">
        <v>400.0</v>
      </c>
      <c r="I169" s="487" t="s">
        <v>348</v>
      </c>
      <c r="J169" s="155">
        <f t="shared" si="27"/>
        <v>40000</v>
      </c>
      <c r="K169" s="484" t="s">
        <v>349</v>
      </c>
      <c r="L169" s="148"/>
      <c r="M169" s="148"/>
      <c r="N169" s="148"/>
      <c r="O169" s="148"/>
      <c r="P169" s="148"/>
      <c r="Q169" s="148"/>
      <c r="R169" s="148"/>
      <c r="S169" s="148"/>
      <c r="T169" s="148"/>
      <c r="U169" s="148"/>
      <c r="V169" s="148"/>
      <c r="W169" s="148"/>
      <c r="X169" s="148"/>
      <c r="Y169" s="148"/>
      <c r="Z169" s="148"/>
      <c r="AA169" s="148"/>
      <c r="AB169" s="148"/>
      <c r="AC169" s="148"/>
      <c r="AD169" s="148"/>
    </row>
    <row r="170">
      <c r="A170" s="671">
        <v>5.0</v>
      </c>
      <c r="B170" s="683"/>
      <c r="C170" s="684" t="s">
        <v>831</v>
      </c>
      <c r="D170" s="685"/>
      <c r="E170" s="683"/>
      <c r="F170" s="683"/>
      <c r="G170" s="686" t="s">
        <v>339</v>
      </c>
      <c r="H170" s="687"/>
      <c r="I170" s="688" t="s">
        <v>16</v>
      </c>
      <c r="J170" s="689">
        <f t="shared" ref="J170:J179" si="28">(H170*I170)</f>
        <v>0</v>
      </c>
      <c r="K170" s="690" t="s">
        <v>578</v>
      </c>
      <c r="L170" s="148"/>
      <c r="M170" s="148"/>
      <c r="N170" s="148"/>
      <c r="O170" s="148"/>
      <c r="P170" s="148"/>
      <c r="Q170" s="148"/>
      <c r="R170" s="148"/>
      <c r="S170" s="148"/>
      <c r="T170" s="148"/>
      <c r="U170" s="148"/>
      <c r="V170" s="148"/>
      <c r="W170" s="148"/>
      <c r="X170" s="148"/>
      <c r="Y170" s="148"/>
      <c r="Z170" s="148"/>
      <c r="AA170" s="148"/>
      <c r="AB170" s="148"/>
      <c r="AC170" s="148"/>
      <c r="AD170" s="148"/>
    </row>
    <row r="171">
      <c r="A171" s="691">
        <v>6.0</v>
      </c>
      <c r="B171" s="683"/>
      <c r="C171" s="684" t="s">
        <v>832</v>
      </c>
      <c r="D171" s="685"/>
      <c r="E171" s="683"/>
      <c r="F171" s="692" t="s">
        <v>833</v>
      </c>
      <c r="G171" s="686" t="s">
        <v>339</v>
      </c>
      <c r="H171" s="687"/>
      <c r="I171" s="688" t="s">
        <v>16</v>
      </c>
      <c r="J171" s="689">
        <f t="shared" si="28"/>
        <v>0</v>
      </c>
      <c r="K171" s="690" t="s">
        <v>156</v>
      </c>
      <c r="L171" s="148"/>
      <c r="M171" s="148"/>
      <c r="N171" s="148"/>
      <c r="O171" s="148"/>
      <c r="P171" s="148"/>
      <c r="Q171" s="148"/>
      <c r="R171" s="148"/>
      <c r="S171" s="148"/>
      <c r="T171" s="148"/>
      <c r="U171" s="148"/>
      <c r="V171" s="148"/>
      <c r="W171" s="148"/>
      <c r="X171" s="148"/>
      <c r="Y171" s="148"/>
      <c r="Z171" s="148"/>
      <c r="AA171" s="148"/>
      <c r="AB171" s="148"/>
      <c r="AC171" s="148"/>
      <c r="AD171" s="148"/>
    </row>
    <row r="172">
      <c r="A172" s="671">
        <v>7.0</v>
      </c>
      <c r="B172" s="683"/>
      <c r="C172" s="684" t="s">
        <v>834</v>
      </c>
      <c r="D172" s="685"/>
      <c r="E172" s="683"/>
      <c r="F172" s="683"/>
      <c r="G172" s="686" t="s">
        <v>339</v>
      </c>
      <c r="H172" s="687">
        <v>30000.0</v>
      </c>
      <c r="I172" s="688" t="s">
        <v>729</v>
      </c>
      <c r="J172" s="689">
        <f t="shared" si="28"/>
        <v>0</v>
      </c>
      <c r="K172" s="690" t="s">
        <v>156</v>
      </c>
      <c r="L172" s="148"/>
      <c r="M172" s="148"/>
      <c r="N172" s="148"/>
      <c r="O172" s="148"/>
      <c r="P172" s="148"/>
      <c r="Q172" s="148"/>
      <c r="R172" s="148"/>
      <c r="S172" s="148"/>
      <c r="T172" s="148"/>
      <c r="U172" s="148"/>
      <c r="V172" s="148"/>
      <c r="W172" s="148"/>
      <c r="X172" s="148"/>
      <c r="Y172" s="148"/>
      <c r="Z172" s="148"/>
      <c r="AA172" s="148"/>
      <c r="AB172" s="148"/>
      <c r="AC172" s="148"/>
      <c r="AD172" s="148"/>
    </row>
    <row r="173">
      <c r="A173" s="671">
        <v>8.0</v>
      </c>
      <c r="B173" s="683"/>
      <c r="C173" s="684" t="s">
        <v>649</v>
      </c>
      <c r="D173" s="685"/>
      <c r="E173" s="683"/>
      <c r="F173" s="683"/>
      <c r="G173" s="686" t="s">
        <v>339</v>
      </c>
      <c r="H173" s="687">
        <v>75000.0</v>
      </c>
      <c r="I173" s="688" t="s">
        <v>729</v>
      </c>
      <c r="J173" s="689">
        <f t="shared" si="28"/>
        <v>0</v>
      </c>
      <c r="K173" s="690" t="s">
        <v>360</v>
      </c>
      <c r="L173" s="148"/>
      <c r="M173" s="148"/>
      <c r="N173" s="148"/>
      <c r="O173" s="148"/>
      <c r="P173" s="148"/>
      <c r="Q173" s="148"/>
      <c r="R173" s="148"/>
      <c r="S173" s="148"/>
      <c r="T173" s="148"/>
      <c r="U173" s="148"/>
      <c r="V173" s="148"/>
      <c r="W173" s="148"/>
      <c r="X173" s="148"/>
      <c r="Y173" s="148"/>
      <c r="Z173" s="148"/>
      <c r="AA173" s="148"/>
      <c r="AB173" s="148"/>
      <c r="AC173" s="148"/>
      <c r="AD173" s="148"/>
    </row>
    <row r="174">
      <c r="A174" s="691">
        <v>9.0</v>
      </c>
      <c r="B174" s="683"/>
      <c r="C174" s="684" t="s">
        <v>650</v>
      </c>
      <c r="D174" s="685"/>
      <c r="E174" s="683"/>
      <c r="F174" s="683"/>
      <c r="G174" s="686" t="s">
        <v>339</v>
      </c>
      <c r="H174" s="687">
        <v>50000.0</v>
      </c>
      <c r="I174" s="688" t="s">
        <v>27</v>
      </c>
      <c r="J174" s="689">
        <f t="shared" si="28"/>
        <v>200000</v>
      </c>
      <c r="K174" s="690" t="s">
        <v>361</v>
      </c>
      <c r="L174" s="148"/>
      <c r="M174" s="148"/>
      <c r="N174" s="148"/>
      <c r="O174" s="148"/>
      <c r="P174" s="148"/>
      <c r="Q174" s="148"/>
      <c r="R174" s="148"/>
      <c r="S174" s="148"/>
      <c r="T174" s="148"/>
      <c r="U174" s="148"/>
      <c r="V174" s="148"/>
      <c r="W174" s="148"/>
      <c r="X174" s="148"/>
      <c r="Y174" s="148"/>
      <c r="Z174" s="148"/>
      <c r="AA174" s="148"/>
      <c r="AB174" s="148"/>
      <c r="AC174" s="148"/>
      <c r="AD174" s="148"/>
    </row>
    <row r="175">
      <c r="A175" s="419">
        <v>10.0</v>
      </c>
      <c r="B175" s="497"/>
      <c r="C175" s="498" t="s">
        <v>651</v>
      </c>
      <c r="D175" s="499"/>
      <c r="E175" s="497"/>
      <c r="F175" s="497"/>
      <c r="G175" s="500" t="s">
        <v>339</v>
      </c>
      <c r="H175" s="501">
        <v>25000.0</v>
      </c>
      <c r="I175" s="421" t="s">
        <v>18</v>
      </c>
      <c r="J175" s="483">
        <f t="shared" si="28"/>
        <v>50000</v>
      </c>
      <c r="K175" s="693" t="s">
        <v>361</v>
      </c>
      <c r="L175" s="148"/>
      <c r="M175" s="148"/>
      <c r="N175" s="148"/>
      <c r="O175" s="148"/>
      <c r="P175" s="148"/>
      <c r="Q175" s="148"/>
      <c r="R175" s="148"/>
      <c r="S175" s="148"/>
      <c r="T175" s="148"/>
      <c r="U175" s="148"/>
      <c r="V175" s="148"/>
      <c r="W175" s="148"/>
      <c r="X175" s="148"/>
      <c r="Y175" s="148"/>
      <c r="Z175" s="148"/>
      <c r="AA175" s="148"/>
      <c r="AB175" s="148"/>
      <c r="AC175" s="148"/>
      <c r="AD175" s="148"/>
    </row>
    <row r="176">
      <c r="A176" s="419">
        <v>11.0</v>
      </c>
      <c r="B176" s="457"/>
      <c r="C176" s="671" t="s">
        <v>835</v>
      </c>
      <c r="D176" s="694"/>
      <c r="E176" s="694"/>
      <c r="F176" s="694"/>
      <c r="G176" s="686" t="s">
        <v>339</v>
      </c>
      <c r="H176" s="687">
        <v>50000.0</v>
      </c>
      <c r="I176" s="688" t="s">
        <v>16</v>
      </c>
      <c r="J176" s="689">
        <f t="shared" si="28"/>
        <v>50000</v>
      </c>
      <c r="K176" s="695" t="s">
        <v>145</v>
      </c>
      <c r="L176" s="281"/>
      <c r="M176" s="281"/>
      <c r="N176" s="281"/>
      <c r="O176" s="281"/>
      <c r="P176" s="281"/>
      <c r="Q176" s="281"/>
      <c r="R176" s="281"/>
      <c r="S176" s="281"/>
      <c r="T176" s="281"/>
      <c r="U176" s="281"/>
      <c r="V176" s="281"/>
      <c r="W176" s="281"/>
      <c r="X176" s="281"/>
      <c r="Y176" s="281"/>
      <c r="Z176" s="281"/>
      <c r="AA176" s="281"/>
      <c r="AB176" s="281"/>
      <c r="AC176" s="281"/>
      <c r="AD176" s="281"/>
    </row>
    <row r="177">
      <c r="A177" s="484">
        <v>12.0</v>
      </c>
      <c r="B177" s="457"/>
      <c r="C177" s="506" t="s">
        <v>652</v>
      </c>
      <c r="D177" s="500" t="s">
        <v>653</v>
      </c>
      <c r="E177" s="474"/>
      <c r="F177" s="474"/>
      <c r="G177" s="500" t="s">
        <v>339</v>
      </c>
      <c r="H177" s="501">
        <v>60000.0</v>
      </c>
      <c r="I177" s="421" t="s">
        <v>16</v>
      </c>
      <c r="J177" s="483">
        <f t="shared" si="28"/>
        <v>60000</v>
      </c>
      <c r="K177" s="532" t="s">
        <v>145</v>
      </c>
      <c r="L177" s="507"/>
      <c r="M177" s="281"/>
      <c r="N177" s="281"/>
      <c r="O177" s="281"/>
      <c r="P177" s="281"/>
      <c r="Q177" s="281"/>
      <c r="R177" s="281"/>
      <c r="S177" s="281"/>
      <c r="T177" s="281"/>
      <c r="U177" s="281"/>
      <c r="V177" s="281"/>
      <c r="W177" s="281"/>
      <c r="X177" s="281"/>
      <c r="Y177" s="281"/>
      <c r="Z177" s="281"/>
      <c r="AA177" s="281"/>
      <c r="AB177" s="281"/>
      <c r="AC177" s="281"/>
      <c r="AD177" s="281"/>
    </row>
    <row r="178">
      <c r="A178" s="419">
        <v>13.0</v>
      </c>
      <c r="B178" s="457"/>
      <c r="C178" s="413" t="s">
        <v>365</v>
      </c>
      <c r="D178" s="480"/>
      <c r="E178" s="480"/>
      <c r="F178" s="508" t="s">
        <v>366</v>
      </c>
      <c r="G178" s="476" t="s">
        <v>367</v>
      </c>
      <c r="H178" s="482">
        <v>800.0</v>
      </c>
      <c r="I178" s="453">
        <f>5.5*7</f>
        <v>38.5</v>
      </c>
      <c r="J178" s="483">
        <f t="shared" si="28"/>
        <v>30800</v>
      </c>
      <c r="K178" s="532" t="s">
        <v>369</v>
      </c>
      <c r="L178" s="281"/>
      <c r="M178" s="281"/>
      <c r="N178" s="281"/>
      <c r="O178" s="281"/>
      <c r="P178" s="281"/>
      <c r="Q178" s="281"/>
      <c r="R178" s="281"/>
      <c r="S178" s="281"/>
      <c r="T178" s="281"/>
      <c r="U178" s="281"/>
      <c r="V178" s="281"/>
      <c r="W178" s="281"/>
      <c r="X178" s="281"/>
      <c r="Y178" s="281"/>
      <c r="Z178" s="281"/>
      <c r="AA178" s="281"/>
      <c r="AB178" s="281"/>
      <c r="AC178" s="281"/>
      <c r="AD178" s="281"/>
    </row>
    <row r="179">
      <c r="A179" s="419">
        <v>14.0</v>
      </c>
      <c r="B179" s="457"/>
      <c r="C179" s="413" t="s">
        <v>654</v>
      </c>
      <c r="D179" s="480"/>
      <c r="E179" s="480"/>
      <c r="F179" s="508"/>
      <c r="G179" s="476" t="s">
        <v>367</v>
      </c>
      <c r="H179" s="509">
        <v>50.0</v>
      </c>
      <c r="I179" s="453" t="s">
        <v>571</v>
      </c>
      <c r="J179" s="483">
        <f t="shared" si="28"/>
        <v>7000</v>
      </c>
      <c r="K179" s="532" t="s">
        <v>655</v>
      </c>
      <c r="L179" s="281"/>
      <c r="M179" s="281"/>
      <c r="N179" s="281"/>
      <c r="O179" s="281"/>
      <c r="P179" s="281"/>
      <c r="Q179" s="281"/>
      <c r="R179" s="281"/>
      <c r="S179" s="281"/>
      <c r="T179" s="281"/>
      <c r="U179" s="281"/>
      <c r="V179" s="281"/>
      <c r="W179" s="281"/>
      <c r="X179" s="281"/>
      <c r="Y179" s="281"/>
      <c r="Z179" s="281"/>
      <c r="AA179" s="281"/>
      <c r="AB179" s="281"/>
      <c r="AC179" s="281"/>
      <c r="AD179" s="281"/>
    </row>
    <row r="180">
      <c r="A180" s="618"/>
      <c r="B180" s="457"/>
      <c r="C180" s="457"/>
      <c r="D180" s="457"/>
      <c r="E180" s="457"/>
      <c r="F180" s="457"/>
      <c r="G180" s="457"/>
      <c r="H180" s="415"/>
      <c r="I180" s="369" t="s">
        <v>125</v>
      </c>
      <c r="J180" s="479">
        <f>SUM(J166:J179)</f>
        <v>531400</v>
      </c>
      <c r="K180" s="457"/>
      <c r="L180" s="281"/>
      <c r="M180" s="281"/>
      <c r="N180" s="281"/>
      <c r="O180" s="281"/>
      <c r="P180" s="281"/>
      <c r="Q180" s="281"/>
      <c r="R180" s="281"/>
      <c r="S180" s="281"/>
      <c r="T180" s="281"/>
      <c r="U180" s="281"/>
      <c r="V180" s="281"/>
      <c r="W180" s="281"/>
      <c r="X180" s="281"/>
      <c r="Y180" s="281"/>
      <c r="Z180" s="281"/>
      <c r="AA180" s="281"/>
      <c r="AB180" s="281"/>
      <c r="AC180" s="281"/>
      <c r="AD180" s="281"/>
    </row>
    <row r="181">
      <c r="A181" s="281"/>
      <c r="B181" s="281"/>
      <c r="C181" s="281"/>
      <c r="D181" s="281"/>
      <c r="E181" s="281"/>
      <c r="F181" s="281"/>
      <c r="G181" s="281"/>
      <c r="H181" s="282"/>
      <c r="I181" s="283"/>
      <c r="J181" s="282"/>
      <c r="K181" s="281"/>
      <c r="L181" s="281"/>
      <c r="M181" s="281"/>
      <c r="N181" s="281"/>
      <c r="O181" s="281"/>
      <c r="P181" s="281"/>
      <c r="Q181" s="281"/>
      <c r="R181" s="281"/>
      <c r="S181" s="281"/>
      <c r="T181" s="281"/>
      <c r="U181" s="281"/>
      <c r="V181" s="281"/>
      <c r="W181" s="281"/>
      <c r="X181" s="281"/>
      <c r="Y181" s="281"/>
      <c r="Z181" s="281"/>
      <c r="AA181" s="281"/>
      <c r="AB181" s="281"/>
      <c r="AC181" s="281"/>
      <c r="AD181" s="281"/>
    </row>
    <row r="182">
      <c r="A182" s="281"/>
      <c r="B182" s="281"/>
      <c r="C182" s="696" t="s">
        <v>836</v>
      </c>
      <c r="D182" s="281"/>
      <c r="E182" s="696" t="s">
        <v>837</v>
      </c>
      <c r="F182" s="281"/>
      <c r="G182" s="281"/>
      <c r="H182" s="282"/>
      <c r="I182" s="283"/>
      <c r="J182" s="282"/>
      <c r="K182" s="281"/>
      <c r="L182" s="281"/>
      <c r="M182" s="281"/>
      <c r="N182" s="281"/>
      <c r="O182" s="281"/>
      <c r="P182" s="281"/>
      <c r="Q182" s="281"/>
      <c r="R182" s="281"/>
      <c r="S182" s="281"/>
      <c r="T182" s="281"/>
      <c r="U182" s="281"/>
      <c r="V182" s="281"/>
      <c r="W182" s="281"/>
      <c r="X182" s="281"/>
      <c r="Y182" s="281"/>
      <c r="Z182" s="281"/>
      <c r="AA182" s="281"/>
      <c r="AB182" s="281"/>
      <c r="AC182" s="281"/>
      <c r="AD182" s="281"/>
    </row>
    <row r="183">
      <c r="A183" s="281"/>
      <c r="B183" s="281"/>
      <c r="D183" s="281"/>
      <c r="E183" s="696" t="s">
        <v>838</v>
      </c>
      <c r="F183" s="281"/>
      <c r="G183" s="281"/>
      <c r="H183" s="282"/>
      <c r="I183" s="283"/>
      <c r="J183" s="282"/>
      <c r="K183" s="281"/>
      <c r="L183" s="281"/>
      <c r="M183" s="281"/>
      <c r="N183" s="281"/>
      <c r="O183" s="281"/>
      <c r="P183" s="281"/>
      <c r="Q183" s="281"/>
      <c r="R183" s="281"/>
      <c r="S183" s="281"/>
      <c r="T183" s="281"/>
      <c r="U183" s="281"/>
      <c r="V183" s="281"/>
      <c r="W183" s="281"/>
      <c r="X183" s="281"/>
      <c r="Y183" s="281"/>
      <c r="Z183" s="281"/>
      <c r="AA183" s="281"/>
      <c r="AB183" s="281"/>
      <c r="AC183" s="281"/>
      <c r="AD183" s="281"/>
    </row>
    <row r="184">
      <c r="A184" s="281"/>
      <c r="B184" s="281"/>
      <c r="C184" s="696" t="s">
        <v>349</v>
      </c>
      <c r="D184" s="281"/>
      <c r="E184" s="293" t="s">
        <v>839</v>
      </c>
      <c r="F184" s="281"/>
      <c r="G184" s="281"/>
      <c r="H184" s="282"/>
      <c r="I184" s="283"/>
      <c r="J184" s="282"/>
      <c r="K184" s="281"/>
      <c r="L184" s="281"/>
      <c r="M184" s="281"/>
      <c r="N184" s="281"/>
      <c r="O184" s="281"/>
      <c r="P184" s="281"/>
      <c r="Q184" s="281"/>
      <c r="R184" s="281"/>
      <c r="S184" s="281"/>
      <c r="T184" s="281"/>
      <c r="U184" s="281"/>
      <c r="V184" s="281"/>
      <c r="W184" s="281"/>
      <c r="X184" s="281"/>
      <c r="Y184" s="281"/>
      <c r="Z184" s="281"/>
      <c r="AA184" s="281"/>
      <c r="AB184" s="281"/>
      <c r="AC184" s="281"/>
      <c r="AD184" s="281"/>
    </row>
    <row r="185">
      <c r="A185" s="281"/>
      <c r="B185" s="281"/>
      <c r="C185" s="696" t="s">
        <v>362</v>
      </c>
      <c r="D185" s="281"/>
      <c r="E185" s="293" t="s">
        <v>840</v>
      </c>
      <c r="F185" s="281"/>
      <c r="G185" s="281"/>
      <c r="H185" s="282"/>
      <c r="I185" s="283"/>
      <c r="J185" s="282"/>
      <c r="K185" s="281"/>
      <c r="L185" s="281"/>
      <c r="M185" s="281"/>
      <c r="N185" s="281"/>
      <c r="O185" s="281"/>
      <c r="P185" s="281"/>
      <c r="Q185" s="281"/>
      <c r="R185" s="281"/>
      <c r="S185" s="281"/>
      <c r="T185" s="281"/>
      <c r="U185" s="281"/>
      <c r="V185" s="281"/>
      <c r="W185" s="281"/>
      <c r="X185" s="281"/>
      <c r="Y185" s="281"/>
      <c r="Z185" s="281"/>
      <c r="AA185" s="281"/>
      <c r="AB185" s="281"/>
      <c r="AC185" s="281"/>
      <c r="AD185" s="281"/>
    </row>
    <row r="186">
      <c r="A186" s="281"/>
      <c r="B186" s="281"/>
      <c r="C186" s="281"/>
      <c r="D186" s="281"/>
      <c r="E186" s="293" t="s">
        <v>841</v>
      </c>
      <c r="F186" s="281"/>
      <c r="G186" s="281"/>
      <c r="H186" s="282"/>
      <c r="I186" s="283"/>
      <c r="J186" s="282"/>
      <c r="K186" s="281"/>
      <c r="L186" s="281"/>
      <c r="M186" s="281"/>
      <c r="N186" s="281"/>
      <c r="O186" s="281"/>
      <c r="P186" s="281"/>
      <c r="Q186" s="281"/>
      <c r="R186" s="281"/>
      <c r="S186" s="281"/>
      <c r="T186" s="281"/>
      <c r="U186" s="281"/>
      <c r="V186" s="281"/>
      <c r="W186" s="281"/>
      <c r="X186" s="281"/>
      <c r="Y186" s="281"/>
      <c r="Z186" s="281"/>
      <c r="AA186" s="281"/>
      <c r="AB186" s="281"/>
      <c r="AC186" s="281"/>
      <c r="AD186" s="281"/>
    </row>
    <row r="187">
      <c r="A187" s="281"/>
      <c r="B187" s="281"/>
      <c r="C187" s="281"/>
      <c r="D187" s="281"/>
      <c r="E187" s="696" t="s">
        <v>842</v>
      </c>
      <c r="F187" s="281"/>
      <c r="G187" s="281"/>
      <c r="H187" s="282"/>
      <c r="I187" s="283"/>
      <c r="J187" s="282"/>
      <c r="K187" s="281"/>
      <c r="L187" s="281"/>
      <c r="M187" s="281"/>
      <c r="N187" s="281"/>
      <c r="O187" s="281"/>
      <c r="P187" s="281"/>
      <c r="Q187" s="281"/>
      <c r="R187" s="281"/>
      <c r="S187" s="281"/>
      <c r="T187" s="281"/>
      <c r="U187" s="281"/>
      <c r="V187" s="281"/>
      <c r="W187" s="281"/>
      <c r="X187" s="281"/>
      <c r="Y187" s="281"/>
      <c r="Z187" s="281"/>
      <c r="AA187" s="281"/>
      <c r="AB187" s="281"/>
      <c r="AC187" s="281"/>
      <c r="AD187" s="281"/>
    </row>
    <row r="188">
      <c r="A188" s="281"/>
      <c r="B188" s="281"/>
      <c r="C188" s="281"/>
      <c r="D188" s="281"/>
      <c r="E188" s="281"/>
      <c r="F188" s="281"/>
      <c r="G188" s="281"/>
      <c r="H188" s="282"/>
      <c r="I188" s="283"/>
      <c r="J188" s="282"/>
      <c r="K188" s="281"/>
      <c r="L188" s="281"/>
      <c r="M188" s="281"/>
      <c r="N188" s="281"/>
      <c r="O188" s="281"/>
      <c r="P188" s="281"/>
      <c r="Q188" s="281"/>
      <c r="R188" s="281"/>
      <c r="S188" s="281"/>
      <c r="T188" s="281"/>
      <c r="U188" s="281"/>
      <c r="V188" s="281"/>
      <c r="W188" s="281"/>
      <c r="X188" s="281"/>
      <c r="Y188" s="281"/>
      <c r="Z188" s="281"/>
      <c r="AA188" s="281"/>
      <c r="AB188" s="281"/>
      <c r="AC188" s="281"/>
      <c r="AD188" s="281"/>
    </row>
    <row r="189">
      <c r="A189" s="281"/>
      <c r="B189" s="281"/>
      <c r="C189" s="696" t="s">
        <v>843</v>
      </c>
      <c r="D189" s="281"/>
      <c r="E189" s="696" t="s">
        <v>844</v>
      </c>
      <c r="F189" s="281"/>
      <c r="G189" s="281"/>
      <c r="H189" s="282"/>
      <c r="I189" s="283"/>
      <c r="J189" s="282"/>
      <c r="K189" s="281"/>
      <c r="L189" s="281"/>
      <c r="M189" s="281"/>
      <c r="N189" s="281"/>
      <c r="O189" s="281"/>
      <c r="P189" s="281"/>
      <c r="Q189" s="281"/>
      <c r="R189" s="281"/>
      <c r="S189" s="281"/>
      <c r="T189" s="281"/>
      <c r="U189" s="281"/>
      <c r="V189" s="281"/>
      <c r="W189" s="281"/>
      <c r="X189" s="281"/>
      <c r="Y189" s="281"/>
      <c r="Z189" s="281"/>
      <c r="AA189" s="281"/>
      <c r="AB189" s="281"/>
      <c r="AC189" s="281"/>
      <c r="AD189" s="281"/>
    </row>
    <row r="190">
      <c r="A190" s="281"/>
      <c r="B190" s="281"/>
      <c r="C190" s="696" t="s">
        <v>845</v>
      </c>
      <c r="D190" s="281"/>
      <c r="E190" s="696" t="s">
        <v>846</v>
      </c>
      <c r="F190" s="281"/>
      <c r="G190" s="281"/>
      <c r="H190" s="282"/>
      <c r="I190" s="283"/>
      <c r="J190" s="282"/>
      <c r="K190" s="281"/>
      <c r="L190" s="281"/>
      <c r="M190" s="281"/>
      <c r="N190" s="281"/>
      <c r="O190" s="281"/>
      <c r="P190" s="281"/>
      <c r="Q190" s="281"/>
      <c r="R190" s="281"/>
      <c r="S190" s="281"/>
      <c r="T190" s="281"/>
      <c r="U190" s="281"/>
      <c r="V190" s="281"/>
      <c r="W190" s="281"/>
      <c r="X190" s="281"/>
      <c r="Y190" s="281"/>
      <c r="Z190" s="281"/>
      <c r="AA190" s="281"/>
      <c r="AB190" s="281"/>
      <c r="AC190" s="281"/>
      <c r="AD190" s="281"/>
    </row>
    <row r="191">
      <c r="A191" s="281"/>
      <c r="B191" s="281"/>
      <c r="C191" s="281"/>
      <c r="D191" s="281"/>
      <c r="E191" s="696" t="s">
        <v>847</v>
      </c>
      <c r="F191" s="281"/>
      <c r="G191" s="281"/>
      <c r="H191" s="282"/>
      <c r="I191" s="283"/>
      <c r="J191" s="282"/>
      <c r="K191" s="281"/>
      <c r="L191" s="281"/>
      <c r="M191" s="281"/>
      <c r="N191" s="281"/>
      <c r="O191" s="281"/>
      <c r="P191" s="281"/>
      <c r="Q191" s="281"/>
      <c r="R191" s="281"/>
      <c r="S191" s="281"/>
      <c r="T191" s="281"/>
      <c r="U191" s="281"/>
      <c r="V191" s="281"/>
      <c r="W191" s="281"/>
      <c r="X191" s="281"/>
      <c r="Y191" s="281"/>
      <c r="Z191" s="281"/>
      <c r="AA191" s="281"/>
      <c r="AB191" s="281"/>
      <c r="AC191" s="281"/>
      <c r="AD191" s="281"/>
    </row>
    <row r="192">
      <c r="A192" s="281"/>
      <c r="B192" s="281"/>
      <c r="C192" s="281"/>
      <c r="D192" s="281"/>
      <c r="E192" s="696" t="s">
        <v>848</v>
      </c>
      <c r="F192" s="281"/>
      <c r="G192" s="281"/>
      <c r="H192" s="282"/>
      <c r="I192" s="283"/>
      <c r="J192" s="282"/>
      <c r="K192" s="281"/>
      <c r="L192" s="281"/>
      <c r="M192" s="281"/>
      <c r="N192" s="281"/>
      <c r="O192" s="281"/>
      <c r="P192" s="281"/>
      <c r="Q192" s="281"/>
      <c r="R192" s="281"/>
      <c r="S192" s="281"/>
      <c r="T192" s="281"/>
      <c r="U192" s="281"/>
      <c r="V192" s="281"/>
      <c r="W192" s="281"/>
      <c r="X192" s="281"/>
      <c r="Y192" s="281"/>
      <c r="Z192" s="281"/>
      <c r="AA192" s="281"/>
      <c r="AB192" s="281"/>
      <c r="AC192" s="281"/>
      <c r="AD192" s="281"/>
    </row>
    <row r="193">
      <c r="A193" s="281"/>
      <c r="B193" s="281"/>
      <c r="C193" s="281"/>
      <c r="D193" s="281"/>
      <c r="E193" s="696" t="s">
        <v>849</v>
      </c>
      <c r="F193" s="281"/>
      <c r="G193" s="281"/>
      <c r="H193" s="282"/>
      <c r="I193" s="283"/>
      <c r="J193" s="282"/>
      <c r="K193" s="281"/>
      <c r="L193" s="281"/>
      <c r="M193" s="281"/>
      <c r="N193" s="281"/>
      <c r="O193" s="281"/>
      <c r="P193" s="281"/>
      <c r="Q193" s="281"/>
      <c r="R193" s="281"/>
      <c r="S193" s="281"/>
      <c r="T193" s="281"/>
      <c r="U193" s="281"/>
      <c r="V193" s="281"/>
      <c r="W193" s="281"/>
      <c r="X193" s="281"/>
      <c r="Y193" s="281"/>
      <c r="Z193" s="281"/>
      <c r="AA193" s="281"/>
      <c r="AB193" s="281"/>
      <c r="AC193" s="281"/>
      <c r="AD193" s="281"/>
    </row>
    <row r="194">
      <c r="A194" s="281"/>
      <c r="B194" s="281"/>
      <c r="C194" s="281"/>
      <c r="D194" s="281"/>
      <c r="E194" s="293" t="s">
        <v>850</v>
      </c>
      <c r="F194" s="281"/>
      <c r="G194" s="281"/>
      <c r="H194" s="282"/>
      <c r="I194" s="283"/>
      <c r="J194" s="282"/>
      <c r="K194" s="281"/>
      <c r="L194" s="281"/>
      <c r="M194" s="281"/>
      <c r="N194" s="281"/>
      <c r="O194" s="281"/>
      <c r="P194" s="281"/>
      <c r="Q194" s="281"/>
      <c r="R194" s="281"/>
      <c r="S194" s="281"/>
      <c r="T194" s="281"/>
      <c r="U194" s="281"/>
      <c r="V194" s="281"/>
      <c r="W194" s="281"/>
      <c r="X194" s="281"/>
      <c r="Y194" s="281"/>
      <c r="Z194" s="281"/>
      <c r="AA194" s="281"/>
      <c r="AB194" s="281"/>
      <c r="AC194" s="281"/>
      <c r="AD194" s="281"/>
    </row>
    <row r="195">
      <c r="A195" s="281"/>
      <c r="B195" s="281"/>
      <c r="C195" s="281"/>
      <c r="D195" s="281"/>
      <c r="E195" s="281"/>
      <c r="F195" s="281"/>
      <c r="G195" s="281"/>
      <c r="H195" s="510"/>
      <c r="I195" s="511"/>
      <c r="J195" s="510"/>
      <c r="K195" s="281"/>
      <c r="L195" s="281"/>
      <c r="M195" s="281"/>
      <c r="N195" s="281"/>
      <c r="O195" s="281"/>
      <c r="P195" s="281"/>
      <c r="Q195" s="281"/>
      <c r="R195" s="281"/>
      <c r="S195" s="281"/>
      <c r="T195" s="281"/>
      <c r="U195" s="281"/>
      <c r="V195" s="281"/>
      <c r="W195" s="281"/>
      <c r="X195" s="281"/>
      <c r="Y195" s="281"/>
      <c r="Z195" s="281"/>
      <c r="AA195" s="281"/>
      <c r="AB195" s="281"/>
      <c r="AC195" s="281"/>
      <c r="AD195" s="281"/>
    </row>
  </sheetData>
  <mergeCells count="22">
    <mergeCell ref="A2:K4"/>
    <mergeCell ref="B6:D6"/>
    <mergeCell ref="F6:K6"/>
    <mergeCell ref="B7:D7"/>
    <mergeCell ref="F7:K7"/>
    <mergeCell ref="B8:D8"/>
    <mergeCell ref="F8:K8"/>
    <mergeCell ref="G16:I16"/>
    <mergeCell ref="G17:I17"/>
    <mergeCell ref="B18:C18"/>
    <mergeCell ref="G18:I18"/>
    <mergeCell ref="B19:C19"/>
    <mergeCell ref="B20:C20"/>
    <mergeCell ref="B21:C21"/>
    <mergeCell ref="B22:C22"/>
    <mergeCell ref="A10:D10"/>
    <mergeCell ref="B11:C11"/>
    <mergeCell ref="B12:C12"/>
    <mergeCell ref="G14:H14"/>
    <mergeCell ref="B15:C15"/>
    <mergeCell ref="G15:I15"/>
    <mergeCell ref="B17:C17"/>
  </mergeCells>
  <dataValidations>
    <dataValidation type="list" allowBlank="1" showDropDown="1" showErrorMessage="1" sqref="B26:B35 B38 B43:B48 B52:B61 B63:B67 B69:B72 B74:B84 B86:B96 B98:B100 B102:B105 B107 B110:B111 B114:B116">
      <formula1>'Rate card'!$A$4:$A195</formula1>
    </dataValidation>
    <dataValidation type="list" allowBlank="1" showDropDown="1" showErrorMessage="1" sqref="N67">
      <formula1>"Scope added,Scope removed,Scope changed,Qty ⬆️,Qty ⬇️,Rate ⬆️,Rate ⬇️,Design not finalised"</formula1>
    </dataValidation>
  </dataValidations>
  <hyperlinks>
    <hyperlink r:id="rId1" ref="G10"/>
    <hyperlink r:id="rId2" ref="A12"/>
    <hyperlink r:id="rId3" ref="A24"/>
  </hyperlinks>
  <printOptions horizontalCentered="1"/>
  <pageMargins bottom="0.75" footer="0.0" header="0.0" left="0.7" right="0.7" top="0.75"/>
  <pageSetup fitToHeight="0" paperSize="9" cellComments="atEnd" orientation="landscape" pageOrder="overThenDown"/>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0"/>
    <col customWidth="1" min="2" max="2" width="13.63"/>
    <col customWidth="1" min="3" max="3" width="22.38"/>
    <col customWidth="1" min="4" max="4" width="28.0"/>
    <col customWidth="1" min="5" max="5" width="49.38"/>
    <col customWidth="1" min="6" max="6" width="9.38"/>
    <col customWidth="1" min="7" max="7" width="10.63"/>
    <col customWidth="1" min="8" max="8" width="12.38"/>
    <col customWidth="1" min="9" max="10" width="16.13"/>
  </cols>
  <sheetData>
    <row r="1">
      <c r="A1" s="697" t="s">
        <v>851</v>
      </c>
      <c r="B1" s="698" t="str">
        <f t="shared" ref="B1:F1" si="1">A1+1</f>
        <v>#VALUE!</v>
      </c>
      <c r="C1" s="698" t="str">
        <f t="shared" si="1"/>
        <v>#VALUE!</v>
      </c>
      <c r="D1" s="698" t="str">
        <f t="shared" si="1"/>
        <v>#VALUE!</v>
      </c>
      <c r="E1" s="698" t="str">
        <f t="shared" si="1"/>
        <v>#VALUE!</v>
      </c>
      <c r="F1" s="698" t="str">
        <f t="shared" si="1"/>
        <v>#VALUE!</v>
      </c>
      <c r="G1" s="698">
        <v>7.0</v>
      </c>
      <c r="H1" s="699">
        <v>8.0</v>
      </c>
      <c r="I1" s="700">
        <v>9.0</v>
      </c>
      <c r="J1" s="699">
        <v>10.0</v>
      </c>
    </row>
    <row r="2">
      <c r="A2" s="701" t="s">
        <v>852</v>
      </c>
      <c r="B2" s="702" t="s">
        <v>42</v>
      </c>
      <c r="C2" s="702" t="s">
        <v>43</v>
      </c>
      <c r="D2" s="702" t="s">
        <v>44</v>
      </c>
      <c r="E2" s="702" t="s">
        <v>45</v>
      </c>
      <c r="F2" s="702" t="s">
        <v>46</v>
      </c>
      <c r="G2" s="702" t="s">
        <v>853</v>
      </c>
      <c r="H2" s="699" t="s">
        <v>854</v>
      </c>
      <c r="I2" s="700" t="s">
        <v>855</v>
      </c>
      <c r="J2" s="699" t="s">
        <v>856</v>
      </c>
    </row>
    <row r="3" ht="6.75" customHeight="1">
      <c r="A3" s="703"/>
      <c r="B3" s="339"/>
      <c r="C3" s="339"/>
      <c r="D3" s="340"/>
      <c r="E3" s="340"/>
      <c r="F3" s="339"/>
      <c r="G3" s="339"/>
      <c r="H3" s="76"/>
      <c r="I3" s="704"/>
      <c r="J3" s="76"/>
    </row>
    <row r="4">
      <c r="A4" s="703" t="s">
        <v>857</v>
      </c>
      <c r="B4" s="339" t="s">
        <v>858</v>
      </c>
      <c r="C4" s="339" t="s">
        <v>59</v>
      </c>
      <c r="D4" s="340" t="s">
        <v>859</v>
      </c>
      <c r="E4" s="340" t="s">
        <v>59</v>
      </c>
      <c r="F4" s="339" t="s">
        <v>560</v>
      </c>
      <c r="G4" s="339">
        <v>10.0</v>
      </c>
      <c r="H4" s="410">
        <v>20.0</v>
      </c>
      <c r="I4" s="705">
        <v>17.0</v>
      </c>
      <c r="J4" s="706">
        <v>10.0</v>
      </c>
    </row>
    <row r="5">
      <c r="A5" s="703" t="s">
        <v>860</v>
      </c>
      <c r="B5" s="339" t="s">
        <v>858</v>
      </c>
      <c r="C5" s="340" t="s">
        <v>861</v>
      </c>
      <c r="D5" s="707" t="s">
        <v>862</v>
      </c>
      <c r="E5" s="340" t="s">
        <v>863</v>
      </c>
      <c r="F5" s="340" t="s">
        <v>175</v>
      </c>
      <c r="G5" s="339">
        <v>100.0</v>
      </c>
      <c r="H5" s="708">
        <v>150.0</v>
      </c>
      <c r="I5" s="709">
        <v>128.0</v>
      </c>
      <c r="J5" s="710">
        <v>100.0</v>
      </c>
    </row>
    <row r="6">
      <c r="A6" s="711" t="s">
        <v>149</v>
      </c>
      <c r="B6" s="712" t="s">
        <v>858</v>
      </c>
      <c r="C6" s="713" t="s">
        <v>861</v>
      </c>
      <c r="D6" s="713" t="s">
        <v>864</v>
      </c>
      <c r="E6" s="713" t="s">
        <v>865</v>
      </c>
      <c r="F6" s="713" t="s">
        <v>175</v>
      </c>
      <c r="G6" s="712">
        <v>70.0</v>
      </c>
      <c r="H6" s="672">
        <v>120.0</v>
      </c>
      <c r="I6" s="714">
        <v>102.0</v>
      </c>
      <c r="J6" s="715">
        <v>70.0</v>
      </c>
    </row>
    <row r="7">
      <c r="A7" s="711" t="s">
        <v>152</v>
      </c>
      <c r="B7" s="712" t="s">
        <v>858</v>
      </c>
      <c r="C7" s="713" t="s">
        <v>866</v>
      </c>
      <c r="D7" s="713" t="s">
        <v>867</v>
      </c>
      <c r="E7" s="713" t="s">
        <v>865</v>
      </c>
      <c r="F7" s="713" t="s">
        <v>120</v>
      </c>
      <c r="G7" s="712">
        <v>50.0</v>
      </c>
      <c r="H7" s="716">
        <v>120.0</v>
      </c>
      <c r="I7" s="709">
        <v>102.0</v>
      </c>
      <c r="J7" s="710">
        <v>50.0</v>
      </c>
    </row>
    <row r="8">
      <c r="A8" s="711" t="s">
        <v>154</v>
      </c>
      <c r="B8" s="712" t="s">
        <v>858</v>
      </c>
      <c r="C8" s="713" t="s">
        <v>868</v>
      </c>
      <c r="D8" s="717" t="s">
        <v>869</v>
      </c>
      <c r="E8" s="713" t="s">
        <v>870</v>
      </c>
      <c r="F8" s="713" t="s">
        <v>175</v>
      </c>
      <c r="G8" s="712">
        <v>120.0</v>
      </c>
      <c r="H8" s="716">
        <v>200.0</v>
      </c>
      <c r="I8" s="709">
        <v>170.0</v>
      </c>
      <c r="J8" s="710">
        <v>120.0</v>
      </c>
    </row>
    <row r="9">
      <c r="A9" s="703" t="s">
        <v>871</v>
      </c>
      <c r="B9" s="339" t="s">
        <v>858</v>
      </c>
      <c r="C9" s="340" t="s">
        <v>872</v>
      </c>
      <c r="D9" s="340" t="s">
        <v>873</v>
      </c>
      <c r="E9" s="340"/>
      <c r="F9" s="340" t="s">
        <v>175</v>
      </c>
      <c r="G9" s="515">
        <v>160.0</v>
      </c>
      <c r="H9" s="708">
        <v>200.0</v>
      </c>
      <c r="I9" s="718">
        <v>180.0</v>
      </c>
      <c r="J9" s="719">
        <v>160.0</v>
      </c>
    </row>
    <row r="10">
      <c r="A10" s="703" t="s">
        <v>874</v>
      </c>
      <c r="B10" s="340" t="s">
        <v>28</v>
      </c>
      <c r="C10" s="340" t="s">
        <v>875</v>
      </c>
      <c r="D10" s="340" t="s">
        <v>876</v>
      </c>
      <c r="E10" s="340" t="s">
        <v>877</v>
      </c>
      <c r="F10" s="340" t="s">
        <v>175</v>
      </c>
      <c r="G10" s="339">
        <v>150.0</v>
      </c>
      <c r="H10" s="708">
        <v>200.0</v>
      </c>
      <c r="I10" s="714">
        <v>170.0</v>
      </c>
      <c r="J10" s="710">
        <v>150.0</v>
      </c>
    </row>
    <row r="11">
      <c r="A11" s="703" t="s">
        <v>878</v>
      </c>
      <c r="B11" s="340" t="s">
        <v>28</v>
      </c>
      <c r="C11" s="340" t="s">
        <v>879</v>
      </c>
      <c r="D11" s="340" t="s">
        <v>876</v>
      </c>
      <c r="E11" s="340" t="s">
        <v>877</v>
      </c>
      <c r="F11" s="340" t="s">
        <v>120</v>
      </c>
      <c r="G11" s="339">
        <v>100.0</v>
      </c>
      <c r="H11" s="708">
        <v>150.0</v>
      </c>
      <c r="I11" s="709">
        <v>128.0</v>
      </c>
      <c r="J11" s="710">
        <v>100.0</v>
      </c>
    </row>
    <row r="12">
      <c r="A12" s="703" t="s">
        <v>880</v>
      </c>
      <c r="B12" s="340" t="s">
        <v>28</v>
      </c>
      <c r="C12" s="340" t="s">
        <v>881</v>
      </c>
      <c r="D12" s="340" t="s">
        <v>882</v>
      </c>
      <c r="E12" s="340" t="s">
        <v>883</v>
      </c>
      <c r="F12" s="340" t="s">
        <v>175</v>
      </c>
      <c r="G12" s="339">
        <v>175.0</v>
      </c>
      <c r="H12" s="708">
        <v>260.0</v>
      </c>
      <c r="I12" s="709">
        <v>221.0</v>
      </c>
      <c r="J12" s="710">
        <v>175.0</v>
      </c>
    </row>
    <row r="13">
      <c r="A13" s="703" t="s">
        <v>884</v>
      </c>
      <c r="B13" s="340" t="s">
        <v>28</v>
      </c>
      <c r="C13" s="340" t="s">
        <v>885</v>
      </c>
      <c r="D13" s="340" t="s">
        <v>882</v>
      </c>
      <c r="E13" s="340" t="s">
        <v>883</v>
      </c>
      <c r="F13" s="340" t="s">
        <v>120</v>
      </c>
      <c r="G13" s="339">
        <v>120.0</v>
      </c>
      <c r="H13" s="708">
        <v>200.0</v>
      </c>
      <c r="I13" s="709">
        <v>170.0</v>
      </c>
      <c r="J13" s="710">
        <v>120.0</v>
      </c>
    </row>
    <row r="14">
      <c r="A14" s="711" t="s">
        <v>157</v>
      </c>
      <c r="B14" s="713" t="s">
        <v>28</v>
      </c>
      <c r="C14" s="713" t="s">
        <v>886</v>
      </c>
      <c r="D14" s="713" t="s">
        <v>887</v>
      </c>
      <c r="E14" s="713" t="s">
        <v>888</v>
      </c>
      <c r="F14" s="713" t="s">
        <v>175</v>
      </c>
      <c r="G14" s="712">
        <v>36.0</v>
      </c>
      <c r="H14" s="716">
        <v>55.0</v>
      </c>
      <c r="I14" s="709">
        <v>47.0</v>
      </c>
      <c r="J14" s="710">
        <v>36.0</v>
      </c>
    </row>
    <row r="15">
      <c r="A15" s="711" t="s">
        <v>600</v>
      </c>
      <c r="B15" s="713" t="s">
        <v>28</v>
      </c>
      <c r="C15" s="713" t="s">
        <v>889</v>
      </c>
      <c r="D15" s="713" t="s">
        <v>887</v>
      </c>
      <c r="E15" s="713" t="s">
        <v>888</v>
      </c>
      <c r="F15" s="713" t="s">
        <v>120</v>
      </c>
      <c r="G15" s="712">
        <v>20.0</v>
      </c>
      <c r="H15" s="716">
        <v>30.0</v>
      </c>
      <c r="I15" s="709">
        <v>26.0</v>
      </c>
      <c r="J15" s="710">
        <v>20.0</v>
      </c>
    </row>
    <row r="16">
      <c r="A16" s="703" t="s">
        <v>890</v>
      </c>
      <c r="B16" s="340" t="s">
        <v>28</v>
      </c>
      <c r="C16" s="340" t="s">
        <v>886</v>
      </c>
      <c r="D16" s="340" t="s">
        <v>887</v>
      </c>
      <c r="E16" s="340" t="s">
        <v>888</v>
      </c>
      <c r="F16" s="340" t="s">
        <v>175</v>
      </c>
      <c r="G16" s="339">
        <v>30.0</v>
      </c>
      <c r="H16" s="708">
        <v>45.0</v>
      </c>
      <c r="I16" s="709">
        <v>39.0</v>
      </c>
      <c r="J16" s="710">
        <v>30.0</v>
      </c>
    </row>
    <row r="17">
      <c r="A17" s="703" t="s">
        <v>891</v>
      </c>
      <c r="B17" s="340" t="s">
        <v>28</v>
      </c>
      <c r="C17" s="340" t="s">
        <v>889</v>
      </c>
      <c r="D17" s="340" t="s">
        <v>887</v>
      </c>
      <c r="E17" s="340" t="s">
        <v>888</v>
      </c>
      <c r="F17" s="340" t="s">
        <v>120</v>
      </c>
      <c r="G17" s="339">
        <v>18.0</v>
      </c>
      <c r="H17" s="708">
        <v>25.0</v>
      </c>
      <c r="I17" s="709">
        <v>22.0</v>
      </c>
      <c r="J17" s="710">
        <v>18.0</v>
      </c>
    </row>
    <row r="18">
      <c r="A18" s="703" t="s">
        <v>892</v>
      </c>
      <c r="B18" s="340" t="s">
        <v>28</v>
      </c>
      <c r="C18" s="340" t="s">
        <v>893</v>
      </c>
      <c r="D18" s="340" t="s">
        <v>61</v>
      </c>
      <c r="E18" s="340" t="s">
        <v>61</v>
      </c>
      <c r="F18" s="340" t="s">
        <v>120</v>
      </c>
      <c r="G18" s="339">
        <v>15.0</v>
      </c>
      <c r="H18" s="708">
        <v>30.0</v>
      </c>
      <c r="I18" s="709">
        <v>26.0</v>
      </c>
      <c r="J18" s="710">
        <v>15.0</v>
      </c>
    </row>
    <row r="19">
      <c r="A19" s="703" t="s">
        <v>894</v>
      </c>
      <c r="B19" s="340" t="s">
        <v>28</v>
      </c>
      <c r="C19" s="340" t="s">
        <v>895</v>
      </c>
      <c r="D19" s="340" t="s">
        <v>61</v>
      </c>
      <c r="E19" s="340" t="s">
        <v>61</v>
      </c>
      <c r="F19" s="340" t="s">
        <v>120</v>
      </c>
      <c r="G19" s="339">
        <v>20.0</v>
      </c>
      <c r="H19" s="708">
        <v>40.0</v>
      </c>
      <c r="I19" s="709">
        <v>34.0</v>
      </c>
      <c r="J19" s="710">
        <v>20.0</v>
      </c>
    </row>
    <row r="20">
      <c r="A20" s="711" t="s">
        <v>160</v>
      </c>
      <c r="B20" s="712" t="s">
        <v>858</v>
      </c>
      <c r="C20" s="713" t="s">
        <v>896</v>
      </c>
      <c r="D20" s="713" t="s">
        <v>61</v>
      </c>
      <c r="E20" s="713" t="s">
        <v>61</v>
      </c>
      <c r="F20" s="713" t="s">
        <v>560</v>
      </c>
      <c r="G20" s="712">
        <v>75.0</v>
      </c>
      <c r="H20" s="716">
        <v>150.0</v>
      </c>
      <c r="I20" s="709">
        <v>128.0</v>
      </c>
      <c r="J20" s="710">
        <v>75.0</v>
      </c>
    </row>
    <row r="21">
      <c r="A21" s="703"/>
      <c r="B21" s="339"/>
      <c r="C21" s="339"/>
      <c r="D21" s="339"/>
      <c r="E21" s="339"/>
      <c r="F21" s="339"/>
      <c r="G21" s="339"/>
      <c r="H21" s="76"/>
      <c r="I21" s="704"/>
      <c r="J21" s="76"/>
    </row>
    <row r="22">
      <c r="A22" s="703" t="s">
        <v>897</v>
      </c>
      <c r="B22" s="339" t="s">
        <v>59</v>
      </c>
      <c r="C22" s="339" t="s">
        <v>566</v>
      </c>
      <c r="D22" s="339" t="s">
        <v>61</v>
      </c>
      <c r="E22" s="339" t="s">
        <v>59</v>
      </c>
      <c r="F22" s="339" t="s">
        <v>175</v>
      </c>
      <c r="G22" s="339">
        <v>20.0</v>
      </c>
      <c r="H22" s="720">
        <v>35.0</v>
      </c>
      <c r="I22" s="721"/>
      <c r="J22" s="722"/>
    </row>
    <row r="23">
      <c r="A23" s="711" t="s">
        <v>564</v>
      </c>
      <c r="B23" s="712" t="s">
        <v>59</v>
      </c>
      <c r="C23" s="712" t="s">
        <v>898</v>
      </c>
      <c r="D23" s="712" t="s">
        <v>61</v>
      </c>
      <c r="E23" s="712" t="s">
        <v>59</v>
      </c>
      <c r="F23" s="712" t="s">
        <v>175</v>
      </c>
      <c r="G23" s="712">
        <v>20.0</v>
      </c>
      <c r="H23" s="723">
        <v>40.0</v>
      </c>
      <c r="I23" s="724">
        <v>25.0</v>
      </c>
      <c r="J23" s="725">
        <v>18.0</v>
      </c>
    </row>
    <row r="24">
      <c r="A24" s="703" t="s">
        <v>899</v>
      </c>
      <c r="B24" s="339" t="s">
        <v>59</v>
      </c>
      <c r="C24" s="339" t="s">
        <v>900</v>
      </c>
      <c r="D24" s="339" t="s">
        <v>61</v>
      </c>
      <c r="E24" s="339" t="s">
        <v>59</v>
      </c>
      <c r="F24" s="339" t="s">
        <v>175</v>
      </c>
      <c r="G24" s="339">
        <v>25.0</v>
      </c>
      <c r="H24" s="726">
        <v>45.0</v>
      </c>
      <c r="I24" s="727"/>
      <c r="J24" s="728"/>
    </row>
    <row r="25">
      <c r="A25" s="703" t="s">
        <v>901</v>
      </c>
      <c r="B25" s="339" t="s">
        <v>59</v>
      </c>
      <c r="C25" s="339" t="s">
        <v>902</v>
      </c>
      <c r="D25" s="339" t="s">
        <v>61</v>
      </c>
      <c r="E25" s="339" t="s">
        <v>59</v>
      </c>
      <c r="F25" s="339" t="s">
        <v>175</v>
      </c>
      <c r="G25" s="339">
        <v>40.0</v>
      </c>
      <c r="H25" s="726">
        <v>70.0</v>
      </c>
      <c r="I25" s="727"/>
      <c r="J25" s="728"/>
    </row>
    <row r="26">
      <c r="A26" s="703" t="s">
        <v>903</v>
      </c>
      <c r="B26" s="339" t="s">
        <v>59</v>
      </c>
      <c r="C26" s="339" t="s">
        <v>83</v>
      </c>
      <c r="D26" s="339" t="s">
        <v>61</v>
      </c>
      <c r="E26" s="339" t="s">
        <v>59</v>
      </c>
      <c r="F26" s="339" t="s">
        <v>175</v>
      </c>
      <c r="G26" s="339">
        <v>20.0</v>
      </c>
      <c r="H26" s="726">
        <v>35.0</v>
      </c>
      <c r="I26" s="727"/>
      <c r="J26" s="728"/>
    </row>
    <row r="27">
      <c r="A27" s="711" t="s">
        <v>904</v>
      </c>
      <c r="B27" s="712" t="s">
        <v>59</v>
      </c>
      <c r="C27" s="712" t="s">
        <v>905</v>
      </c>
      <c r="D27" s="712" t="s">
        <v>61</v>
      </c>
      <c r="E27" s="712" t="s">
        <v>59</v>
      </c>
      <c r="F27" s="712" t="s">
        <v>175</v>
      </c>
      <c r="G27" s="712">
        <v>20.0</v>
      </c>
      <c r="H27" s="723">
        <v>40.0</v>
      </c>
      <c r="I27" s="729">
        <v>34.0</v>
      </c>
      <c r="J27" s="730">
        <v>18.0</v>
      </c>
    </row>
    <row r="28">
      <c r="A28" s="711" t="s">
        <v>906</v>
      </c>
      <c r="B28" s="712" t="s">
        <v>59</v>
      </c>
      <c r="C28" s="712" t="s">
        <v>805</v>
      </c>
      <c r="D28" s="712" t="s">
        <v>61</v>
      </c>
      <c r="E28" s="712" t="s">
        <v>59</v>
      </c>
      <c r="F28" s="712" t="s">
        <v>175</v>
      </c>
      <c r="G28" s="712">
        <v>20.0</v>
      </c>
      <c r="H28" s="723">
        <v>35.0</v>
      </c>
      <c r="I28" s="709">
        <v>32.0</v>
      </c>
      <c r="J28" s="731">
        <v>18.0</v>
      </c>
    </row>
    <row r="29">
      <c r="A29" s="711" t="s">
        <v>907</v>
      </c>
      <c r="B29" s="712" t="s">
        <v>59</v>
      </c>
      <c r="C29" s="712" t="s">
        <v>908</v>
      </c>
      <c r="D29" s="712" t="s">
        <v>61</v>
      </c>
      <c r="E29" s="712" t="s">
        <v>59</v>
      </c>
      <c r="F29" s="712" t="s">
        <v>175</v>
      </c>
      <c r="G29" s="712">
        <v>20.0</v>
      </c>
      <c r="H29" s="723">
        <v>35.0</v>
      </c>
      <c r="I29" s="709">
        <v>32.0</v>
      </c>
      <c r="J29" s="731">
        <v>18.0</v>
      </c>
    </row>
    <row r="30">
      <c r="A30" s="711" t="s">
        <v>909</v>
      </c>
      <c r="B30" s="712" t="s">
        <v>59</v>
      </c>
      <c r="C30" s="712" t="s">
        <v>910</v>
      </c>
      <c r="D30" s="712" t="s">
        <v>61</v>
      </c>
      <c r="E30" s="712" t="s">
        <v>59</v>
      </c>
      <c r="F30" s="712" t="s">
        <v>120</v>
      </c>
      <c r="G30" s="712">
        <v>20.0</v>
      </c>
      <c r="H30" s="723">
        <v>50.0</v>
      </c>
      <c r="I30" s="732">
        <v>42.0</v>
      </c>
      <c r="J30" s="733">
        <v>18.0</v>
      </c>
    </row>
    <row r="31">
      <c r="A31" s="703" t="s">
        <v>911</v>
      </c>
      <c r="B31" s="339" t="s">
        <v>59</v>
      </c>
      <c r="C31" s="339" t="s">
        <v>912</v>
      </c>
      <c r="D31" s="339" t="s">
        <v>61</v>
      </c>
      <c r="E31" s="339" t="s">
        <v>59</v>
      </c>
      <c r="F31" s="339" t="s">
        <v>175</v>
      </c>
      <c r="G31" s="339">
        <v>20.0</v>
      </c>
      <c r="H31" s="726">
        <v>35.0</v>
      </c>
      <c r="I31" s="727"/>
      <c r="J31" s="728"/>
    </row>
    <row r="32">
      <c r="A32" s="703" t="s">
        <v>913</v>
      </c>
      <c r="B32" s="339" t="s">
        <v>59</v>
      </c>
      <c r="C32" s="339" t="s">
        <v>914</v>
      </c>
      <c r="D32" s="339" t="s">
        <v>61</v>
      </c>
      <c r="E32" s="339" t="s">
        <v>59</v>
      </c>
      <c r="F32" s="339" t="s">
        <v>175</v>
      </c>
      <c r="G32" s="339">
        <v>25.0</v>
      </c>
      <c r="H32" s="726">
        <v>40.0</v>
      </c>
      <c r="I32" s="727"/>
      <c r="J32" s="728"/>
    </row>
    <row r="33">
      <c r="A33" s="711" t="s">
        <v>915</v>
      </c>
      <c r="B33" s="712" t="s">
        <v>59</v>
      </c>
      <c r="C33" s="712" t="s">
        <v>916</v>
      </c>
      <c r="D33" s="712" t="s">
        <v>61</v>
      </c>
      <c r="E33" s="712" t="s">
        <v>59</v>
      </c>
      <c r="F33" s="712" t="s">
        <v>120</v>
      </c>
      <c r="G33" s="712">
        <v>15.0</v>
      </c>
      <c r="H33" s="723">
        <v>35.0</v>
      </c>
      <c r="I33" s="729">
        <v>32.0</v>
      </c>
      <c r="J33" s="730">
        <v>12.0</v>
      </c>
    </row>
    <row r="34">
      <c r="A34" s="711" t="s">
        <v>802</v>
      </c>
      <c r="B34" s="712" t="s">
        <v>59</v>
      </c>
      <c r="C34" s="712" t="s">
        <v>349</v>
      </c>
      <c r="D34" s="712" t="s">
        <v>61</v>
      </c>
      <c r="E34" s="712" t="s">
        <v>59</v>
      </c>
      <c r="F34" s="712" t="s">
        <v>120</v>
      </c>
      <c r="G34" s="712">
        <v>50.0</v>
      </c>
      <c r="H34" s="723">
        <v>100.0</v>
      </c>
      <c r="I34" s="709">
        <v>85.0</v>
      </c>
      <c r="J34" s="731">
        <v>50.0</v>
      </c>
    </row>
    <row r="35">
      <c r="A35" s="711" t="s">
        <v>917</v>
      </c>
      <c r="B35" s="712" t="s">
        <v>59</v>
      </c>
      <c r="C35" s="712" t="s">
        <v>918</v>
      </c>
      <c r="D35" s="712" t="s">
        <v>61</v>
      </c>
      <c r="E35" s="712" t="s">
        <v>59</v>
      </c>
      <c r="F35" s="712" t="s">
        <v>175</v>
      </c>
      <c r="G35" s="712">
        <v>40.0</v>
      </c>
      <c r="H35" s="723">
        <v>70.0</v>
      </c>
      <c r="I35" s="732">
        <v>60.0</v>
      </c>
      <c r="J35" s="733">
        <v>40.0</v>
      </c>
    </row>
    <row r="36">
      <c r="A36" s="703" t="s">
        <v>919</v>
      </c>
      <c r="B36" s="339" t="s">
        <v>59</v>
      </c>
      <c r="C36" s="339" t="s">
        <v>920</v>
      </c>
      <c r="D36" s="339" t="s">
        <v>61</v>
      </c>
      <c r="E36" s="339" t="s">
        <v>59</v>
      </c>
      <c r="F36" s="339" t="s">
        <v>175</v>
      </c>
      <c r="G36" s="339">
        <v>10.0</v>
      </c>
      <c r="H36" s="726">
        <v>20.0</v>
      </c>
      <c r="I36" s="727"/>
      <c r="J36" s="728"/>
    </row>
    <row r="37">
      <c r="A37" s="703" t="s">
        <v>921</v>
      </c>
      <c r="B37" s="339" t="s">
        <v>59</v>
      </c>
      <c r="C37" s="339" t="s">
        <v>922</v>
      </c>
      <c r="D37" s="339"/>
      <c r="E37" s="339" t="s">
        <v>59</v>
      </c>
      <c r="F37" s="339" t="s">
        <v>560</v>
      </c>
      <c r="G37" s="339">
        <v>600.0</v>
      </c>
      <c r="H37" s="726">
        <v>800.0</v>
      </c>
      <c r="I37" s="727"/>
      <c r="J37" s="728"/>
    </row>
    <row r="38">
      <c r="A38" s="703"/>
      <c r="B38" s="339"/>
      <c r="C38" s="339"/>
      <c r="D38" s="339"/>
      <c r="E38" s="340"/>
      <c r="F38" s="339"/>
      <c r="G38" s="339"/>
      <c r="H38" s="76"/>
      <c r="I38" s="704"/>
      <c r="J38" s="76"/>
    </row>
    <row r="39">
      <c r="A39" s="703" t="s">
        <v>689</v>
      </c>
      <c r="B39" s="339" t="s">
        <v>20</v>
      </c>
      <c r="C39" s="339" t="s">
        <v>566</v>
      </c>
      <c r="D39" s="339"/>
      <c r="E39" s="340" t="s">
        <v>567</v>
      </c>
      <c r="F39" s="339" t="s">
        <v>175</v>
      </c>
      <c r="G39" s="339">
        <v>110.0</v>
      </c>
      <c r="H39" s="726">
        <v>150.0</v>
      </c>
      <c r="I39" s="721"/>
      <c r="J39" s="722"/>
    </row>
    <row r="40">
      <c r="A40" s="703" t="s">
        <v>923</v>
      </c>
      <c r="B40" s="339" t="s">
        <v>20</v>
      </c>
      <c r="C40" s="339" t="s">
        <v>898</v>
      </c>
      <c r="D40" s="339"/>
      <c r="E40" s="340" t="s">
        <v>924</v>
      </c>
      <c r="F40" s="339" t="s">
        <v>175</v>
      </c>
      <c r="G40" s="339">
        <v>150.0</v>
      </c>
      <c r="H40" s="734">
        <v>175.0</v>
      </c>
      <c r="I40" s="727"/>
      <c r="J40" s="728"/>
    </row>
    <row r="41">
      <c r="A41" s="703" t="s">
        <v>925</v>
      </c>
      <c r="B41" s="339" t="s">
        <v>20</v>
      </c>
      <c r="C41" s="339" t="s">
        <v>900</v>
      </c>
      <c r="D41" s="339"/>
      <c r="E41" s="340" t="s">
        <v>926</v>
      </c>
      <c r="F41" s="339" t="s">
        <v>175</v>
      </c>
      <c r="G41" s="339">
        <v>170.0</v>
      </c>
      <c r="H41" s="734">
        <v>210.0</v>
      </c>
      <c r="I41" s="727"/>
      <c r="J41" s="728"/>
    </row>
    <row r="42">
      <c r="A42" s="703" t="s">
        <v>927</v>
      </c>
      <c r="B42" s="339" t="s">
        <v>20</v>
      </c>
      <c r="C42" s="339" t="s">
        <v>928</v>
      </c>
      <c r="D42" s="339"/>
      <c r="E42" s="340" t="s">
        <v>929</v>
      </c>
      <c r="F42" s="339" t="s">
        <v>175</v>
      </c>
      <c r="G42" s="339">
        <v>120.0</v>
      </c>
      <c r="H42" s="734">
        <v>160.0</v>
      </c>
      <c r="I42" s="727"/>
      <c r="J42" s="728"/>
    </row>
    <row r="43">
      <c r="A43" s="711" t="s">
        <v>930</v>
      </c>
      <c r="B43" s="712" t="s">
        <v>20</v>
      </c>
      <c r="C43" s="712" t="s">
        <v>931</v>
      </c>
      <c r="D43" s="712"/>
      <c r="E43" s="713" t="s">
        <v>932</v>
      </c>
      <c r="F43" s="712" t="s">
        <v>175</v>
      </c>
      <c r="G43" s="712">
        <v>140.0</v>
      </c>
      <c r="H43" s="735">
        <v>200.0</v>
      </c>
      <c r="I43" s="724">
        <v>170.0</v>
      </c>
      <c r="J43" s="725">
        <v>140.0</v>
      </c>
    </row>
    <row r="44">
      <c r="A44" s="703" t="s">
        <v>933</v>
      </c>
      <c r="B44" s="339" t="s">
        <v>20</v>
      </c>
      <c r="C44" s="339" t="s">
        <v>934</v>
      </c>
      <c r="D44" s="339"/>
      <c r="E44" s="340" t="s">
        <v>935</v>
      </c>
      <c r="F44" s="339" t="s">
        <v>175</v>
      </c>
      <c r="G44" s="339">
        <v>170.0</v>
      </c>
      <c r="H44" s="734">
        <v>250.0</v>
      </c>
      <c r="I44" s="727"/>
      <c r="J44" s="728"/>
    </row>
    <row r="45">
      <c r="A45" s="711" t="s">
        <v>936</v>
      </c>
      <c r="B45" s="712" t="s">
        <v>20</v>
      </c>
      <c r="C45" s="712" t="s">
        <v>83</v>
      </c>
      <c r="D45" s="712"/>
      <c r="E45" s="713" t="s">
        <v>84</v>
      </c>
      <c r="F45" s="712" t="s">
        <v>175</v>
      </c>
      <c r="G45" s="712">
        <v>75.0</v>
      </c>
      <c r="H45" s="735">
        <v>120.0</v>
      </c>
      <c r="I45" s="732">
        <v>102.0</v>
      </c>
      <c r="J45" s="733">
        <v>75.0</v>
      </c>
    </row>
    <row r="46">
      <c r="A46" s="711" t="s">
        <v>937</v>
      </c>
      <c r="B46" s="712" t="s">
        <v>20</v>
      </c>
      <c r="C46" s="712" t="s">
        <v>905</v>
      </c>
      <c r="D46" s="713" t="s">
        <v>570</v>
      </c>
      <c r="E46" s="713" t="s">
        <v>80</v>
      </c>
      <c r="F46" s="712" t="s">
        <v>175</v>
      </c>
      <c r="G46" s="712">
        <v>80.0</v>
      </c>
      <c r="H46" s="735">
        <v>140.0</v>
      </c>
      <c r="I46" s="724">
        <v>120.0</v>
      </c>
      <c r="J46" s="725">
        <v>80.0</v>
      </c>
    </row>
    <row r="47">
      <c r="A47" s="703" t="s">
        <v>938</v>
      </c>
      <c r="B47" s="339" t="s">
        <v>20</v>
      </c>
      <c r="C47" s="339" t="s">
        <v>905</v>
      </c>
      <c r="D47" s="340" t="s">
        <v>939</v>
      </c>
      <c r="E47" s="340" t="s">
        <v>80</v>
      </c>
      <c r="F47" s="339" t="s">
        <v>175</v>
      </c>
      <c r="G47" s="339">
        <v>80.0</v>
      </c>
      <c r="H47" s="734">
        <v>165.0</v>
      </c>
      <c r="I47" s="727"/>
      <c r="J47" s="728"/>
    </row>
    <row r="48">
      <c r="A48" s="703" t="s">
        <v>940</v>
      </c>
      <c r="B48" s="339" t="s">
        <v>20</v>
      </c>
      <c r="C48" s="339" t="s">
        <v>905</v>
      </c>
      <c r="D48" s="339"/>
      <c r="E48" s="340" t="s">
        <v>80</v>
      </c>
      <c r="F48" s="339"/>
      <c r="G48" s="339" t="s">
        <v>941</v>
      </c>
      <c r="H48" s="734" t="s">
        <v>941</v>
      </c>
      <c r="I48" s="727"/>
      <c r="J48" s="728"/>
    </row>
    <row r="49">
      <c r="A49" s="711" t="s">
        <v>942</v>
      </c>
      <c r="B49" s="712" t="s">
        <v>20</v>
      </c>
      <c r="C49" s="712" t="s">
        <v>805</v>
      </c>
      <c r="D49" s="713" t="s">
        <v>570</v>
      </c>
      <c r="E49" s="713" t="s">
        <v>582</v>
      </c>
      <c r="F49" s="712" t="s">
        <v>175</v>
      </c>
      <c r="G49" s="712">
        <v>80.0</v>
      </c>
      <c r="H49" s="735">
        <v>140.0</v>
      </c>
      <c r="I49" s="736">
        <v>120.0</v>
      </c>
      <c r="J49" s="737">
        <v>80.0</v>
      </c>
    </row>
    <row r="50">
      <c r="A50" s="703" t="s">
        <v>943</v>
      </c>
      <c r="B50" s="339" t="s">
        <v>20</v>
      </c>
      <c r="C50" s="339" t="s">
        <v>805</v>
      </c>
      <c r="D50" s="340" t="s">
        <v>939</v>
      </c>
      <c r="E50" s="340" t="s">
        <v>582</v>
      </c>
      <c r="F50" s="339" t="s">
        <v>175</v>
      </c>
      <c r="G50" s="339">
        <v>80.0</v>
      </c>
      <c r="H50" s="738">
        <v>165.0</v>
      </c>
      <c r="I50" s="727"/>
      <c r="J50" s="728"/>
    </row>
    <row r="51">
      <c r="A51" s="711" t="s">
        <v>584</v>
      </c>
      <c r="B51" s="712" t="s">
        <v>20</v>
      </c>
      <c r="C51" s="712" t="s">
        <v>944</v>
      </c>
      <c r="D51" s="712"/>
      <c r="E51" s="713" t="s">
        <v>582</v>
      </c>
      <c r="F51" s="712" t="s">
        <v>120</v>
      </c>
      <c r="G51" s="712">
        <v>40.0</v>
      </c>
      <c r="H51" s="735">
        <v>110.0</v>
      </c>
      <c r="I51" s="724">
        <v>82.0</v>
      </c>
      <c r="J51" s="725">
        <v>40.0</v>
      </c>
    </row>
    <row r="52">
      <c r="A52" s="711" t="s">
        <v>583</v>
      </c>
      <c r="B52" s="712" t="s">
        <v>20</v>
      </c>
      <c r="C52" s="712" t="s">
        <v>908</v>
      </c>
      <c r="D52" s="712"/>
      <c r="E52" s="713" t="s">
        <v>945</v>
      </c>
      <c r="F52" s="712" t="s">
        <v>175</v>
      </c>
      <c r="G52" s="712">
        <v>75.0</v>
      </c>
      <c r="H52" s="735">
        <v>120.0</v>
      </c>
      <c r="I52" s="724">
        <v>102.0</v>
      </c>
      <c r="J52" s="725">
        <v>75.0</v>
      </c>
    </row>
    <row r="53">
      <c r="A53" s="711" t="s">
        <v>587</v>
      </c>
      <c r="B53" s="712" t="s">
        <v>20</v>
      </c>
      <c r="C53" s="712" t="s">
        <v>910</v>
      </c>
      <c r="D53" s="712" t="s">
        <v>946</v>
      </c>
      <c r="E53" s="713" t="s">
        <v>87</v>
      </c>
      <c r="F53" s="712" t="s">
        <v>120</v>
      </c>
      <c r="G53" s="712">
        <v>80.0</v>
      </c>
      <c r="H53" s="735">
        <v>130.0</v>
      </c>
      <c r="I53" s="732">
        <v>110.0</v>
      </c>
      <c r="J53" s="733">
        <v>80.0</v>
      </c>
    </row>
    <row r="54">
      <c r="A54" s="711" t="s">
        <v>947</v>
      </c>
      <c r="B54" s="712" t="s">
        <v>20</v>
      </c>
      <c r="C54" s="712" t="s">
        <v>910</v>
      </c>
      <c r="D54" s="712" t="s">
        <v>948</v>
      </c>
      <c r="E54" s="713" t="s">
        <v>87</v>
      </c>
      <c r="F54" s="712" t="s">
        <v>120</v>
      </c>
      <c r="G54" s="712">
        <v>160.0</v>
      </c>
      <c r="H54" s="735">
        <v>260.0</v>
      </c>
      <c r="I54" s="739">
        <v>220.0</v>
      </c>
      <c r="J54" s="740">
        <v>160.0</v>
      </c>
    </row>
    <row r="55">
      <c r="A55" s="703" t="s">
        <v>949</v>
      </c>
      <c r="B55" s="339" t="s">
        <v>20</v>
      </c>
      <c r="C55" s="339" t="s">
        <v>950</v>
      </c>
      <c r="D55" s="339" t="s">
        <v>946</v>
      </c>
      <c r="E55" s="340" t="s">
        <v>951</v>
      </c>
      <c r="F55" s="339" t="s">
        <v>120</v>
      </c>
      <c r="G55" s="339">
        <v>120.0</v>
      </c>
      <c r="H55" s="734">
        <v>175.0</v>
      </c>
      <c r="I55" s="709">
        <v>150.0</v>
      </c>
      <c r="J55" s="731">
        <v>120.0</v>
      </c>
    </row>
    <row r="56">
      <c r="A56" s="703" t="s">
        <v>952</v>
      </c>
      <c r="B56" s="339" t="s">
        <v>20</v>
      </c>
      <c r="C56" s="339" t="s">
        <v>950</v>
      </c>
      <c r="D56" s="339" t="s">
        <v>948</v>
      </c>
      <c r="E56" s="340" t="s">
        <v>953</v>
      </c>
      <c r="F56" s="339" t="s">
        <v>120</v>
      </c>
      <c r="G56" s="339">
        <v>240.0</v>
      </c>
      <c r="H56" s="734">
        <v>350.0</v>
      </c>
      <c r="I56" s="709">
        <v>300.0</v>
      </c>
      <c r="J56" s="731">
        <v>240.0</v>
      </c>
    </row>
    <row r="57">
      <c r="A57" s="703" t="s">
        <v>954</v>
      </c>
      <c r="B57" s="339" t="s">
        <v>20</v>
      </c>
      <c r="C57" s="339" t="s">
        <v>955</v>
      </c>
      <c r="D57" s="339"/>
      <c r="E57" s="340" t="s">
        <v>956</v>
      </c>
      <c r="F57" s="339" t="s">
        <v>175</v>
      </c>
      <c r="G57" s="339">
        <v>140.0</v>
      </c>
      <c r="H57" s="738">
        <v>220.0</v>
      </c>
      <c r="I57" s="741"/>
      <c r="J57" s="742"/>
    </row>
    <row r="58">
      <c r="A58" s="703" t="s">
        <v>957</v>
      </c>
      <c r="B58" s="339" t="s">
        <v>20</v>
      </c>
      <c r="C58" s="339" t="s">
        <v>912</v>
      </c>
      <c r="D58" s="339"/>
      <c r="E58" s="340" t="s">
        <v>958</v>
      </c>
      <c r="F58" s="339" t="s">
        <v>175</v>
      </c>
      <c r="G58" s="339">
        <v>160.0</v>
      </c>
      <c r="H58" s="734">
        <v>220.0</v>
      </c>
      <c r="I58" s="721"/>
      <c r="J58" s="722"/>
    </row>
    <row r="59">
      <c r="A59" s="703" t="s">
        <v>959</v>
      </c>
      <c r="B59" s="339" t="s">
        <v>20</v>
      </c>
      <c r="C59" s="339" t="s">
        <v>914</v>
      </c>
      <c r="D59" s="339"/>
      <c r="E59" s="340" t="s">
        <v>956</v>
      </c>
      <c r="F59" s="339" t="s">
        <v>175</v>
      </c>
      <c r="G59" s="339">
        <v>180.0</v>
      </c>
      <c r="H59" s="726">
        <v>295.0</v>
      </c>
      <c r="I59" s="727"/>
      <c r="J59" s="728"/>
    </row>
    <row r="60">
      <c r="A60" s="703" t="s">
        <v>960</v>
      </c>
      <c r="B60" s="339" t="s">
        <v>20</v>
      </c>
      <c r="C60" s="339" t="s">
        <v>961</v>
      </c>
      <c r="D60" s="339"/>
      <c r="E60" s="340" t="s">
        <v>958</v>
      </c>
      <c r="F60" s="339" t="s">
        <v>175</v>
      </c>
      <c r="G60" s="339">
        <v>80.0</v>
      </c>
      <c r="H60" s="734">
        <v>150.0</v>
      </c>
      <c r="I60" s="727"/>
      <c r="J60" s="728"/>
    </row>
    <row r="61">
      <c r="A61" s="711" t="s">
        <v>576</v>
      </c>
      <c r="B61" s="712" t="s">
        <v>20</v>
      </c>
      <c r="C61" s="712" t="s">
        <v>349</v>
      </c>
      <c r="D61" s="713" t="s">
        <v>962</v>
      </c>
      <c r="E61" s="713" t="s">
        <v>963</v>
      </c>
      <c r="F61" s="712" t="s">
        <v>175</v>
      </c>
      <c r="G61" s="712">
        <v>150.0</v>
      </c>
      <c r="H61" s="735">
        <v>500.0</v>
      </c>
      <c r="I61" s="736">
        <v>300.0</v>
      </c>
      <c r="J61" s="725">
        <v>150.0</v>
      </c>
    </row>
    <row r="62">
      <c r="A62" s="703" t="s">
        <v>964</v>
      </c>
      <c r="B62" s="339" t="s">
        <v>20</v>
      </c>
      <c r="C62" s="339" t="s">
        <v>349</v>
      </c>
      <c r="D62" s="340" t="s">
        <v>965</v>
      </c>
      <c r="E62" s="340" t="s">
        <v>963</v>
      </c>
      <c r="F62" s="339" t="s">
        <v>175</v>
      </c>
      <c r="G62" s="339">
        <v>150.0</v>
      </c>
      <c r="H62" s="734">
        <v>500.0</v>
      </c>
      <c r="I62" s="727"/>
      <c r="J62" s="728"/>
    </row>
    <row r="63">
      <c r="A63" s="703" t="s">
        <v>966</v>
      </c>
      <c r="B63" s="339" t="s">
        <v>20</v>
      </c>
      <c r="C63" s="339" t="s">
        <v>349</v>
      </c>
      <c r="D63" s="340" t="s">
        <v>967</v>
      </c>
      <c r="E63" s="340" t="s">
        <v>75</v>
      </c>
      <c r="F63" s="339" t="s">
        <v>120</v>
      </c>
      <c r="G63" s="339">
        <v>1150.0</v>
      </c>
      <c r="H63" s="734">
        <v>3000.0</v>
      </c>
      <c r="I63" s="727"/>
      <c r="J63" s="728"/>
    </row>
    <row r="64">
      <c r="A64" s="703" t="s">
        <v>968</v>
      </c>
      <c r="B64" s="339" t="s">
        <v>20</v>
      </c>
      <c r="C64" s="339" t="s">
        <v>918</v>
      </c>
      <c r="D64" s="339"/>
      <c r="E64" s="340" t="s">
        <v>969</v>
      </c>
      <c r="F64" s="339" t="s">
        <v>175</v>
      </c>
      <c r="G64" s="339">
        <v>130.0</v>
      </c>
      <c r="H64" s="734">
        <v>170.0</v>
      </c>
      <c r="I64" s="705">
        <v>155.0</v>
      </c>
      <c r="J64" s="730">
        <v>130.0</v>
      </c>
    </row>
    <row r="65">
      <c r="A65" s="703" t="s">
        <v>589</v>
      </c>
      <c r="B65" s="339" t="s">
        <v>20</v>
      </c>
      <c r="C65" s="339" t="s">
        <v>918</v>
      </c>
      <c r="D65" s="339"/>
      <c r="E65" s="340" t="s">
        <v>970</v>
      </c>
      <c r="F65" s="339" t="s">
        <v>175</v>
      </c>
      <c r="G65" s="339">
        <v>150.0</v>
      </c>
      <c r="H65" s="734">
        <v>200.0</v>
      </c>
      <c r="I65" s="709">
        <v>68.0</v>
      </c>
      <c r="J65" s="731">
        <v>150.0</v>
      </c>
    </row>
    <row r="66">
      <c r="A66" s="703" t="s">
        <v>971</v>
      </c>
      <c r="B66" s="339" t="s">
        <v>20</v>
      </c>
      <c r="C66" s="339" t="s">
        <v>918</v>
      </c>
      <c r="D66" s="339"/>
      <c r="E66" s="340" t="s">
        <v>972</v>
      </c>
      <c r="F66" s="339" t="s">
        <v>175</v>
      </c>
      <c r="G66" s="339">
        <v>170.0</v>
      </c>
      <c r="H66" s="734">
        <v>230.0</v>
      </c>
      <c r="I66" s="709">
        <v>51.0</v>
      </c>
      <c r="J66" s="731">
        <v>170.0</v>
      </c>
    </row>
    <row r="67">
      <c r="A67" s="703" t="s">
        <v>973</v>
      </c>
      <c r="B67" s="339" t="s">
        <v>20</v>
      </c>
      <c r="C67" s="339" t="s">
        <v>918</v>
      </c>
      <c r="D67" s="339"/>
      <c r="E67" s="340" t="s">
        <v>974</v>
      </c>
      <c r="F67" s="339" t="s">
        <v>175</v>
      </c>
      <c r="G67" s="339">
        <v>200.0</v>
      </c>
      <c r="H67" s="734">
        <v>260.0</v>
      </c>
      <c r="I67" s="709">
        <v>68.0</v>
      </c>
      <c r="J67" s="731">
        <v>200.0</v>
      </c>
    </row>
    <row r="68">
      <c r="A68" s="711" t="s">
        <v>592</v>
      </c>
      <c r="B68" s="712" t="s">
        <v>20</v>
      </c>
      <c r="C68" s="712" t="s">
        <v>975</v>
      </c>
      <c r="D68" s="712"/>
      <c r="E68" s="712" t="s">
        <v>976</v>
      </c>
      <c r="F68" s="712" t="s">
        <v>175</v>
      </c>
      <c r="G68" s="712">
        <v>50.0</v>
      </c>
      <c r="H68" s="723">
        <v>80.0</v>
      </c>
      <c r="I68" s="739">
        <v>56.0</v>
      </c>
      <c r="J68" s="740">
        <v>50.0</v>
      </c>
    </row>
    <row r="69">
      <c r="A69" s="703" t="s">
        <v>977</v>
      </c>
      <c r="B69" s="339" t="s">
        <v>20</v>
      </c>
      <c r="C69" s="339" t="s">
        <v>978</v>
      </c>
      <c r="D69" s="339"/>
      <c r="E69" s="340" t="s">
        <v>979</v>
      </c>
      <c r="F69" s="339" t="s">
        <v>175</v>
      </c>
      <c r="G69" s="339">
        <v>40.0</v>
      </c>
      <c r="H69" s="734">
        <v>60.0</v>
      </c>
      <c r="I69" s="709"/>
      <c r="J69" s="731"/>
    </row>
    <row r="70">
      <c r="A70" s="703" t="s">
        <v>980</v>
      </c>
      <c r="B70" s="339" t="s">
        <v>20</v>
      </c>
      <c r="C70" s="339" t="s">
        <v>981</v>
      </c>
      <c r="D70" s="339"/>
      <c r="E70" s="340" t="s">
        <v>982</v>
      </c>
      <c r="F70" s="339" t="s">
        <v>175</v>
      </c>
      <c r="G70" s="339">
        <v>55.0</v>
      </c>
      <c r="H70" s="734">
        <v>90.0</v>
      </c>
      <c r="I70" s="709"/>
      <c r="J70" s="731"/>
    </row>
    <row r="71">
      <c r="A71" s="703" t="s">
        <v>983</v>
      </c>
      <c r="B71" s="339" t="s">
        <v>20</v>
      </c>
      <c r="C71" s="339" t="s">
        <v>984</v>
      </c>
      <c r="D71" s="339"/>
      <c r="E71" s="340" t="s">
        <v>985</v>
      </c>
      <c r="F71" s="339" t="s">
        <v>175</v>
      </c>
      <c r="G71" s="339">
        <v>45.0</v>
      </c>
      <c r="H71" s="734">
        <v>65.0</v>
      </c>
      <c r="I71" s="709"/>
      <c r="J71" s="731"/>
    </row>
    <row r="72">
      <c r="A72" s="703" t="s">
        <v>986</v>
      </c>
      <c r="B72" s="339" t="s">
        <v>20</v>
      </c>
      <c r="C72" s="339" t="s">
        <v>984</v>
      </c>
      <c r="D72" s="339"/>
      <c r="E72" s="340" t="s">
        <v>987</v>
      </c>
      <c r="F72" s="339" t="s">
        <v>175</v>
      </c>
      <c r="G72" s="339">
        <v>70.0</v>
      </c>
      <c r="H72" s="734">
        <v>85.0</v>
      </c>
      <c r="I72" s="727"/>
      <c r="J72" s="728"/>
    </row>
    <row r="73">
      <c r="A73" s="703" t="s">
        <v>988</v>
      </c>
      <c r="B73" s="339" t="s">
        <v>20</v>
      </c>
      <c r="C73" s="339" t="s">
        <v>989</v>
      </c>
      <c r="D73" s="339"/>
      <c r="E73" s="340" t="s">
        <v>985</v>
      </c>
      <c r="F73" s="339" t="s">
        <v>120</v>
      </c>
      <c r="G73" s="339">
        <v>25.0</v>
      </c>
      <c r="H73" s="734">
        <v>40.0</v>
      </c>
      <c r="I73" s="727"/>
      <c r="J73" s="728"/>
    </row>
    <row r="74">
      <c r="A74" s="703" t="s">
        <v>990</v>
      </c>
      <c r="B74" s="339" t="s">
        <v>20</v>
      </c>
      <c r="C74" s="339" t="s">
        <v>989</v>
      </c>
      <c r="D74" s="339"/>
      <c r="E74" s="340" t="s">
        <v>987</v>
      </c>
      <c r="F74" s="339" t="s">
        <v>120</v>
      </c>
      <c r="G74" s="339">
        <v>40.0</v>
      </c>
      <c r="H74" s="734">
        <v>60.0</v>
      </c>
      <c r="I74" s="727"/>
      <c r="J74" s="728"/>
    </row>
    <row r="75">
      <c r="A75" s="703" t="s">
        <v>991</v>
      </c>
      <c r="B75" s="339" t="s">
        <v>20</v>
      </c>
      <c r="C75" s="339" t="s">
        <v>992</v>
      </c>
      <c r="D75" s="339" t="s">
        <v>993</v>
      </c>
      <c r="E75" s="340" t="s">
        <v>994</v>
      </c>
      <c r="F75" s="339" t="s">
        <v>120</v>
      </c>
      <c r="G75" s="339"/>
      <c r="H75" s="734">
        <v>30.0</v>
      </c>
      <c r="I75" s="727"/>
      <c r="J75" s="726"/>
    </row>
    <row r="76">
      <c r="A76" s="703" t="s">
        <v>995</v>
      </c>
      <c r="B76" s="339" t="s">
        <v>20</v>
      </c>
      <c r="C76" s="339" t="s">
        <v>996</v>
      </c>
      <c r="D76" s="339"/>
      <c r="E76" s="339"/>
      <c r="F76" s="339" t="s">
        <v>175</v>
      </c>
      <c r="G76" s="339">
        <v>30.0</v>
      </c>
      <c r="H76" s="734">
        <v>80.0</v>
      </c>
      <c r="I76" s="727"/>
      <c r="J76" s="722"/>
    </row>
    <row r="77">
      <c r="A77" s="703" t="s">
        <v>997</v>
      </c>
      <c r="B77" s="339" t="s">
        <v>20</v>
      </c>
      <c r="C77" s="339" t="s">
        <v>998</v>
      </c>
      <c r="D77" s="339"/>
      <c r="E77" s="339"/>
      <c r="F77" s="339" t="s">
        <v>175</v>
      </c>
      <c r="G77" s="339">
        <v>20.0</v>
      </c>
      <c r="H77" s="734">
        <v>30.0</v>
      </c>
      <c r="I77" s="727"/>
      <c r="J77" s="728"/>
    </row>
    <row r="78">
      <c r="A78" s="703" t="s">
        <v>999</v>
      </c>
      <c r="B78" s="339" t="s">
        <v>20</v>
      </c>
      <c r="C78" s="339" t="s">
        <v>1000</v>
      </c>
      <c r="D78" s="339"/>
      <c r="E78" s="339"/>
      <c r="F78" s="339" t="s">
        <v>175</v>
      </c>
      <c r="G78" s="339">
        <v>55.0</v>
      </c>
      <c r="H78" s="734">
        <v>70.0</v>
      </c>
      <c r="I78" s="727"/>
      <c r="J78" s="728"/>
    </row>
    <row r="79">
      <c r="A79" s="703" t="s">
        <v>1001</v>
      </c>
      <c r="B79" s="339" t="s">
        <v>20</v>
      </c>
      <c r="C79" s="339" t="s">
        <v>1002</v>
      </c>
      <c r="D79" s="339"/>
      <c r="E79" s="339"/>
      <c r="F79" s="339" t="s">
        <v>175</v>
      </c>
      <c r="G79" s="339">
        <v>80.0</v>
      </c>
      <c r="H79" s="734">
        <v>100.0</v>
      </c>
      <c r="I79" s="727"/>
      <c r="J79" s="728"/>
    </row>
    <row r="80">
      <c r="A80" s="703" t="s">
        <v>1003</v>
      </c>
      <c r="B80" s="339" t="s">
        <v>20</v>
      </c>
      <c r="C80" s="339" t="s">
        <v>1004</v>
      </c>
      <c r="D80" s="339"/>
      <c r="E80" s="339"/>
      <c r="F80" s="339" t="s">
        <v>175</v>
      </c>
      <c r="G80" s="339">
        <v>25.0</v>
      </c>
      <c r="H80" s="734">
        <v>60.0</v>
      </c>
      <c r="I80" s="727"/>
      <c r="J80" s="728"/>
    </row>
    <row r="81">
      <c r="A81" s="703" t="s">
        <v>1005</v>
      </c>
      <c r="B81" s="339" t="s">
        <v>20</v>
      </c>
      <c r="C81" s="339" t="s">
        <v>1006</v>
      </c>
      <c r="D81" s="339" t="s">
        <v>711</v>
      </c>
      <c r="E81" s="339" t="s">
        <v>1007</v>
      </c>
      <c r="F81" s="339" t="s">
        <v>1008</v>
      </c>
      <c r="G81" s="339">
        <v>80.0</v>
      </c>
      <c r="H81" s="743">
        <f t="shared" ref="H81:H82" si="2">K81*1.3</f>
        <v>0</v>
      </c>
      <c r="I81" s="727"/>
      <c r="J81" s="726"/>
    </row>
    <row r="82">
      <c r="A82" s="703" t="s">
        <v>696</v>
      </c>
      <c r="B82" s="339" t="s">
        <v>20</v>
      </c>
      <c r="C82" s="339" t="s">
        <v>1009</v>
      </c>
      <c r="D82" s="339" t="s">
        <v>711</v>
      </c>
      <c r="E82" s="339" t="s">
        <v>1010</v>
      </c>
      <c r="F82" s="339" t="s">
        <v>1008</v>
      </c>
      <c r="G82" s="339">
        <v>100.0</v>
      </c>
      <c r="H82" s="743">
        <f t="shared" si="2"/>
        <v>0</v>
      </c>
      <c r="I82" s="721"/>
      <c r="J82" s="726"/>
    </row>
    <row r="83">
      <c r="A83" s="711" t="s">
        <v>594</v>
      </c>
      <c r="B83" s="712" t="s">
        <v>20</v>
      </c>
      <c r="C83" s="695" t="s">
        <v>1011</v>
      </c>
      <c r="D83" s="679" t="s">
        <v>1012</v>
      </c>
      <c r="E83" s="713" t="s">
        <v>963</v>
      </c>
      <c r="F83" s="695" t="s">
        <v>120</v>
      </c>
      <c r="G83" s="695">
        <v>1000.0</v>
      </c>
      <c r="H83" s="744">
        <v>1500.0</v>
      </c>
      <c r="I83" s="736">
        <v>1000.0</v>
      </c>
      <c r="J83" s="725">
        <v>800.0</v>
      </c>
    </row>
    <row r="84">
      <c r="A84" s="703"/>
      <c r="B84" s="339"/>
      <c r="C84" s="339"/>
      <c r="D84" s="339"/>
      <c r="E84" s="339"/>
      <c r="F84" s="339"/>
      <c r="G84" s="457"/>
      <c r="H84" s="67"/>
      <c r="I84" s="745"/>
      <c r="J84" s="67"/>
    </row>
    <row r="85">
      <c r="A85" s="711" t="s">
        <v>238</v>
      </c>
      <c r="B85" s="712" t="s">
        <v>31</v>
      </c>
      <c r="C85" s="712" t="s">
        <v>180</v>
      </c>
      <c r="D85" s="712" t="s">
        <v>259</v>
      </c>
      <c r="E85" s="712" t="s">
        <v>239</v>
      </c>
      <c r="F85" s="712" t="s">
        <v>175</v>
      </c>
      <c r="G85" s="712">
        <v>450.0</v>
      </c>
      <c r="H85" s="716">
        <v>650.0</v>
      </c>
      <c r="I85" s="736">
        <v>552.0</v>
      </c>
      <c r="J85" s="746">
        <v>450.0</v>
      </c>
    </row>
    <row r="86">
      <c r="A86" s="703" t="s">
        <v>1013</v>
      </c>
      <c r="B86" s="339" t="s">
        <v>31</v>
      </c>
      <c r="C86" s="339" t="s">
        <v>180</v>
      </c>
      <c r="D86" s="339" t="s">
        <v>164</v>
      </c>
      <c r="E86" s="339" t="s">
        <v>672</v>
      </c>
      <c r="F86" s="339" t="s">
        <v>175</v>
      </c>
      <c r="G86" s="457">
        <v>550.0</v>
      </c>
      <c r="H86" s="747">
        <v>800.0</v>
      </c>
      <c r="I86" s="721"/>
      <c r="J86" s="748"/>
    </row>
    <row r="87">
      <c r="A87" s="703" t="s">
        <v>236</v>
      </c>
      <c r="B87" s="339" t="s">
        <v>31</v>
      </c>
      <c r="C87" s="339" t="s">
        <v>180</v>
      </c>
      <c r="D87" s="339" t="s">
        <v>174</v>
      </c>
      <c r="E87" s="339" t="s">
        <v>1014</v>
      </c>
      <c r="F87" s="339" t="s">
        <v>175</v>
      </c>
      <c r="G87" s="457">
        <v>500.0</v>
      </c>
      <c r="H87" s="747">
        <v>750.0</v>
      </c>
      <c r="I87" s="721"/>
      <c r="J87" s="748"/>
    </row>
    <row r="88">
      <c r="A88" s="703" t="s">
        <v>1015</v>
      </c>
      <c r="B88" s="339" t="s">
        <v>31</v>
      </c>
      <c r="C88" s="339" t="s">
        <v>180</v>
      </c>
      <c r="D88" s="339" t="s">
        <v>1016</v>
      </c>
      <c r="E88" s="339" t="s">
        <v>1017</v>
      </c>
      <c r="F88" s="339" t="s">
        <v>175</v>
      </c>
      <c r="G88" s="457">
        <v>725.0</v>
      </c>
      <c r="H88" s="747">
        <v>950.0</v>
      </c>
      <c r="I88" s="721"/>
      <c r="J88" s="748"/>
    </row>
    <row r="89">
      <c r="A89" s="703" t="s">
        <v>1018</v>
      </c>
      <c r="B89" s="339" t="s">
        <v>31</v>
      </c>
      <c r="C89" s="339" t="s">
        <v>180</v>
      </c>
      <c r="D89" s="339" t="s">
        <v>1019</v>
      </c>
      <c r="E89" s="339" t="s">
        <v>1020</v>
      </c>
      <c r="F89" s="339" t="s">
        <v>175</v>
      </c>
      <c r="G89" s="457">
        <v>450.0</v>
      </c>
      <c r="H89" s="747">
        <v>650.0</v>
      </c>
      <c r="I89" s="721"/>
      <c r="J89" s="748"/>
    </row>
    <row r="90">
      <c r="A90" s="711" t="s">
        <v>179</v>
      </c>
      <c r="B90" s="712" t="s">
        <v>31</v>
      </c>
      <c r="C90" s="712" t="s">
        <v>180</v>
      </c>
      <c r="D90" s="712" t="s">
        <v>1021</v>
      </c>
      <c r="E90" s="712" t="s">
        <v>1022</v>
      </c>
      <c r="F90" s="712" t="s">
        <v>175</v>
      </c>
      <c r="G90" s="712">
        <v>450.0</v>
      </c>
      <c r="H90" s="716">
        <v>650.0</v>
      </c>
      <c r="I90" s="736">
        <v>552.0</v>
      </c>
      <c r="J90" s="749">
        <v>450.0</v>
      </c>
    </row>
    <row r="91">
      <c r="A91" s="703" t="s">
        <v>1023</v>
      </c>
      <c r="B91" s="339" t="s">
        <v>31</v>
      </c>
      <c r="C91" s="339" t="s">
        <v>180</v>
      </c>
      <c r="D91" s="339" t="s">
        <v>1024</v>
      </c>
      <c r="E91" s="339" t="s">
        <v>1025</v>
      </c>
      <c r="F91" s="339" t="s">
        <v>175</v>
      </c>
      <c r="G91" s="457">
        <v>475.0</v>
      </c>
      <c r="H91" s="747">
        <v>700.0</v>
      </c>
      <c r="I91" s="721"/>
      <c r="J91" s="748"/>
    </row>
    <row r="92">
      <c r="A92" s="703" t="s">
        <v>1026</v>
      </c>
      <c r="B92" s="339" t="s">
        <v>31</v>
      </c>
      <c r="C92" s="339" t="s">
        <v>1027</v>
      </c>
      <c r="D92" s="339" t="s">
        <v>259</v>
      </c>
      <c r="E92" s="339" t="s">
        <v>239</v>
      </c>
      <c r="F92" s="339" t="s">
        <v>175</v>
      </c>
      <c r="G92" s="457">
        <v>500.0</v>
      </c>
      <c r="H92" s="747">
        <v>700.0</v>
      </c>
      <c r="I92" s="721"/>
      <c r="J92" s="748"/>
    </row>
    <row r="93">
      <c r="A93" s="703" t="s">
        <v>1028</v>
      </c>
      <c r="B93" s="339" t="s">
        <v>31</v>
      </c>
      <c r="C93" s="339" t="s">
        <v>1027</v>
      </c>
      <c r="D93" s="339" t="s">
        <v>164</v>
      </c>
      <c r="E93" s="339" t="s">
        <v>672</v>
      </c>
      <c r="F93" s="339" t="s">
        <v>175</v>
      </c>
      <c r="G93" s="457">
        <v>650.0</v>
      </c>
      <c r="H93" s="747">
        <v>900.0</v>
      </c>
      <c r="I93" s="721"/>
      <c r="J93" s="748"/>
    </row>
    <row r="94">
      <c r="A94" s="703" t="s">
        <v>1029</v>
      </c>
      <c r="B94" s="339" t="s">
        <v>31</v>
      </c>
      <c r="C94" s="339" t="s">
        <v>1027</v>
      </c>
      <c r="D94" s="339" t="s">
        <v>1019</v>
      </c>
      <c r="E94" s="339" t="s">
        <v>1020</v>
      </c>
      <c r="F94" s="339" t="s">
        <v>175</v>
      </c>
      <c r="G94" s="457">
        <v>500.0</v>
      </c>
      <c r="H94" s="747">
        <v>700.0</v>
      </c>
      <c r="I94" s="721"/>
      <c r="J94" s="748"/>
    </row>
    <row r="95">
      <c r="A95" s="703" t="s">
        <v>1030</v>
      </c>
      <c r="B95" s="339" t="s">
        <v>31</v>
      </c>
      <c r="C95" s="339" t="s">
        <v>1027</v>
      </c>
      <c r="D95" s="339" t="s">
        <v>1021</v>
      </c>
      <c r="E95" s="339" t="s">
        <v>1022</v>
      </c>
      <c r="F95" s="339" t="s">
        <v>175</v>
      </c>
      <c r="G95" s="457">
        <v>500.0</v>
      </c>
      <c r="H95" s="747">
        <v>700.0</v>
      </c>
      <c r="I95" s="721"/>
      <c r="J95" s="748"/>
    </row>
    <row r="96">
      <c r="A96" s="703" t="s">
        <v>1031</v>
      </c>
      <c r="B96" s="339" t="s">
        <v>31</v>
      </c>
      <c r="C96" s="339" t="s">
        <v>1032</v>
      </c>
      <c r="D96" s="339" t="s">
        <v>259</v>
      </c>
      <c r="E96" s="339" t="s">
        <v>239</v>
      </c>
      <c r="F96" s="339" t="s">
        <v>175</v>
      </c>
      <c r="G96" s="457">
        <v>450.0</v>
      </c>
      <c r="H96" s="747">
        <v>650.0</v>
      </c>
      <c r="I96" s="721"/>
      <c r="J96" s="748"/>
    </row>
    <row r="97">
      <c r="A97" s="703" t="s">
        <v>1033</v>
      </c>
      <c r="B97" s="339" t="s">
        <v>31</v>
      </c>
      <c r="C97" s="339" t="s">
        <v>1032</v>
      </c>
      <c r="D97" s="339" t="s">
        <v>164</v>
      </c>
      <c r="E97" s="339" t="s">
        <v>672</v>
      </c>
      <c r="F97" s="339" t="s">
        <v>175</v>
      </c>
      <c r="G97" s="457">
        <v>550.0</v>
      </c>
      <c r="H97" s="747">
        <v>800.0</v>
      </c>
      <c r="I97" s="721"/>
      <c r="J97" s="748"/>
    </row>
    <row r="98">
      <c r="A98" s="703" t="s">
        <v>1034</v>
      </c>
      <c r="B98" s="339" t="s">
        <v>31</v>
      </c>
      <c r="C98" s="339" t="s">
        <v>294</v>
      </c>
      <c r="D98" s="339" t="s">
        <v>1024</v>
      </c>
      <c r="E98" s="339" t="s">
        <v>1025</v>
      </c>
      <c r="F98" s="339" t="s">
        <v>175</v>
      </c>
      <c r="G98" s="457">
        <v>475.0</v>
      </c>
      <c r="H98" s="747">
        <v>700.0</v>
      </c>
      <c r="I98" s="721"/>
      <c r="J98" s="748"/>
    </row>
    <row r="99">
      <c r="A99" s="703" t="s">
        <v>1035</v>
      </c>
      <c r="B99" s="339" t="s">
        <v>31</v>
      </c>
      <c r="C99" s="339" t="s">
        <v>1036</v>
      </c>
      <c r="D99" s="339" t="s">
        <v>259</v>
      </c>
      <c r="E99" s="339" t="s">
        <v>239</v>
      </c>
      <c r="F99" s="339" t="s">
        <v>120</v>
      </c>
      <c r="G99" s="457">
        <v>350.0</v>
      </c>
      <c r="H99" s="747">
        <v>500.0</v>
      </c>
      <c r="I99" s="721"/>
      <c r="J99" s="748"/>
    </row>
    <row r="100">
      <c r="A100" s="703" t="s">
        <v>1037</v>
      </c>
      <c r="B100" s="339" t="s">
        <v>31</v>
      </c>
      <c r="C100" s="339" t="s">
        <v>1036</v>
      </c>
      <c r="D100" s="339" t="s">
        <v>164</v>
      </c>
      <c r="E100" s="339" t="s">
        <v>672</v>
      </c>
      <c r="F100" s="339" t="s">
        <v>120</v>
      </c>
      <c r="G100" s="457">
        <v>350.0</v>
      </c>
      <c r="H100" s="747">
        <v>600.0</v>
      </c>
      <c r="I100" s="721"/>
      <c r="J100" s="748"/>
    </row>
    <row r="101">
      <c r="A101" s="711" t="s">
        <v>243</v>
      </c>
      <c r="B101" s="712" t="s">
        <v>31</v>
      </c>
      <c r="C101" s="712" t="s">
        <v>244</v>
      </c>
      <c r="D101" s="712" t="s">
        <v>259</v>
      </c>
      <c r="E101" s="712" t="s">
        <v>1038</v>
      </c>
      <c r="F101" s="712" t="s">
        <v>175</v>
      </c>
      <c r="G101" s="712">
        <v>1600.0</v>
      </c>
      <c r="H101" s="750">
        <v>2200.0</v>
      </c>
      <c r="I101" s="736">
        <v>1900.0</v>
      </c>
      <c r="J101" s="749">
        <v>1600.0</v>
      </c>
    </row>
    <row r="102">
      <c r="A102" s="703" t="s">
        <v>1039</v>
      </c>
      <c r="B102" s="339" t="s">
        <v>31</v>
      </c>
      <c r="C102" s="339" t="s">
        <v>244</v>
      </c>
      <c r="D102" s="339" t="s">
        <v>164</v>
      </c>
      <c r="E102" s="339" t="s">
        <v>1040</v>
      </c>
      <c r="F102" s="339" t="s">
        <v>175</v>
      </c>
      <c r="G102" s="457">
        <v>1750.0</v>
      </c>
      <c r="H102" s="747">
        <v>2500.0</v>
      </c>
      <c r="I102" s="721"/>
      <c r="J102" s="748"/>
    </row>
    <row r="103">
      <c r="A103" s="703" t="s">
        <v>1041</v>
      </c>
      <c r="B103" s="339" t="s">
        <v>31</v>
      </c>
      <c r="C103" s="339" t="s">
        <v>244</v>
      </c>
      <c r="D103" s="339" t="s">
        <v>178</v>
      </c>
      <c r="E103" s="339"/>
      <c r="F103" s="339" t="s">
        <v>175</v>
      </c>
      <c r="G103" s="457">
        <v>1600.0</v>
      </c>
      <c r="H103" s="747">
        <v>2200.0</v>
      </c>
      <c r="I103" s="721"/>
      <c r="J103" s="748"/>
    </row>
    <row r="104">
      <c r="A104" s="703" t="s">
        <v>263</v>
      </c>
      <c r="B104" s="339" t="s">
        <v>31</v>
      </c>
      <c r="C104" s="339" t="s">
        <v>244</v>
      </c>
      <c r="D104" s="339" t="s">
        <v>1016</v>
      </c>
      <c r="E104" s="339" t="s">
        <v>1042</v>
      </c>
      <c r="F104" s="339" t="s">
        <v>175</v>
      </c>
      <c r="G104" s="457">
        <v>1800.0</v>
      </c>
      <c r="H104" s="747">
        <v>2800.0</v>
      </c>
      <c r="I104" s="721"/>
      <c r="J104" s="748"/>
    </row>
    <row r="105">
      <c r="A105" s="711" t="s">
        <v>227</v>
      </c>
      <c r="B105" s="712" t="s">
        <v>31</v>
      </c>
      <c r="C105" s="712" t="s">
        <v>761</v>
      </c>
      <c r="D105" s="712" t="s">
        <v>259</v>
      </c>
      <c r="E105" s="712" t="s">
        <v>1043</v>
      </c>
      <c r="F105" s="712" t="s">
        <v>175</v>
      </c>
      <c r="G105" s="712">
        <v>1400.0</v>
      </c>
      <c r="H105" s="716">
        <v>2000.0</v>
      </c>
      <c r="I105" s="736">
        <v>1700.0</v>
      </c>
      <c r="J105" s="749">
        <v>1400.0</v>
      </c>
    </row>
    <row r="106">
      <c r="A106" s="703" t="s">
        <v>1044</v>
      </c>
      <c r="B106" s="339" t="s">
        <v>31</v>
      </c>
      <c r="C106" s="339" t="s">
        <v>761</v>
      </c>
      <c r="D106" s="339" t="s">
        <v>164</v>
      </c>
      <c r="E106" s="339" t="s">
        <v>192</v>
      </c>
      <c r="F106" s="339" t="s">
        <v>175</v>
      </c>
      <c r="G106" s="457">
        <v>1600.0</v>
      </c>
      <c r="H106" s="747">
        <v>2200.0</v>
      </c>
      <c r="I106" s="721"/>
      <c r="J106" s="748"/>
    </row>
    <row r="107">
      <c r="A107" s="703" t="s">
        <v>1045</v>
      </c>
      <c r="B107" s="339" t="s">
        <v>31</v>
      </c>
      <c r="C107" s="339" t="s">
        <v>761</v>
      </c>
      <c r="D107" s="339" t="s">
        <v>178</v>
      </c>
      <c r="E107" s="339" t="s">
        <v>1046</v>
      </c>
      <c r="F107" s="339" t="s">
        <v>175</v>
      </c>
      <c r="G107" s="457">
        <v>1400.0</v>
      </c>
      <c r="H107" s="747">
        <v>2000.0</v>
      </c>
      <c r="I107" s="721"/>
      <c r="J107" s="748"/>
    </row>
    <row r="108">
      <c r="A108" s="703" t="s">
        <v>1047</v>
      </c>
      <c r="B108" s="339" t="s">
        <v>31</v>
      </c>
      <c r="C108" s="339" t="s">
        <v>761</v>
      </c>
      <c r="D108" s="339" t="s">
        <v>266</v>
      </c>
      <c r="E108" s="339" t="s">
        <v>1048</v>
      </c>
      <c r="F108" s="339" t="s">
        <v>175</v>
      </c>
      <c r="G108" s="457">
        <v>1500.0</v>
      </c>
      <c r="H108" s="747">
        <v>2100.0</v>
      </c>
      <c r="I108" s="721"/>
      <c r="J108" s="748"/>
    </row>
    <row r="109">
      <c r="A109" s="711" t="s">
        <v>170</v>
      </c>
      <c r="B109" s="712" t="s">
        <v>31</v>
      </c>
      <c r="C109" s="712" t="s">
        <v>1049</v>
      </c>
      <c r="D109" s="712" t="s">
        <v>259</v>
      </c>
      <c r="E109" s="712" t="s">
        <v>1043</v>
      </c>
      <c r="F109" s="712" t="s">
        <v>175</v>
      </c>
      <c r="G109" s="712">
        <v>1350.0</v>
      </c>
      <c r="H109" s="716">
        <v>1800.0</v>
      </c>
      <c r="I109" s="736">
        <v>1600.0</v>
      </c>
      <c r="J109" s="749">
        <v>1350.0</v>
      </c>
    </row>
    <row r="110">
      <c r="A110" s="703" t="s">
        <v>1050</v>
      </c>
      <c r="B110" s="339" t="s">
        <v>31</v>
      </c>
      <c r="C110" s="339" t="s">
        <v>1049</v>
      </c>
      <c r="D110" s="339" t="s">
        <v>1051</v>
      </c>
      <c r="E110" s="339" t="s">
        <v>1052</v>
      </c>
      <c r="F110" s="339" t="s">
        <v>175</v>
      </c>
      <c r="G110" s="457">
        <v>850.0</v>
      </c>
      <c r="H110" s="747">
        <v>1200.0</v>
      </c>
      <c r="I110" s="721"/>
      <c r="J110" s="748"/>
    </row>
    <row r="111">
      <c r="A111" s="703" t="s">
        <v>1053</v>
      </c>
      <c r="B111" s="339" t="s">
        <v>31</v>
      </c>
      <c r="C111" s="339" t="s">
        <v>1049</v>
      </c>
      <c r="D111" s="339" t="s">
        <v>164</v>
      </c>
      <c r="E111" s="339" t="s">
        <v>192</v>
      </c>
      <c r="F111" s="339" t="s">
        <v>175</v>
      </c>
      <c r="G111" s="457">
        <v>1500.0</v>
      </c>
      <c r="H111" s="747">
        <v>2100.0</v>
      </c>
      <c r="I111" s="721"/>
      <c r="J111" s="748"/>
    </row>
    <row r="112">
      <c r="A112" s="703" t="s">
        <v>1054</v>
      </c>
      <c r="B112" s="339" t="s">
        <v>31</v>
      </c>
      <c r="C112" s="339" t="s">
        <v>1049</v>
      </c>
      <c r="D112" s="339" t="s">
        <v>178</v>
      </c>
      <c r="E112" s="339" t="s">
        <v>1046</v>
      </c>
      <c r="F112" s="339" t="s">
        <v>175</v>
      </c>
      <c r="G112" s="457">
        <v>1350.0</v>
      </c>
      <c r="H112" s="747">
        <v>1800.0</v>
      </c>
      <c r="I112" s="721"/>
      <c r="J112" s="748"/>
    </row>
    <row r="113">
      <c r="A113" s="703" t="s">
        <v>1055</v>
      </c>
      <c r="B113" s="339" t="s">
        <v>31</v>
      </c>
      <c r="C113" s="339" t="s">
        <v>1049</v>
      </c>
      <c r="D113" s="339" t="s">
        <v>1016</v>
      </c>
      <c r="E113" s="339" t="s">
        <v>1056</v>
      </c>
      <c r="F113" s="339" t="s">
        <v>175</v>
      </c>
      <c r="G113" s="457">
        <v>1800.0</v>
      </c>
      <c r="H113" s="747">
        <v>2500.0</v>
      </c>
      <c r="I113" s="721"/>
      <c r="J113" s="748"/>
    </row>
    <row r="114">
      <c r="A114" s="711" t="s">
        <v>1057</v>
      </c>
      <c r="B114" s="712" t="s">
        <v>31</v>
      </c>
      <c r="C114" s="712" t="s">
        <v>1058</v>
      </c>
      <c r="D114" s="712" t="s">
        <v>259</v>
      </c>
      <c r="E114" s="712" t="s">
        <v>1059</v>
      </c>
      <c r="F114" s="712" t="s">
        <v>560</v>
      </c>
      <c r="G114" s="695">
        <f>900*3*7</f>
        <v>18900</v>
      </c>
      <c r="H114" s="672">
        <v>25000.0</v>
      </c>
      <c r="I114" s="736">
        <v>23000.0</v>
      </c>
      <c r="J114" s="749">
        <v>18900.0</v>
      </c>
    </row>
    <row r="115">
      <c r="A115" s="703" t="s">
        <v>1060</v>
      </c>
      <c r="B115" s="339" t="s">
        <v>31</v>
      </c>
      <c r="C115" s="339" t="s">
        <v>1058</v>
      </c>
      <c r="D115" s="339" t="s">
        <v>164</v>
      </c>
      <c r="E115" s="339" t="s">
        <v>168</v>
      </c>
      <c r="F115" s="339" t="s">
        <v>560</v>
      </c>
      <c r="G115" s="457">
        <f>1000*3*7</f>
        <v>21000</v>
      </c>
      <c r="H115" s="747">
        <v>28000.0</v>
      </c>
      <c r="I115" s="721"/>
      <c r="J115" s="748"/>
    </row>
    <row r="116">
      <c r="A116" s="703" t="s">
        <v>1061</v>
      </c>
      <c r="B116" s="339" t="s">
        <v>31</v>
      </c>
      <c r="C116" s="339" t="s">
        <v>1058</v>
      </c>
      <c r="D116" s="339" t="s">
        <v>178</v>
      </c>
      <c r="E116" s="339" t="s">
        <v>1062</v>
      </c>
      <c r="F116" s="339" t="s">
        <v>560</v>
      </c>
      <c r="G116" s="457">
        <f>900*3*7</f>
        <v>18900</v>
      </c>
      <c r="H116" s="747">
        <v>25000.0</v>
      </c>
      <c r="I116" s="721"/>
      <c r="J116" s="748"/>
    </row>
    <row r="117">
      <c r="A117" s="711" t="s">
        <v>1063</v>
      </c>
      <c r="B117" s="712" t="s">
        <v>31</v>
      </c>
      <c r="C117" s="712" t="s">
        <v>167</v>
      </c>
      <c r="D117" s="712" t="s">
        <v>259</v>
      </c>
      <c r="E117" s="712" t="s">
        <v>1059</v>
      </c>
      <c r="F117" s="712" t="s">
        <v>120</v>
      </c>
      <c r="G117" s="712">
        <v>400.0</v>
      </c>
      <c r="H117" s="716">
        <v>600.0</v>
      </c>
      <c r="I117" s="736">
        <v>510.0</v>
      </c>
      <c r="J117" s="749">
        <v>400.0</v>
      </c>
    </row>
    <row r="118">
      <c r="A118" s="703" t="s">
        <v>1064</v>
      </c>
      <c r="B118" s="339" t="s">
        <v>31</v>
      </c>
      <c r="C118" s="339" t="s">
        <v>167</v>
      </c>
      <c r="D118" s="339" t="s">
        <v>164</v>
      </c>
      <c r="E118" s="339" t="s">
        <v>168</v>
      </c>
      <c r="F118" s="339" t="s">
        <v>120</v>
      </c>
      <c r="G118" s="457">
        <v>500.0</v>
      </c>
      <c r="H118" s="747">
        <v>750.0</v>
      </c>
      <c r="I118" s="721"/>
      <c r="J118" s="748"/>
    </row>
    <row r="119">
      <c r="A119" s="703" t="s">
        <v>1065</v>
      </c>
      <c r="B119" s="339" t="s">
        <v>31</v>
      </c>
      <c r="C119" s="339" t="s">
        <v>167</v>
      </c>
      <c r="D119" s="339" t="s">
        <v>178</v>
      </c>
      <c r="E119" s="339" t="s">
        <v>1062</v>
      </c>
      <c r="F119" s="339" t="s">
        <v>120</v>
      </c>
      <c r="G119" s="457">
        <v>400.0</v>
      </c>
      <c r="H119" s="747">
        <v>600.0</v>
      </c>
      <c r="I119" s="721"/>
      <c r="J119" s="748"/>
    </row>
    <row r="120">
      <c r="A120" s="703" t="s">
        <v>1066</v>
      </c>
      <c r="B120" s="339" t="s">
        <v>31</v>
      </c>
      <c r="C120" s="339" t="s">
        <v>1067</v>
      </c>
      <c r="D120" s="339" t="s">
        <v>259</v>
      </c>
      <c r="E120" s="339" t="s">
        <v>1068</v>
      </c>
      <c r="F120" s="339" t="s">
        <v>120</v>
      </c>
      <c r="G120" s="457"/>
      <c r="H120" s="747">
        <v>1100.0</v>
      </c>
      <c r="I120" s="721"/>
      <c r="J120" s="747"/>
    </row>
    <row r="121">
      <c r="A121" s="703" t="s">
        <v>1069</v>
      </c>
      <c r="B121" s="339" t="s">
        <v>31</v>
      </c>
      <c r="C121" s="339" t="s">
        <v>1067</v>
      </c>
      <c r="D121" s="339" t="s">
        <v>164</v>
      </c>
      <c r="E121" s="339" t="s">
        <v>1070</v>
      </c>
      <c r="F121" s="339" t="s">
        <v>120</v>
      </c>
      <c r="G121" s="457"/>
      <c r="H121" s="747">
        <v>1200.0</v>
      </c>
      <c r="I121" s="721"/>
      <c r="J121" s="747"/>
    </row>
    <row r="122">
      <c r="A122" s="703" t="s">
        <v>1071</v>
      </c>
      <c r="B122" s="339" t="s">
        <v>31</v>
      </c>
      <c r="C122" s="339" t="s">
        <v>1067</v>
      </c>
      <c r="D122" s="339" t="s">
        <v>1072</v>
      </c>
      <c r="E122" s="339" t="s">
        <v>1073</v>
      </c>
      <c r="F122" s="339" t="s">
        <v>120</v>
      </c>
      <c r="G122" s="457"/>
      <c r="H122" s="747">
        <v>1000.0</v>
      </c>
      <c r="I122" s="721"/>
      <c r="J122" s="747"/>
    </row>
    <row r="123">
      <c r="A123" s="703" t="s">
        <v>1074</v>
      </c>
      <c r="B123" s="339" t="s">
        <v>31</v>
      </c>
      <c r="C123" s="339" t="s">
        <v>1075</v>
      </c>
      <c r="D123" s="339" t="s">
        <v>259</v>
      </c>
      <c r="E123" s="339" t="s">
        <v>1059</v>
      </c>
      <c r="F123" s="339" t="s">
        <v>175</v>
      </c>
      <c r="G123" s="457">
        <v>1000.0</v>
      </c>
      <c r="H123" s="747">
        <v>1350.0</v>
      </c>
      <c r="I123" s="721"/>
      <c r="J123" s="751"/>
    </row>
    <row r="124">
      <c r="A124" s="703" t="s">
        <v>1076</v>
      </c>
      <c r="B124" s="339" t="s">
        <v>31</v>
      </c>
      <c r="C124" s="339" t="s">
        <v>1075</v>
      </c>
      <c r="D124" s="339" t="s">
        <v>164</v>
      </c>
      <c r="E124" s="339" t="s">
        <v>168</v>
      </c>
      <c r="F124" s="339" t="s">
        <v>175</v>
      </c>
      <c r="G124" s="457">
        <v>1150.0</v>
      </c>
      <c r="H124" s="747">
        <v>1500.0</v>
      </c>
      <c r="I124" s="721"/>
      <c r="J124" s="748"/>
    </row>
    <row r="125">
      <c r="A125" s="703" t="s">
        <v>1077</v>
      </c>
      <c r="B125" s="339" t="s">
        <v>31</v>
      </c>
      <c r="C125" s="339" t="s">
        <v>1075</v>
      </c>
      <c r="D125" s="339" t="s">
        <v>178</v>
      </c>
      <c r="E125" s="339" t="s">
        <v>1062</v>
      </c>
      <c r="F125" s="339" t="s">
        <v>175</v>
      </c>
      <c r="G125" s="457">
        <v>1000.0</v>
      </c>
      <c r="H125" s="747">
        <v>1350.0</v>
      </c>
      <c r="I125" s="721"/>
      <c r="J125" s="748"/>
    </row>
    <row r="126">
      <c r="A126" s="703" t="s">
        <v>1078</v>
      </c>
      <c r="B126" s="339" t="s">
        <v>31</v>
      </c>
      <c r="C126" s="339" t="s">
        <v>1079</v>
      </c>
      <c r="D126" s="339" t="s">
        <v>259</v>
      </c>
      <c r="E126" s="339" t="s">
        <v>1059</v>
      </c>
      <c r="F126" s="339" t="s">
        <v>175</v>
      </c>
      <c r="G126" s="457">
        <v>1100.0</v>
      </c>
      <c r="H126" s="747">
        <v>1450.0</v>
      </c>
      <c r="I126" s="721"/>
      <c r="J126" s="748"/>
    </row>
    <row r="127">
      <c r="A127" s="703" t="s">
        <v>1080</v>
      </c>
      <c r="B127" s="339" t="s">
        <v>31</v>
      </c>
      <c r="C127" s="339" t="s">
        <v>1079</v>
      </c>
      <c r="D127" s="339" t="s">
        <v>164</v>
      </c>
      <c r="E127" s="339" t="s">
        <v>168</v>
      </c>
      <c r="F127" s="339" t="s">
        <v>175</v>
      </c>
      <c r="G127" s="457">
        <v>1300.0</v>
      </c>
      <c r="H127" s="747">
        <v>1600.0</v>
      </c>
      <c r="I127" s="721"/>
      <c r="J127" s="748"/>
    </row>
    <row r="128">
      <c r="A128" s="703" t="s">
        <v>1081</v>
      </c>
      <c r="B128" s="339" t="s">
        <v>31</v>
      </c>
      <c r="C128" s="339" t="s">
        <v>1079</v>
      </c>
      <c r="D128" s="339" t="s">
        <v>178</v>
      </c>
      <c r="E128" s="339" t="s">
        <v>1062</v>
      </c>
      <c r="F128" s="339" t="s">
        <v>175</v>
      </c>
      <c r="G128" s="457">
        <v>1100.0</v>
      </c>
      <c r="H128" s="747">
        <v>1450.0</v>
      </c>
      <c r="I128" s="721"/>
      <c r="J128" s="748"/>
    </row>
    <row r="129">
      <c r="A129" s="711" t="s">
        <v>230</v>
      </c>
      <c r="B129" s="712" t="s">
        <v>31</v>
      </c>
      <c r="C129" s="712" t="s">
        <v>231</v>
      </c>
      <c r="D129" s="712" t="s">
        <v>266</v>
      </c>
      <c r="E129" s="712" t="s">
        <v>228</v>
      </c>
      <c r="F129" s="712" t="s">
        <v>175</v>
      </c>
      <c r="G129" s="712">
        <v>950.0</v>
      </c>
      <c r="H129" s="716">
        <v>1300.0</v>
      </c>
      <c r="I129" s="736">
        <v>1100.0</v>
      </c>
      <c r="J129" s="749">
        <v>950.0</v>
      </c>
    </row>
    <row r="130">
      <c r="A130" s="711" t="s">
        <v>232</v>
      </c>
      <c r="B130" s="712" t="s">
        <v>31</v>
      </c>
      <c r="C130" s="712" t="s">
        <v>1082</v>
      </c>
      <c r="D130" s="712" t="s">
        <v>259</v>
      </c>
      <c r="E130" s="712" t="s">
        <v>559</v>
      </c>
      <c r="F130" s="712" t="s">
        <v>560</v>
      </c>
      <c r="G130" s="712">
        <v>6500.0</v>
      </c>
      <c r="H130" s="716">
        <v>13000.0</v>
      </c>
      <c r="I130" s="736">
        <v>10000.0</v>
      </c>
      <c r="J130" s="749">
        <v>6500.0</v>
      </c>
    </row>
    <row r="131">
      <c r="A131" s="703" t="s">
        <v>1083</v>
      </c>
      <c r="B131" s="339" t="s">
        <v>31</v>
      </c>
      <c r="C131" s="339" t="s">
        <v>1082</v>
      </c>
      <c r="D131" s="339" t="s">
        <v>164</v>
      </c>
      <c r="E131" s="339" t="s">
        <v>1084</v>
      </c>
      <c r="F131" s="339" t="s">
        <v>560</v>
      </c>
      <c r="G131" s="457">
        <v>8000.0</v>
      </c>
      <c r="H131" s="747">
        <v>15000.0</v>
      </c>
      <c r="I131" s="721"/>
      <c r="J131" s="748"/>
    </row>
    <row r="132">
      <c r="A132" s="703" t="s">
        <v>1085</v>
      </c>
      <c r="B132" s="339" t="s">
        <v>31</v>
      </c>
      <c r="C132" s="339" t="s">
        <v>1082</v>
      </c>
      <c r="D132" s="339" t="s">
        <v>178</v>
      </c>
      <c r="E132" s="339" t="s">
        <v>1086</v>
      </c>
      <c r="F132" s="339" t="s">
        <v>560</v>
      </c>
      <c r="G132" s="457">
        <v>6500.0</v>
      </c>
      <c r="H132" s="747">
        <v>9000.0</v>
      </c>
      <c r="I132" s="721"/>
      <c r="J132" s="748"/>
    </row>
    <row r="133">
      <c r="A133" s="711" t="s">
        <v>248</v>
      </c>
      <c r="B133" s="712" t="s">
        <v>31</v>
      </c>
      <c r="C133" s="712" t="s">
        <v>1087</v>
      </c>
      <c r="D133" s="712" t="s">
        <v>259</v>
      </c>
      <c r="E133" s="712" t="s">
        <v>1088</v>
      </c>
      <c r="F133" s="712" t="s">
        <v>120</v>
      </c>
      <c r="G133" s="712">
        <v>3000.0</v>
      </c>
      <c r="H133" s="716">
        <v>4500.0</v>
      </c>
      <c r="I133" s="736">
        <v>3825.0</v>
      </c>
      <c r="J133" s="749">
        <v>3000.0</v>
      </c>
    </row>
    <row r="134">
      <c r="A134" s="703" t="s">
        <v>1089</v>
      </c>
      <c r="B134" s="339" t="s">
        <v>31</v>
      </c>
      <c r="C134" s="339" t="s">
        <v>1087</v>
      </c>
      <c r="D134" s="339" t="s">
        <v>164</v>
      </c>
      <c r="E134" s="339" t="s">
        <v>1090</v>
      </c>
      <c r="F134" s="339" t="s">
        <v>120</v>
      </c>
      <c r="G134" s="457">
        <v>4000.0</v>
      </c>
      <c r="H134" s="747">
        <v>6000.0</v>
      </c>
      <c r="I134" s="721"/>
      <c r="J134" s="748"/>
    </row>
    <row r="135">
      <c r="A135" s="703" t="s">
        <v>1091</v>
      </c>
      <c r="B135" s="339" t="s">
        <v>31</v>
      </c>
      <c r="C135" s="339" t="s">
        <v>1087</v>
      </c>
      <c r="D135" s="339" t="s">
        <v>178</v>
      </c>
      <c r="E135" s="339" t="s">
        <v>1092</v>
      </c>
      <c r="F135" s="339" t="s">
        <v>120</v>
      </c>
      <c r="G135" s="457">
        <v>3000.0</v>
      </c>
      <c r="H135" s="747">
        <v>4500.0</v>
      </c>
      <c r="I135" s="721"/>
      <c r="J135" s="748"/>
    </row>
    <row r="136">
      <c r="A136" s="703" t="s">
        <v>1093</v>
      </c>
      <c r="B136" s="339" t="s">
        <v>31</v>
      </c>
      <c r="C136" s="339" t="s">
        <v>1094</v>
      </c>
      <c r="D136" s="339" t="s">
        <v>259</v>
      </c>
      <c r="E136" s="339" t="s">
        <v>1059</v>
      </c>
      <c r="F136" s="339" t="s">
        <v>120</v>
      </c>
      <c r="G136" s="457">
        <v>800.0</v>
      </c>
      <c r="H136" s="747">
        <v>1000.0</v>
      </c>
      <c r="I136" s="721"/>
      <c r="J136" s="748"/>
    </row>
    <row r="137">
      <c r="A137" s="703" t="s">
        <v>1095</v>
      </c>
      <c r="B137" s="339" t="s">
        <v>31</v>
      </c>
      <c r="C137" s="339" t="s">
        <v>1094</v>
      </c>
      <c r="D137" s="339" t="s">
        <v>164</v>
      </c>
      <c r="E137" s="339" t="s">
        <v>168</v>
      </c>
      <c r="F137" s="339" t="s">
        <v>120</v>
      </c>
      <c r="G137" s="457">
        <v>900.0</v>
      </c>
      <c r="H137" s="747">
        <v>1200.0</v>
      </c>
      <c r="I137" s="721"/>
      <c r="J137" s="748"/>
    </row>
    <row r="138">
      <c r="A138" s="703" t="s">
        <v>1096</v>
      </c>
      <c r="B138" s="339" t="s">
        <v>31</v>
      </c>
      <c r="C138" s="339" t="s">
        <v>1094</v>
      </c>
      <c r="D138" s="339" t="s">
        <v>178</v>
      </c>
      <c r="E138" s="339" t="s">
        <v>1062</v>
      </c>
      <c r="F138" s="339" t="s">
        <v>120</v>
      </c>
      <c r="G138" s="457">
        <v>800.0</v>
      </c>
      <c r="H138" s="747">
        <v>1000.0</v>
      </c>
      <c r="I138" s="721"/>
      <c r="J138" s="748"/>
    </row>
    <row r="139">
      <c r="A139" s="703" t="s">
        <v>1097</v>
      </c>
      <c r="B139" s="339" t="s">
        <v>31</v>
      </c>
      <c r="C139" s="339" t="s">
        <v>1098</v>
      </c>
      <c r="D139" s="339" t="s">
        <v>259</v>
      </c>
      <c r="E139" s="339" t="s">
        <v>1043</v>
      </c>
      <c r="F139" s="339" t="s">
        <v>175</v>
      </c>
      <c r="G139" s="457">
        <v>550.0</v>
      </c>
      <c r="H139" s="747">
        <v>700.0</v>
      </c>
      <c r="I139" s="721"/>
      <c r="J139" s="748"/>
    </row>
    <row r="140">
      <c r="A140" s="703" t="s">
        <v>1099</v>
      </c>
      <c r="B140" s="339" t="s">
        <v>31</v>
      </c>
      <c r="C140" s="339" t="s">
        <v>1098</v>
      </c>
      <c r="D140" s="339" t="s">
        <v>164</v>
      </c>
      <c r="E140" s="339" t="s">
        <v>192</v>
      </c>
      <c r="F140" s="339" t="s">
        <v>175</v>
      </c>
      <c r="G140" s="457">
        <v>650.0</v>
      </c>
      <c r="H140" s="747">
        <v>850.0</v>
      </c>
      <c r="I140" s="721"/>
      <c r="J140" s="748"/>
    </row>
    <row r="141">
      <c r="A141" s="703" t="s">
        <v>1100</v>
      </c>
      <c r="B141" s="339" t="s">
        <v>31</v>
      </c>
      <c r="C141" s="339" t="s">
        <v>1098</v>
      </c>
      <c r="D141" s="339" t="s">
        <v>178</v>
      </c>
      <c r="E141" s="339" t="s">
        <v>1046</v>
      </c>
      <c r="F141" s="339" t="s">
        <v>175</v>
      </c>
      <c r="G141" s="457">
        <v>550.0</v>
      </c>
      <c r="H141" s="747">
        <v>700.0</v>
      </c>
      <c r="I141" s="721"/>
      <c r="J141" s="748"/>
    </row>
    <row r="142">
      <c r="A142" s="703" t="s">
        <v>1101</v>
      </c>
      <c r="B142" s="339" t="s">
        <v>31</v>
      </c>
      <c r="C142" s="339" t="s">
        <v>1098</v>
      </c>
      <c r="D142" s="339" t="s">
        <v>1102</v>
      </c>
      <c r="E142" s="339" t="s">
        <v>1056</v>
      </c>
      <c r="F142" s="339" t="s">
        <v>175</v>
      </c>
      <c r="G142" s="457">
        <v>700.0</v>
      </c>
      <c r="H142" s="747">
        <v>1100.0</v>
      </c>
      <c r="I142" s="721"/>
      <c r="J142" s="748"/>
    </row>
    <row r="143">
      <c r="A143" s="703" t="s">
        <v>1103</v>
      </c>
      <c r="B143" s="339" t="s">
        <v>31</v>
      </c>
      <c r="C143" s="339" t="s">
        <v>1104</v>
      </c>
      <c r="D143" s="339" t="s">
        <v>1105</v>
      </c>
      <c r="E143" s="339" t="s">
        <v>1106</v>
      </c>
      <c r="F143" s="339" t="s">
        <v>560</v>
      </c>
      <c r="G143" s="457">
        <v>4000.0</v>
      </c>
      <c r="H143" s="747">
        <v>7000.0</v>
      </c>
      <c r="I143" s="721"/>
      <c r="J143" s="748"/>
    </row>
    <row r="144">
      <c r="A144" s="703" t="s">
        <v>1107</v>
      </c>
      <c r="B144" s="339" t="s">
        <v>31</v>
      </c>
      <c r="C144" s="339" t="s">
        <v>1104</v>
      </c>
      <c r="D144" s="339" t="s">
        <v>164</v>
      </c>
      <c r="E144" s="339" t="s">
        <v>1108</v>
      </c>
      <c r="F144" s="339" t="s">
        <v>560</v>
      </c>
      <c r="G144" s="457">
        <v>6000.0</v>
      </c>
      <c r="H144" s="747">
        <v>10000.0</v>
      </c>
      <c r="I144" s="721"/>
      <c r="J144" s="748"/>
    </row>
    <row r="145">
      <c r="A145" s="703" t="s">
        <v>211</v>
      </c>
      <c r="B145" s="339" t="s">
        <v>31</v>
      </c>
      <c r="C145" s="339" t="s">
        <v>1109</v>
      </c>
      <c r="D145" s="339" t="s">
        <v>1110</v>
      </c>
      <c r="E145" s="339" t="s">
        <v>1111</v>
      </c>
      <c r="F145" s="339" t="s">
        <v>560</v>
      </c>
      <c r="G145" s="457">
        <v>5000.0</v>
      </c>
      <c r="H145" s="413">
        <v>8000.0</v>
      </c>
      <c r="I145" s="721"/>
      <c r="J145" s="748"/>
    </row>
    <row r="146">
      <c r="A146" s="703" t="s">
        <v>1112</v>
      </c>
      <c r="B146" s="339" t="s">
        <v>31</v>
      </c>
      <c r="C146" s="339" t="s">
        <v>1109</v>
      </c>
      <c r="D146" s="339" t="s">
        <v>1113</v>
      </c>
      <c r="E146" s="339" t="s">
        <v>1111</v>
      </c>
      <c r="F146" s="339" t="s">
        <v>560</v>
      </c>
      <c r="G146" s="457">
        <v>3500.0</v>
      </c>
      <c r="H146" s="747">
        <v>5000.0</v>
      </c>
      <c r="I146" s="721"/>
      <c r="J146" s="748"/>
    </row>
    <row r="147">
      <c r="A147" s="711" t="s">
        <v>1114</v>
      </c>
      <c r="B147" s="712" t="s">
        <v>31</v>
      </c>
      <c r="C147" s="712" t="s">
        <v>1115</v>
      </c>
      <c r="D147" s="695" t="s">
        <v>1105</v>
      </c>
      <c r="E147" s="712" t="s">
        <v>1111</v>
      </c>
      <c r="F147" s="712" t="s">
        <v>560</v>
      </c>
      <c r="G147" s="695">
        <v>7000.0</v>
      </c>
      <c r="H147" s="599">
        <v>10000.0</v>
      </c>
      <c r="I147" s="736">
        <v>9000.0</v>
      </c>
      <c r="J147" s="599">
        <v>6500.0</v>
      </c>
    </row>
    <row r="148">
      <c r="A148" s="711" t="s">
        <v>214</v>
      </c>
      <c r="B148" s="712" t="s">
        <v>31</v>
      </c>
      <c r="C148" s="712" t="s">
        <v>1116</v>
      </c>
      <c r="D148" s="695" t="s">
        <v>1116</v>
      </c>
      <c r="E148" s="712" t="s">
        <v>1111</v>
      </c>
      <c r="F148" s="712" t="s">
        <v>560</v>
      </c>
      <c r="G148" s="695">
        <v>4000.0</v>
      </c>
      <c r="H148" s="599">
        <v>6000.0</v>
      </c>
      <c r="I148" s="736">
        <v>5000.0</v>
      </c>
      <c r="J148" s="599">
        <v>4000.0</v>
      </c>
    </row>
    <row r="149">
      <c r="A149" s="703" t="s">
        <v>1117</v>
      </c>
      <c r="B149" s="339" t="s">
        <v>31</v>
      </c>
      <c r="C149" s="339" t="s">
        <v>1118</v>
      </c>
      <c r="D149" s="339" t="s">
        <v>1119</v>
      </c>
      <c r="E149" s="339" t="s">
        <v>1120</v>
      </c>
      <c r="F149" s="339" t="s">
        <v>175</v>
      </c>
      <c r="G149" s="457">
        <v>400.0</v>
      </c>
      <c r="H149" s="747">
        <v>650.0</v>
      </c>
      <c r="I149" s="721"/>
      <c r="J149" s="751"/>
    </row>
    <row r="150">
      <c r="A150" s="711" t="s">
        <v>1121</v>
      </c>
      <c r="B150" s="712" t="s">
        <v>31</v>
      </c>
      <c r="C150" s="712" t="s">
        <v>1118</v>
      </c>
      <c r="D150" s="712" t="s">
        <v>1122</v>
      </c>
      <c r="E150" s="712" t="s">
        <v>1123</v>
      </c>
      <c r="F150" s="712" t="s">
        <v>175</v>
      </c>
      <c r="G150" s="712">
        <v>425.0</v>
      </c>
      <c r="H150" s="674">
        <v>700.0</v>
      </c>
      <c r="I150" s="736">
        <v>595.0</v>
      </c>
      <c r="J150" s="749">
        <v>425.0</v>
      </c>
    </row>
    <row r="151">
      <c r="A151" s="703" t="s">
        <v>282</v>
      </c>
      <c r="B151" s="339" t="s">
        <v>31</v>
      </c>
      <c r="C151" s="339" t="s">
        <v>1118</v>
      </c>
      <c r="D151" s="339" t="s">
        <v>1124</v>
      </c>
      <c r="E151" s="339" t="s">
        <v>1125</v>
      </c>
      <c r="F151" s="339" t="s">
        <v>175</v>
      </c>
      <c r="G151" s="457">
        <v>450.0</v>
      </c>
      <c r="H151" s="747">
        <v>750.0</v>
      </c>
      <c r="I151" s="721"/>
      <c r="J151" s="748"/>
    </row>
    <row r="152">
      <c r="A152" s="703" t="s">
        <v>1126</v>
      </c>
      <c r="B152" s="339" t="s">
        <v>31</v>
      </c>
      <c r="C152" s="339" t="s">
        <v>1127</v>
      </c>
      <c r="D152" s="339" t="s">
        <v>1119</v>
      </c>
      <c r="E152" s="339" t="s">
        <v>1120</v>
      </c>
      <c r="F152" s="339" t="s">
        <v>175</v>
      </c>
      <c r="G152" s="457">
        <v>600.0</v>
      </c>
      <c r="H152" s="747">
        <v>850.0</v>
      </c>
      <c r="I152" s="752"/>
      <c r="J152" s="748"/>
    </row>
    <row r="153">
      <c r="A153" s="703" t="s">
        <v>1128</v>
      </c>
      <c r="B153" s="339" t="s">
        <v>31</v>
      </c>
      <c r="C153" s="339" t="s">
        <v>1127</v>
      </c>
      <c r="D153" s="339" t="s">
        <v>1122</v>
      </c>
      <c r="E153" s="339" t="s">
        <v>1123</v>
      </c>
      <c r="F153" s="339" t="s">
        <v>175</v>
      </c>
      <c r="G153" s="457">
        <v>625.0</v>
      </c>
      <c r="H153" s="747">
        <v>875.0</v>
      </c>
      <c r="I153" s="721"/>
      <c r="J153" s="748"/>
    </row>
    <row r="154">
      <c r="A154" s="703" t="s">
        <v>1129</v>
      </c>
      <c r="B154" s="339" t="s">
        <v>31</v>
      </c>
      <c r="C154" s="339" t="s">
        <v>1127</v>
      </c>
      <c r="D154" s="339" t="s">
        <v>1124</v>
      </c>
      <c r="E154" s="339" t="s">
        <v>1125</v>
      </c>
      <c r="F154" s="339" t="s">
        <v>175</v>
      </c>
      <c r="G154" s="457">
        <v>650.0</v>
      </c>
      <c r="H154" s="747">
        <v>900.0</v>
      </c>
      <c r="I154" s="721"/>
      <c r="J154" s="748"/>
    </row>
    <row r="155">
      <c r="A155" s="703" t="s">
        <v>1130</v>
      </c>
      <c r="B155" s="339" t="s">
        <v>31</v>
      </c>
      <c r="C155" s="339" t="s">
        <v>1131</v>
      </c>
      <c r="D155" s="339" t="s">
        <v>1119</v>
      </c>
      <c r="E155" s="339" t="s">
        <v>1120</v>
      </c>
      <c r="F155" s="339" t="s">
        <v>175</v>
      </c>
      <c r="G155" s="457">
        <v>400.0</v>
      </c>
      <c r="H155" s="747">
        <v>650.0</v>
      </c>
      <c r="I155" s="721"/>
      <c r="J155" s="748"/>
    </row>
    <row r="156">
      <c r="A156" s="703" t="s">
        <v>1132</v>
      </c>
      <c r="B156" s="339" t="s">
        <v>31</v>
      </c>
      <c r="C156" s="339" t="s">
        <v>1131</v>
      </c>
      <c r="D156" s="339" t="s">
        <v>1122</v>
      </c>
      <c r="E156" s="339" t="s">
        <v>1123</v>
      </c>
      <c r="F156" s="339" t="s">
        <v>175</v>
      </c>
      <c r="G156" s="457">
        <v>425.0</v>
      </c>
      <c r="H156" s="747">
        <v>700.0</v>
      </c>
      <c r="I156" s="721"/>
      <c r="J156" s="748"/>
    </row>
    <row r="157">
      <c r="A157" s="703" t="s">
        <v>1133</v>
      </c>
      <c r="B157" s="339" t="s">
        <v>31</v>
      </c>
      <c r="C157" s="339" t="s">
        <v>1131</v>
      </c>
      <c r="D157" s="339" t="s">
        <v>1124</v>
      </c>
      <c r="E157" s="339" t="s">
        <v>1125</v>
      </c>
      <c r="F157" s="339" t="s">
        <v>175</v>
      </c>
      <c r="G157" s="457">
        <v>450.0</v>
      </c>
      <c r="H157" s="747">
        <v>750.0</v>
      </c>
      <c r="I157" s="721"/>
      <c r="J157" s="748"/>
    </row>
    <row r="158">
      <c r="A158" s="703" t="s">
        <v>1134</v>
      </c>
      <c r="B158" s="339" t="s">
        <v>31</v>
      </c>
      <c r="C158" s="339" t="s">
        <v>1135</v>
      </c>
      <c r="D158" s="339" t="s">
        <v>1136</v>
      </c>
      <c r="E158" s="339" t="s">
        <v>1137</v>
      </c>
      <c r="F158" s="339" t="s">
        <v>120</v>
      </c>
      <c r="G158" s="457">
        <v>2000.0</v>
      </c>
      <c r="H158" s="747">
        <v>3500.0</v>
      </c>
      <c r="I158" s="721"/>
      <c r="J158" s="748"/>
    </row>
    <row r="159">
      <c r="A159" s="703" t="s">
        <v>1138</v>
      </c>
      <c r="B159" s="339" t="s">
        <v>31</v>
      </c>
      <c r="C159" s="339" t="s">
        <v>1135</v>
      </c>
      <c r="D159" s="339" t="s">
        <v>259</v>
      </c>
      <c r="E159" s="339" t="s">
        <v>1139</v>
      </c>
      <c r="F159" s="339" t="s">
        <v>120</v>
      </c>
      <c r="G159" s="457">
        <v>3500.0</v>
      </c>
      <c r="H159" s="747">
        <v>5000.0</v>
      </c>
      <c r="I159" s="721"/>
      <c r="J159" s="748"/>
    </row>
    <row r="160">
      <c r="A160" s="703" t="s">
        <v>1140</v>
      </c>
      <c r="B160" s="339" t="s">
        <v>31</v>
      </c>
      <c r="C160" s="339" t="s">
        <v>1135</v>
      </c>
      <c r="D160" s="339" t="s">
        <v>164</v>
      </c>
      <c r="E160" s="339" t="s">
        <v>1139</v>
      </c>
      <c r="F160" s="339" t="s">
        <v>120</v>
      </c>
      <c r="G160" s="457">
        <v>4000.0</v>
      </c>
      <c r="H160" s="747">
        <v>6000.0</v>
      </c>
      <c r="I160" s="721"/>
      <c r="J160" s="748"/>
    </row>
    <row r="161">
      <c r="A161" s="703" t="s">
        <v>1141</v>
      </c>
      <c r="B161" s="339" t="s">
        <v>31</v>
      </c>
      <c r="C161" s="339" t="s">
        <v>1135</v>
      </c>
      <c r="D161" s="339" t="s">
        <v>178</v>
      </c>
      <c r="E161" s="339" t="s">
        <v>1139</v>
      </c>
      <c r="F161" s="339" t="s">
        <v>120</v>
      </c>
      <c r="G161" s="457">
        <v>3500.0</v>
      </c>
      <c r="H161" s="747">
        <v>5000.0</v>
      </c>
      <c r="I161" s="721"/>
      <c r="J161" s="748"/>
    </row>
    <row r="162">
      <c r="A162" s="703" t="s">
        <v>1142</v>
      </c>
      <c r="B162" s="339" t="s">
        <v>31</v>
      </c>
      <c r="C162" s="339" t="s">
        <v>1135</v>
      </c>
      <c r="D162" s="339" t="s">
        <v>1143</v>
      </c>
      <c r="E162" s="339" t="s">
        <v>1139</v>
      </c>
      <c r="F162" s="339" t="s">
        <v>120</v>
      </c>
      <c r="G162" s="457" t="s">
        <v>941</v>
      </c>
      <c r="H162" s="747" t="s">
        <v>941</v>
      </c>
      <c r="I162" s="753"/>
      <c r="J162" s="748"/>
    </row>
    <row r="163">
      <c r="A163" s="703" t="s">
        <v>1144</v>
      </c>
      <c r="B163" s="339" t="s">
        <v>31</v>
      </c>
      <c r="C163" s="339" t="s">
        <v>1145</v>
      </c>
      <c r="D163" s="339" t="s">
        <v>1136</v>
      </c>
      <c r="E163" s="339" t="s">
        <v>1146</v>
      </c>
      <c r="F163" s="339" t="s">
        <v>175</v>
      </c>
      <c r="G163" s="457">
        <v>275.0</v>
      </c>
      <c r="H163" s="747">
        <v>400.0</v>
      </c>
      <c r="I163" s="753"/>
      <c r="J163" s="748"/>
    </row>
    <row r="164">
      <c r="A164" s="703" t="s">
        <v>1147</v>
      </c>
      <c r="B164" s="339" t="s">
        <v>31</v>
      </c>
      <c r="C164" s="339" t="s">
        <v>1145</v>
      </c>
      <c r="D164" s="339" t="s">
        <v>259</v>
      </c>
      <c r="E164" s="339" t="s">
        <v>1146</v>
      </c>
      <c r="F164" s="339" t="s">
        <v>175</v>
      </c>
      <c r="G164" s="457">
        <v>350.0</v>
      </c>
      <c r="H164" s="747">
        <v>600.0</v>
      </c>
      <c r="I164" s="753"/>
      <c r="J164" s="751"/>
    </row>
    <row r="165">
      <c r="A165" s="703" t="s">
        <v>1148</v>
      </c>
      <c r="B165" s="339" t="s">
        <v>31</v>
      </c>
      <c r="C165" s="339" t="s">
        <v>1145</v>
      </c>
      <c r="D165" s="339" t="s">
        <v>164</v>
      </c>
      <c r="E165" s="339" t="s">
        <v>1149</v>
      </c>
      <c r="F165" s="339" t="s">
        <v>175</v>
      </c>
      <c r="G165" s="457">
        <v>450.0</v>
      </c>
      <c r="H165" s="747">
        <v>700.0</v>
      </c>
      <c r="I165" s="753"/>
      <c r="J165" s="748"/>
    </row>
    <row r="166">
      <c r="A166" s="703" t="s">
        <v>1150</v>
      </c>
      <c r="B166" s="339" t="s">
        <v>31</v>
      </c>
      <c r="C166" s="339" t="s">
        <v>1145</v>
      </c>
      <c r="D166" s="339" t="s">
        <v>178</v>
      </c>
      <c r="E166" s="339" t="s">
        <v>1151</v>
      </c>
      <c r="F166" s="339" t="s">
        <v>175</v>
      </c>
      <c r="G166" s="457">
        <v>350.0</v>
      </c>
      <c r="H166" s="747">
        <v>500.0</v>
      </c>
      <c r="I166" s="753"/>
      <c r="J166" s="748"/>
    </row>
    <row r="167">
      <c r="A167" s="703" t="s">
        <v>1152</v>
      </c>
      <c r="B167" s="339" t="s">
        <v>31</v>
      </c>
      <c r="C167" s="339" t="s">
        <v>1145</v>
      </c>
      <c r="D167" s="339" t="s">
        <v>1143</v>
      </c>
      <c r="E167" s="339" t="s">
        <v>1153</v>
      </c>
      <c r="F167" s="339" t="s">
        <v>175</v>
      </c>
      <c r="G167" s="457">
        <v>850.0</v>
      </c>
      <c r="H167" s="747">
        <v>1200.0</v>
      </c>
      <c r="I167" s="753"/>
      <c r="J167" s="748"/>
    </row>
    <row r="168">
      <c r="A168" s="703" t="s">
        <v>1154</v>
      </c>
      <c r="B168" s="339" t="s">
        <v>31</v>
      </c>
      <c r="C168" s="339" t="s">
        <v>1145</v>
      </c>
      <c r="D168" s="339" t="s">
        <v>1155</v>
      </c>
      <c r="E168" s="339"/>
      <c r="F168" s="339"/>
      <c r="G168" s="754"/>
      <c r="H168" s="755"/>
      <c r="I168" s="753"/>
      <c r="J168" s="748"/>
    </row>
    <row r="169">
      <c r="A169" s="703" t="s">
        <v>1156</v>
      </c>
      <c r="B169" s="339" t="s">
        <v>31</v>
      </c>
      <c r="C169" s="339" t="s">
        <v>1157</v>
      </c>
      <c r="D169" s="339" t="s">
        <v>1136</v>
      </c>
      <c r="E169" s="339" t="s">
        <v>1158</v>
      </c>
      <c r="F169" s="339" t="s">
        <v>120</v>
      </c>
      <c r="G169" s="457">
        <v>2000.0</v>
      </c>
      <c r="H169" s="747">
        <v>4000.0</v>
      </c>
      <c r="I169" s="753"/>
      <c r="J169" s="748"/>
    </row>
    <row r="170">
      <c r="A170" s="703" t="s">
        <v>1159</v>
      </c>
      <c r="B170" s="339" t="s">
        <v>31</v>
      </c>
      <c r="C170" s="339" t="s">
        <v>1157</v>
      </c>
      <c r="D170" s="339" t="s">
        <v>259</v>
      </c>
      <c r="E170" s="339" t="s">
        <v>1160</v>
      </c>
      <c r="F170" s="339" t="s">
        <v>120</v>
      </c>
      <c r="G170" s="457">
        <v>3500.0</v>
      </c>
      <c r="H170" s="747">
        <v>5000.0</v>
      </c>
      <c r="I170" s="753"/>
      <c r="J170" s="748"/>
    </row>
    <row r="171">
      <c r="A171" s="703" t="s">
        <v>1161</v>
      </c>
      <c r="B171" s="339" t="s">
        <v>31</v>
      </c>
      <c r="C171" s="339" t="s">
        <v>1157</v>
      </c>
      <c r="D171" s="339" t="s">
        <v>164</v>
      </c>
      <c r="E171" s="339" t="s">
        <v>1160</v>
      </c>
      <c r="F171" s="339" t="s">
        <v>120</v>
      </c>
      <c r="G171" s="457">
        <v>4000.0</v>
      </c>
      <c r="H171" s="747">
        <v>7000.0</v>
      </c>
      <c r="I171" s="753"/>
      <c r="J171" s="748"/>
    </row>
    <row r="172">
      <c r="A172" s="703" t="s">
        <v>1162</v>
      </c>
      <c r="B172" s="339" t="s">
        <v>31</v>
      </c>
      <c r="C172" s="339" t="s">
        <v>1157</v>
      </c>
      <c r="D172" s="339" t="s">
        <v>178</v>
      </c>
      <c r="E172" s="339" t="s">
        <v>1160</v>
      </c>
      <c r="F172" s="339" t="s">
        <v>120</v>
      </c>
      <c r="G172" s="457">
        <v>3500.0</v>
      </c>
      <c r="H172" s="747">
        <v>5000.0</v>
      </c>
      <c r="I172" s="753"/>
      <c r="J172" s="748"/>
    </row>
    <row r="173">
      <c r="A173" s="703" t="s">
        <v>1163</v>
      </c>
      <c r="B173" s="339" t="s">
        <v>31</v>
      </c>
      <c r="C173" s="339" t="s">
        <v>1164</v>
      </c>
      <c r="D173" s="339" t="s">
        <v>1165</v>
      </c>
      <c r="E173" s="339" t="s">
        <v>1160</v>
      </c>
      <c r="F173" s="339" t="s">
        <v>120</v>
      </c>
      <c r="G173" s="457">
        <v>55.0</v>
      </c>
      <c r="H173" s="747">
        <v>150.0</v>
      </c>
      <c r="I173" s="753"/>
      <c r="J173" s="748"/>
    </row>
    <row r="174">
      <c r="A174" s="703" t="s">
        <v>1166</v>
      </c>
      <c r="B174" s="339" t="s">
        <v>31</v>
      </c>
      <c r="C174" s="339" t="s">
        <v>1167</v>
      </c>
      <c r="D174" s="339" t="s">
        <v>259</v>
      </c>
      <c r="E174" s="339" t="s">
        <v>1043</v>
      </c>
      <c r="F174" s="339" t="s">
        <v>175</v>
      </c>
      <c r="G174" s="457">
        <v>440.0</v>
      </c>
      <c r="H174" s="62">
        <v>615.0</v>
      </c>
      <c r="I174" s="756"/>
      <c r="J174" s="62"/>
    </row>
    <row r="175">
      <c r="A175" s="703" t="s">
        <v>1168</v>
      </c>
      <c r="B175" s="339" t="s">
        <v>31</v>
      </c>
      <c r="C175" s="339" t="s">
        <v>1167</v>
      </c>
      <c r="D175" s="339" t="s">
        <v>178</v>
      </c>
      <c r="E175" s="339" t="s">
        <v>1169</v>
      </c>
      <c r="F175" s="339" t="s">
        <v>175</v>
      </c>
      <c r="G175" s="457"/>
      <c r="H175" s="747">
        <v>615.0</v>
      </c>
      <c r="I175" s="757"/>
      <c r="J175" s="747"/>
    </row>
    <row r="176">
      <c r="A176" s="703" t="s">
        <v>1170</v>
      </c>
      <c r="B176" s="339" t="s">
        <v>31</v>
      </c>
      <c r="C176" s="339" t="s">
        <v>1167</v>
      </c>
      <c r="D176" s="339" t="s">
        <v>1171</v>
      </c>
      <c r="E176" s="339" t="s">
        <v>1169</v>
      </c>
      <c r="F176" s="339" t="s">
        <v>175</v>
      </c>
      <c r="G176" s="457"/>
      <c r="H176" s="747">
        <v>615.0</v>
      </c>
      <c r="I176" s="757"/>
      <c r="J176" s="747"/>
    </row>
    <row r="177">
      <c r="A177" s="703" t="s">
        <v>1172</v>
      </c>
      <c r="B177" s="339" t="s">
        <v>31</v>
      </c>
      <c r="C177" s="339" t="s">
        <v>1167</v>
      </c>
      <c r="D177" s="339" t="s">
        <v>164</v>
      </c>
      <c r="E177" s="339" t="s">
        <v>192</v>
      </c>
      <c r="F177" s="339" t="s">
        <v>175</v>
      </c>
      <c r="G177" s="457"/>
      <c r="H177" s="747">
        <v>685.0</v>
      </c>
      <c r="I177" s="757"/>
      <c r="J177" s="747"/>
    </row>
    <row r="178">
      <c r="A178" s="703" t="s">
        <v>1173</v>
      </c>
      <c r="B178" s="339" t="s">
        <v>31</v>
      </c>
      <c r="C178" s="339" t="s">
        <v>1174</v>
      </c>
      <c r="D178" s="339" t="s">
        <v>259</v>
      </c>
      <c r="E178" s="339" t="s">
        <v>1175</v>
      </c>
      <c r="F178" s="339" t="s">
        <v>175</v>
      </c>
      <c r="G178" s="457"/>
      <c r="H178" s="747">
        <v>475.0</v>
      </c>
      <c r="I178" s="413"/>
      <c r="J178" s="747"/>
    </row>
    <row r="179">
      <c r="A179" s="703" t="s">
        <v>1176</v>
      </c>
      <c r="B179" s="339" t="s">
        <v>31</v>
      </c>
      <c r="C179" s="339" t="s">
        <v>1174</v>
      </c>
      <c r="D179" s="339" t="s">
        <v>178</v>
      </c>
      <c r="E179" s="339" t="s">
        <v>1177</v>
      </c>
      <c r="F179" s="339" t="s">
        <v>175</v>
      </c>
      <c r="G179" s="515">
        <v>350.0</v>
      </c>
      <c r="H179" s="747">
        <v>475.0</v>
      </c>
      <c r="I179" s="757"/>
      <c r="J179" s="747"/>
    </row>
    <row r="180">
      <c r="A180" s="703" t="s">
        <v>1178</v>
      </c>
      <c r="B180" s="339" t="s">
        <v>31</v>
      </c>
      <c r="C180" s="339" t="s">
        <v>1174</v>
      </c>
      <c r="D180" s="339" t="s">
        <v>1171</v>
      </c>
      <c r="E180" s="339" t="s">
        <v>1179</v>
      </c>
      <c r="F180" s="339" t="s">
        <v>175</v>
      </c>
      <c r="G180" s="339"/>
      <c r="H180" s="747">
        <v>550.0</v>
      </c>
      <c r="I180" s="757"/>
      <c r="J180" s="747"/>
    </row>
    <row r="181">
      <c r="A181" s="703" t="s">
        <v>1180</v>
      </c>
      <c r="B181" s="339" t="s">
        <v>31</v>
      </c>
      <c r="C181" s="339" t="s">
        <v>1174</v>
      </c>
      <c r="D181" s="339" t="s">
        <v>164</v>
      </c>
      <c r="E181" s="339" t="s">
        <v>1181</v>
      </c>
      <c r="F181" s="339" t="s">
        <v>175</v>
      </c>
      <c r="G181" s="339"/>
      <c r="H181" s="747">
        <v>675.0</v>
      </c>
      <c r="I181" s="757"/>
      <c r="J181" s="747"/>
    </row>
    <row r="182">
      <c r="A182" s="703" t="s">
        <v>1182</v>
      </c>
      <c r="B182" s="339" t="s">
        <v>31</v>
      </c>
      <c r="C182" s="339" t="s">
        <v>1183</v>
      </c>
      <c r="D182" s="339" t="s">
        <v>259</v>
      </c>
      <c r="E182" s="339" t="s">
        <v>1175</v>
      </c>
      <c r="F182" s="339" t="s">
        <v>175</v>
      </c>
      <c r="G182" s="339"/>
      <c r="H182" s="747">
        <v>475.0</v>
      </c>
      <c r="I182" s="757"/>
      <c r="J182" s="747"/>
    </row>
    <row r="183">
      <c r="A183" s="703" t="s">
        <v>1184</v>
      </c>
      <c r="B183" s="339" t="s">
        <v>31</v>
      </c>
      <c r="C183" s="339" t="s">
        <v>1183</v>
      </c>
      <c r="D183" s="339" t="s">
        <v>178</v>
      </c>
      <c r="E183" s="339" t="s">
        <v>1185</v>
      </c>
      <c r="F183" s="339" t="s">
        <v>175</v>
      </c>
      <c r="G183" s="339"/>
      <c r="H183" s="747">
        <v>475.0</v>
      </c>
      <c r="I183" s="757"/>
      <c r="J183" s="747"/>
    </row>
    <row r="184">
      <c r="A184" s="703" t="s">
        <v>1186</v>
      </c>
      <c r="B184" s="339" t="s">
        <v>31</v>
      </c>
      <c r="C184" s="339" t="s">
        <v>1187</v>
      </c>
      <c r="D184" s="339" t="s">
        <v>266</v>
      </c>
      <c r="E184" s="339" t="s">
        <v>1188</v>
      </c>
      <c r="F184" s="339" t="s">
        <v>175</v>
      </c>
      <c r="G184" s="339"/>
      <c r="H184" s="747">
        <v>675.0</v>
      </c>
      <c r="I184" s="757"/>
      <c r="J184" s="747"/>
    </row>
    <row r="185">
      <c r="A185" s="703" t="s">
        <v>1189</v>
      </c>
      <c r="B185" s="339" t="s">
        <v>31</v>
      </c>
      <c r="C185" s="339" t="s">
        <v>1190</v>
      </c>
      <c r="D185" s="339" t="s">
        <v>1191</v>
      </c>
      <c r="E185" s="339"/>
      <c r="F185" s="339"/>
      <c r="G185" s="339"/>
      <c r="H185" s="747"/>
      <c r="I185" s="757"/>
      <c r="J185" s="747"/>
    </row>
    <row r="186">
      <c r="A186" s="703" t="s">
        <v>1192</v>
      </c>
      <c r="B186" s="339" t="s">
        <v>31</v>
      </c>
      <c r="C186" s="339" t="s">
        <v>1190</v>
      </c>
      <c r="D186" s="339" t="s">
        <v>1191</v>
      </c>
      <c r="E186" s="339"/>
      <c r="F186" s="339"/>
      <c r="G186" s="339"/>
      <c r="H186" s="76"/>
      <c r="I186" s="704"/>
      <c r="J186" s="76"/>
    </row>
    <row r="187">
      <c r="A187" s="703" t="s">
        <v>1193</v>
      </c>
      <c r="B187" s="339" t="s">
        <v>31</v>
      </c>
      <c r="C187" s="339" t="s">
        <v>1190</v>
      </c>
      <c r="D187" s="339" t="s">
        <v>1191</v>
      </c>
      <c r="E187" s="339"/>
      <c r="F187" s="339"/>
      <c r="G187" s="339"/>
      <c r="H187" s="76"/>
      <c r="I187" s="704"/>
      <c r="J187" s="76"/>
    </row>
    <row r="188">
      <c r="A188" s="703" t="s">
        <v>1194</v>
      </c>
      <c r="B188" s="339" t="s">
        <v>31</v>
      </c>
      <c r="C188" s="339" t="s">
        <v>1195</v>
      </c>
      <c r="D188" s="339"/>
      <c r="E188" s="339"/>
      <c r="F188" s="339"/>
      <c r="G188" s="339"/>
      <c r="H188" s="76"/>
      <c r="I188" s="704"/>
      <c r="J188" s="76"/>
    </row>
    <row r="189">
      <c r="A189" s="703" t="s">
        <v>1196</v>
      </c>
      <c r="B189" s="339" t="s">
        <v>31</v>
      </c>
      <c r="C189" s="339" t="s">
        <v>1197</v>
      </c>
      <c r="D189" s="339"/>
      <c r="E189" s="339"/>
      <c r="F189" s="339"/>
      <c r="G189" s="339"/>
      <c r="H189" s="76"/>
      <c r="I189" s="704"/>
      <c r="J189" s="76"/>
    </row>
    <row r="190">
      <c r="A190" s="711" t="s">
        <v>280</v>
      </c>
      <c r="B190" s="712" t="s">
        <v>31</v>
      </c>
      <c r="C190" s="758" t="s">
        <v>281</v>
      </c>
      <c r="D190" s="759" t="s">
        <v>1198</v>
      </c>
      <c r="E190" s="759" t="s">
        <v>1199</v>
      </c>
      <c r="F190" s="760" t="s">
        <v>339</v>
      </c>
      <c r="G190" s="761">
        <v>5500.0</v>
      </c>
      <c r="H190" s="716">
        <v>7000.0</v>
      </c>
      <c r="I190" s="762">
        <v>7000.0</v>
      </c>
      <c r="J190" s="674">
        <v>5500.0</v>
      </c>
    </row>
    <row r="191">
      <c r="A191" s="703" t="s">
        <v>1200</v>
      </c>
      <c r="B191" s="339" t="s">
        <v>31</v>
      </c>
      <c r="C191" s="763" t="s">
        <v>1201</v>
      </c>
      <c r="D191" s="764" t="s">
        <v>259</v>
      </c>
      <c r="E191" s="764" t="s">
        <v>1202</v>
      </c>
      <c r="F191" s="764" t="s">
        <v>339</v>
      </c>
      <c r="G191" s="765">
        <v>90000.0</v>
      </c>
      <c r="H191" s="413">
        <v>115000.0</v>
      </c>
      <c r="I191" s="766"/>
      <c r="J191" s="413"/>
    </row>
    <row r="192">
      <c r="A192" s="711" t="s">
        <v>252</v>
      </c>
      <c r="B192" s="712" t="s">
        <v>31</v>
      </c>
      <c r="C192" s="695" t="s">
        <v>234</v>
      </c>
      <c r="D192" s="767" t="s">
        <v>259</v>
      </c>
      <c r="E192" s="768" t="s">
        <v>1203</v>
      </c>
      <c r="F192" s="769" t="s">
        <v>175</v>
      </c>
      <c r="G192" s="761">
        <v>1400.0</v>
      </c>
      <c r="H192" s="674">
        <v>1600.0</v>
      </c>
      <c r="I192" s="762">
        <v>1500.0</v>
      </c>
      <c r="J192" s="674">
        <v>1300.0</v>
      </c>
    </row>
    <row r="193">
      <c r="A193" s="703" t="s">
        <v>1204</v>
      </c>
      <c r="B193" s="339" t="s">
        <v>31</v>
      </c>
      <c r="C193" s="751" t="s">
        <v>1205</v>
      </c>
      <c r="D193" s="764" t="s">
        <v>259</v>
      </c>
      <c r="E193" s="764" t="s">
        <v>1202</v>
      </c>
      <c r="F193" s="764" t="s">
        <v>339</v>
      </c>
      <c r="G193" s="765">
        <v>85000.0</v>
      </c>
      <c r="H193" s="413">
        <v>90000.0</v>
      </c>
      <c r="I193" s="766"/>
      <c r="J193" s="413"/>
    </row>
    <row r="194">
      <c r="A194" s="703" t="s">
        <v>1206</v>
      </c>
      <c r="B194" s="339" t="s">
        <v>31</v>
      </c>
      <c r="C194" s="770" t="s">
        <v>1049</v>
      </c>
      <c r="D194" s="771" t="s">
        <v>259</v>
      </c>
      <c r="E194" s="771" t="s">
        <v>1207</v>
      </c>
      <c r="F194" s="772" t="s">
        <v>175</v>
      </c>
      <c r="G194" s="773">
        <v>1800.0</v>
      </c>
      <c r="H194" s="411">
        <v>2300.0</v>
      </c>
      <c r="I194" s="774"/>
      <c r="J194" s="411"/>
    </row>
    <row r="195">
      <c r="A195" s="703" t="s">
        <v>162</v>
      </c>
      <c r="B195" s="339" t="s">
        <v>31</v>
      </c>
      <c r="C195" s="775" t="s">
        <v>1208</v>
      </c>
      <c r="D195" s="508" t="s">
        <v>259</v>
      </c>
      <c r="E195" s="508" t="s">
        <v>1209</v>
      </c>
      <c r="F195" s="764" t="s">
        <v>560</v>
      </c>
      <c r="G195" s="765">
        <v>35000.0</v>
      </c>
      <c r="H195" s="413">
        <v>40000.0</v>
      </c>
      <c r="I195" s="766"/>
      <c r="J195" s="413"/>
    </row>
    <row r="196">
      <c r="A196" s="703" t="s">
        <v>1210</v>
      </c>
      <c r="B196" s="339" t="s">
        <v>31</v>
      </c>
      <c r="C196" s="515" t="s">
        <v>1211</v>
      </c>
      <c r="D196" s="508" t="s">
        <v>259</v>
      </c>
      <c r="E196" s="776" t="s">
        <v>1212</v>
      </c>
      <c r="F196" s="777" t="s">
        <v>175</v>
      </c>
      <c r="G196" s="532">
        <v>1700.0</v>
      </c>
      <c r="H196" s="62">
        <v>2500.0</v>
      </c>
      <c r="I196" s="756"/>
      <c r="J196" s="62"/>
    </row>
    <row r="197">
      <c r="A197" s="703" t="s">
        <v>1213</v>
      </c>
      <c r="B197" s="339" t="s">
        <v>31</v>
      </c>
      <c r="C197" s="751" t="s">
        <v>1214</v>
      </c>
      <c r="D197" s="508" t="s">
        <v>259</v>
      </c>
      <c r="E197" s="764" t="s">
        <v>1215</v>
      </c>
      <c r="F197" s="764" t="s">
        <v>175</v>
      </c>
      <c r="G197" s="778">
        <v>1350.0</v>
      </c>
      <c r="H197" s="62">
        <v>1800.0</v>
      </c>
      <c r="I197" s="756"/>
      <c r="J197" s="62"/>
    </row>
    <row r="198">
      <c r="A198" s="703" t="s">
        <v>1216</v>
      </c>
      <c r="B198" s="751" t="s">
        <v>31</v>
      </c>
      <c r="C198" s="508" t="s">
        <v>1217</v>
      </c>
      <c r="D198" s="779"/>
      <c r="E198" s="508" t="s">
        <v>366</v>
      </c>
      <c r="F198" s="764" t="s">
        <v>175</v>
      </c>
      <c r="G198" s="778">
        <v>500.0</v>
      </c>
      <c r="H198" s="62">
        <v>650.0</v>
      </c>
      <c r="I198" s="756"/>
      <c r="J198" s="62"/>
    </row>
    <row r="199">
      <c r="A199" s="703" t="s">
        <v>1218</v>
      </c>
      <c r="B199" s="751" t="s">
        <v>31</v>
      </c>
      <c r="C199" s="780" t="s">
        <v>1219</v>
      </c>
      <c r="D199" s="508" t="s">
        <v>259</v>
      </c>
      <c r="E199" s="508" t="s">
        <v>1043</v>
      </c>
      <c r="F199" s="764" t="s">
        <v>175</v>
      </c>
      <c r="G199" s="778">
        <v>1350.0</v>
      </c>
      <c r="H199" s="62">
        <v>1800.0</v>
      </c>
      <c r="I199" s="756"/>
      <c r="J199" s="62"/>
    </row>
    <row r="200">
      <c r="A200" s="711" t="s">
        <v>1220</v>
      </c>
      <c r="B200" s="781" t="s">
        <v>31</v>
      </c>
      <c r="C200" s="782" t="s">
        <v>1221</v>
      </c>
      <c r="D200" s="759" t="s">
        <v>259</v>
      </c>
      <c r="E200" s="759" t="s">
        <v>1209</v>
      </c>
      <c r="F200" s="760" t="s">
        <v>560</v>
      </c>
      <c r="G200" s="695">
        <v>32000.0</v>
      </c>
      <c r="H200" s="599">
        <v>40000.0</v>
      </c>
      <c r="I200" s="783">
        <v>40000.0</v>
      </c>
      <c r="J200" s="599">
        <v>32000.0</v>
      </c>
    </row>
    <row r="201">
      <c r="A201" s="711" t="s">
        <v>223</v>
      </c>
      <c r="B201" s="781" t="s">
        <v>31</v>
      </c>
      <c r="C201" s="759" t="s">
        <v>1049</v>
      </c>
      <c r="D201" s="759" t="s">
        <v>259</v>
      </c>
      <c r="E201" s="759" t="s">
        <v>1222</v>
      </c>
      <c r="F201" s="760" t="s">
        <v>175</v>
      </c>
      <c r="G201" s="784">
        <v>2000.0</v>
      </c>
      <c r="H201" s="599">
        <v>2500.0</v>
      </c>
      <c r="I201" s="783">
        <v>2300.0</v>
      </c>
      <c r="J201" s="599">
        <v>1800.0</v>
      </c>
    </row>
    <row r="202">
      <c r="A202" s="711" t="s">
        <v>1223</v>
      </c>
      <c r="B202" s="781" t="s">
        <v>31</v>
      </c>
      <c r="C202" s="695" t="s">
        <v>1224</v>
      </c>
      <c r="D202" s="760" t="s">
        <v>259</v>
      </c>
      <c r="E202" s="760" t="s">
        <v>1202</v>
      </c>
      <c r="F202" s="760" t="s">
        <v>339</v>
      </c>
      <c r="G202" s="761">
        <v>80000.0</v>
      </c>
      <c r="H202" s="674">
        <v>90000.0</v>
      </c>
      <c r="I202" s="762">
        <v>85000.0</v>
      </c>
      <c r="J202" s="674">
        <v>75000.0</v>
      </c>
    </row>
    <row r="203">
      <c r="A203" s="711" t="s">
        <v>1225</v>
      </c>
      <c r="B203" s="781" t="s">
        <v>31</v>
      </c>
      <c r="C203" s="695" t="s">
        <v>1226</v>
      </c>
      <c r="D203" s="760" t="s">
        <v>259</v>
      </c>
      <c r="E203" s="760" t="s">
        <v>1202</v>
      </c>
      <c r="F203" s="760" t="s">
        <v>339</v>
      </c>
      <c r="G203" s="761">
        <v>70000.0</v>
      </c>
      <c r="H203" s="674">
        <v>75000.0</v>
      </c>
      <c r="I203" s="783"/>
      <c r="J203" s="599"/>
    </row>
    <row r="204">
      <c r="A204" s="711" t="s">
        <v>1227</v>
      </c>
      <c r="B204" s="781" t="s">
        <v>31</v>
      </c>
      <c r="C204" s="695" t="s">
        <v>119</v>
      </c>
      <c r="D204" s="760" t="s">
        <v>259</v>
      </c>
      <c r="E204" s="760" t="s">
        <v>1202</v>
      </c>
      <c r="F204" s="695" t="s">
        <v>120</v>
      </c>
      <c r="G204" s="695">
        <v>2200.0</v>
      </c>
      <c r="H204" s="674">
        <v>2500.0</v>
      </c>
      <c r="I204" s="783">
        <v>2300.0</v>
      </c>
      <c r="J204" s="599">
        <v>2000.0</v>
      </c>
    </row>
    <row r="205">
      <c r="A205" s="703"/>
      <c r="B205" s="339"/>
      <c r="C205" s="339"/>
      <c r="D205" s="339"/>
      <c r="E205" s="339"/>
      <c r="F205" s="339"/>
      <c r="G205" s="457"/>
      <c r="H205" s="67"/>
      <c r="I205" s="745"/>
      <c r="J205" s="67"/>
    </row>
    <row r="206">
      <c r="A206" s="703" t="s">
        <v>1228</v>
      </c>
      <c r="B206" s="339" t="s">
        <v>31</v>
      </c>
      <c r="C206" s="339" t="s">
        <v>244</v>
      </c>
      <c r="D206" s="339" t="s">
        <v>259</v>
      </c>
      <c r="E206" s="339" t="s">
        <v>1038</v>
      </c>
      <c r="F206" s="339" t="s">
        <v>175</v>
      </c>
      <c r="G206" s="457">
        <v>2200.0</v>
      </c>
      <c r="H206" s="62">
        <v>2860.0</v>
      </c>
      <c r="I206" s="756"/>
      <c r="J206" s="62"/>
    </row>
    <row r="207">
      <c r="A207" s="703" t="s">
        <v>1229</v>
      </c>
      <c r="B207" s="339" t="s">
        <v>31</v>
      </c>
      <c r="C207" s="339" t="s">
        <v>244</v>
      </c>
      <c r="D207" s="339" t="s">
        <v>164</v>
      </c>
      <c r="E207" s="339" t="s">
        <v>1040</v>
      </c>
      <c r="F207" s="339" t="s">
        <v>175</v>
      </c>
      <c r="G207" s="457">
        <v>2500.0</v>
      </c>
      <c r="H207" s="62">
        <v>3250.0</v>
      </c>
      <c r="I207" s="756"/>
      <c r="J207" s="62"/>
    </row>
    <row r="208">
      <c r="A208" s="703" t="s">
        <v>1230</v>
      </c>
      <c r="B208" s="339" t="s">
        <v>31</v>
      </c>
      <c r="C208" s="339" t="s">
        <v>244</v>
      </c>
      <c r="D208" s="339" t="s">
        <v>1231</v>
      </c>
      <c r="E208" s="339" t="s">
        <v>1232</v>
      </c>
      <c r="F208" s="339" t="s">
        <v>175</v>
      </c>
      <c r="G208" s="457">
        <v>2300.0</v>
      </c>
      <c r="H208" s="62">
        <v>2990.0</v>
      </c>
      <c r="I208" s="756"/>
      <c r="J208" s="62"/>
    </row>
    <row r="209">
      <c r="A209" s="703" t="s">
        <v>1233</v>
      </c>
      <c r="B209" s="339" t="s">
        <v>31</v>
      </c>
      <c r="C209" s="339" t="s">
        <v>244</v>
      </c>
      <c r="D209" s="339" t="s">
        <v>1016</v>
      </c>
      <c r="E209" s="339" t="s">
        <v>1042</v>
      </c>
      <c r="F209" s="339" t="s">
        <v>175</v>
      </c>
      <c r="G209" s="457">
        <v>3000.0</v>
      </c>
      <c r="H209" s="62">
        <v>3900.0</v>
      </c>
      <c r="I209" s="756"/>
      <c r="J209" s="62"/>
    </row>
    <row r="210">
      <c r="A210" s="703" t="s">
        <v>1234</v>
      </c>
      <c r="B210" s="339" t="s">
        <v>31</v>
      </c>
      <c r="C210" s="339" t="s">
        <v>761</v>
      </c>
      <c r="D210" s="339" t="s">
        <v>259</v>
      </c>
      <c r="E210" s="339" t="s">
        <v>1043</v>
      </c>
      <c r="F210" s="339" t="s">
        <v>175</v>
      </c>
      <c r="G210" s="457">
        <v>1500.0</v>
      </c>
      <c r="H210" s="62">
        <v>1950.0</v>
      </c>
      <c r="I210" s="756"/>
      <c r="J210" s="62"/>
    </row>
    <row r="211">
      <c r="A211" s="703" t="s">
        <v>1235</v>
      </c>
      <c r="B211" s="339" t="s">
        <v>31</v>
      </c>
      <c r="C211" s="339" t="s">
        <v>761</v>
      </c>
      <c r="D211" s="339" t="s">
        <v>164</v>
      </c>
      <c r="E211" s="339" t="s">
        <v>192</v>
      </c>
      <c r="F211" s="339" t="s">
        <v>175</v>
      </c>
      <c r="G211" s="457">
        <v>2500.0</v>
      </c>
      <c r="H211" s="62">
        <v>3250.0</v>
      </c>
      <c r="I211" s="756"/>
      <c r="J211" s="62"/>
    </row>
    <row r="212">
      <c r="A212" s="703" t="s">
        <v>1236</v>
      </c>
      <c r="B212" s="339" t="s">
        <v>31</v>
      </c>
      <c r="C212" s="339" t="s">
        <v>761</v>
      </c>
      <c r="D212" s="339" t="s">
        <v>1231</v>
      </c>
      <c r="E212" s="339" t="s">
        <v>1046</v>
      </c>
      <c r="F212" s="339" t="s">
        <v>175</v>
      </c>
      <c r="G212" s="457">
        <v>1800.0</v>
      </c>
      <c r="H212" s="62">
        <v>2340.0</v>
      </c>
      <c r="I212" s="756"/>
      <c r="J212" s="62"/>
    </row>
    <row r="213">
      <c r="A213" s="703" t="s">
        <v>1237</v>
      </c>
      <c r="B213" s="339" t="s">
        <v>31</v>
      </c>
      <c r="C213" s="339" t="s">
        <v>761</v>
      </c>
      <c r="D213" s="339" t="s">
        <v>266</v>
      </c>
      <c r="E213" s="339" t="s">
        <v>1048</v>
      </c>
      <c r="F213" s="339" t="s">
        <v>175</v>
      </c>
      <c r="G213" s="457">
        <v>1500.0</v>
      </c>
      <c r="H213" s="62">
        <v>1950.0</v>
      </c>
      <c r="I213" s="756"/>
      <c r="J213" s="62"/>
    </row>
    <row r="214">
      <c r="A214" s="703" t="s">
        <v>1238</v>
      </c>
      <c r="B214" s="339" t="s">
        <v>31</v>
      </c>
      <c r="C214" s="339" t="s">
        <v>1049</v>
      </c>
      <c r="D214" s="339" t="s">
        <v>259</v>
      </c>
      <c r="E214" s="339" t="s">
        <v>1043</v>
      </c>
      <c r="F214" s="339" t="s">
        <v>175</v>
      </c>
      <c r="G214" s="457">
        <v>1500.0</v>
      </c>
      <c r="H214" s="62">
        <v>1950.0</v>
      </c>
      <c r="I214" s="756"/>
      <c r="J214" s="62"/>
    </row>
    <row r="215">
      <c r="A215" s="703" t="s">
        <v>1239</v>
      </c>
      <c r="B215" s="339" t="s">
        <v>31</v>
      </c>
      <c r="C215" s="339" t="s">
        <v>1049</v>
      </c>
      <c r="D215" s="339" t="s">
        <v>164</v>
      </c>
      <c r="E215" s="339" t="s">
        <v>192</v>
      </c>
      <c r="F215" s="339" t="s">
        <v>175</v>
      </c>
      <c r="G215" s="457">
        <v>1800.0</v>
      </c>
      <c r="H215" s="62">
        <v>2340.0</v>
      </c>
      <c r="I215" s="756"/>
      <c r="J215" s="62"/>
    </row>
    <row r="216">
      <c r="A216" s="703" t="s">
        <v>1240</v>
      </c>
      <c r="B216" s="339" t="s">
        <v>31</v>
      </c>
      <c r="C216" s="339" t="s">
        <v>1049</v>
      </c>
      <c r="D216" s="339" t="s">
        <v>1231</v>
      </c>
      <c r="E216" s="339" t="s">
        <v>1046</v>
      </c>
      <c r="F216" s="339" t="s">
        <v>175</v>
      </c>
      <c r="G216" s="457">
        <v>1500.0</v>
      </c>
      <c r="H216" s="62">
        <v>1950.0</v>
      </c>
      <c r="I216" s="756"/>
      <c r="J216" s="62"/>
    </row>
    <row r="217">
      <c r="A217" s="703" t="s">
        <v>1241</v>
      </c>
      <c r="B217" s="339" t="s">
        <v>31</v>
      </c>
      <c r="C217" s="339" t="s">
        <v>1049</v>
      </c>
      <c r="D217" s="339" t="s">
        <v>1016</v>
      </c>
      <c r="E217" s="339" t="s">
        <v>1056</v>
      </c>
      <c r="F217" s="339" t="s">
        <v>175</v>
      </c>
      <c r="G217" s="457">
        <v>2000.0</v>
      </c>
      <c r="H217" s="62">
        <v>2600.0</v>
      </c>
      <c r="I217" s="756"/>
      <c r="J217" s="62"/>
    </row>
    <row r="218">
      <c r="A218" s="703" t="s">
        <v>1242</v>
      </c>
      <c r="B218" s="339" t="s">
        <v>31</v>
      </c>
      <c r="C218" s="339" t="s">
        <v>1082</v>
      </c>
      <c r="D218" s="339" t="s">
        <v>259</v>
      </c>
      <c r="E218" s="339" t="s">
        <v>559</v>
      </c>
      <c r="F218" s="339" t="s">
        <v>560</v>
      </c>
      <c r="G218" s="457">
        <v>7500.0</v>
      </c>
      <c r="H218" s="62">
        <v>9750.0</v>
      </c>
      <c r="I218" s="756"/>
      <c r="J218" s="62"/>
    </row>
    <row r="219">
      <c r="A219" s="703" t="s">
        <v>1243</v>
      </c>
      <c r="B219" s="339" t="s">
        <v>31</v>
      </c>
      <c r="C219" s="339" t="s">
        <v>1082</v>
      </c>
      <c r="D219" s="339" t="s">
        <v>164</v>
      </c>
      <c r="E219" s="339" t="s">
        <v>1084</v>
      </c>
      <c r="F219" s="339" t="s">
        <v>560</v>
      </c>
      <c r="G219" s="457">
        <v>1000.0</v>
      </c>
      <c r="H219" s="62">
        <v>1300.0</v>
      </c>
      <c r="I219" s="756"/>
      <c r="J219" s="62"/>
    </row>
    <row r="220">
      <c r="A220" s="703" t="s">
        <v>1244</v>
      </c>
      <c r="B220" s="339" t="s">
        <v>31</v>
      </c>
      <c r="C220" s="339" t="s">
        <v>1082</v>
      </c>
      <c r="D220" s="339" t="s">
        <v>1231</v>
      </c>
      <c r="E220" s="339" t="s">
        <v>1086</v>
      </c>
      <c r="F220" s="339" t="s">
        <v>560</v>
      </c>
      <c r="G220" s="457">
        <v>8500.0</v>
      </c>
      <c r="H220" s="62">
        <v>11050.0</v>
      </c>
      <c r="I220" s="756"/>
      <c r="J220" s="62"/>
    </row>
    <row r="221">
      <c r="A221" s="703" t="s">
        <v>1245</v>
      </c>
      <c r="B221" s="339" t="s">
        <v>31</v>
      </c>
      <c r="C221" s="339" t="s">
        <v>1087</v>
      </c>
      <c r="D221" s="339" t="s">
        <v>259</v>
      </c>
      <c r="E221" s="339" t="s">
        <v>1088</v>
      </c>
      <c r="F221" s="339" t="s">
        <v>120</v>
      </c>
      <c r="G221" s="457">
        <v>3000.0</v>
      </c>
      <c r="H221" s="62">
        <v>3900.0</v>
      </c>
      <c r="I221" s="756"/>
      <c r="J221" s="62"/>
    </row>
    <row r="222">
      <c r="A222" s="703" t="s">
        <v>1246</v>
      </c>
      <c r="B222" s="339" t="s">
        <v>31</v>
      </c>
      <c r="C222" s="339" t="s">
        <v>1087</v>
      </c>
      <c r="D222" s="339" t="s">
        <v>164</v>
      </c>
      <c r="E222" s="339" t="s">
        <v>1090</v>
      </c>
      <c r="F222" s="339" t="s">
        <v>120</v>
      </c>
      <c r="G222" s="457">
        <v>4000.0</v>
      </c>
      <c r="H222" s="62">
        <v>5200.0</v>
      </c>
      <c r="I222" s="756"/>
      <c r="J222" s="62"/>
    </row>
    <row r="223">
      <c r="A223" s="703" t="s">
        <v>1247</v>
      </c>
      <c r="B223" s="339" t="s">
        <v>31</v>
      </c>
      <c r="C223" s="339" t="s">
        <v>1087</v>
      </c>
      <c r="D223" s="339" t="s">
        <v>178</v>
      </c>
      <c r="E223" s="339" t="s">
        <v>1092</v>
      </c>
      <c r="F223" s="339" t="s">
        <v>120</v>
      </c>
      <c r="G223" s="457">
        <v>4000.0</v>
      </c>
      <c r="H223" s="62">
        <v>5200.0</v>
      </c>
      <c r="I223" s="756"/>
      <c r="J223" s="62"/>
    </row>
    <row r="224">
      <c r="A224" s="703" t="s">
        <v>1248</v>
      </c>
      <c r="B224" s="339" t="s">
        <v>31</v>
      </c>
      <c r="C224" s="339" t="s">
        <v>1104</v>
      </c>
      <c r="D224" s="339" t="s">
        <v>1105</v>
      </c>
      <c r="E224" s="339" t="s">
        <v>1106</v>
      </c>
      <c r="F224" s="339" t="s">
        <v>560</v>
      </c>
      <c r="G224" s="457">
        <v>7500.0</v>
      </c>
      <c r="H224" s="62">
        <v>9750.0</v>
      </c>
      <c r="I224" s="756"/>
      <c r="J224" s="62"/>
    </row>
    <row r="225">
      <c r="A225" s="785" t="s">
        <v>141</v>
      </c>
      <c r="B225" s="340" t="s">
        <v>25</v>
      </c>
      <c r="C225" s="340" t="s">
        <v>1249</v>
      </c>
      <c r="D225" s="340" t="s">
        <v>1250</v>
      </c>
      <c r="E225" s="340" t="s">
        <v>144</v>
      </c>
      <c r="F225" s="340" t="s">
        <v>1251</v>
      </c>
      <c r="G225" s="339">
        <v>625.0</v>
      </c>
      <c r="H225" s="708">
        <v>850.0</v>
      </c>
      <c r="I225" s="705">
        <v>725.0</v>
      </c>
      <c r="J225" s="764">
        <v>625.0</v>
      </c>
    </row>
    <row r="226">
      <c r="A226" s="785" t="s">
        <v>1252</v>
      </c>
      <c r="B226" s="340" t="s">
        <v>25</v>
      </c>
      <c r="C226" s="340" t="s">
        <v>1253</v>
      </c>
      <c r="D226" s="707" t="s">
        <v>1254</v>
      </c>
      <c r="E226" s="340" t="s">
        <v>144</v>
      </c>
      <c r="F226" s="340" t="s">
        <v>1251</v>
      </c>
      <c r="G226" s="339">
        <v>625.0</v>
      </c>
      <c r="H226" s="708">
        <v>850.0</v>
      </c>
      <c r="I226" s="709">
        <v>725.0</v>
      </c>
      <c r="J226" s="710">
        <v>625.0</v>
      </c>
    </row>
    <row r="227">
      <c r="A227" s="785" t="s">
        <v>1255</v>
      </c>
      <c r="B227" s="340" t="s">
        <v>25</v>
      </c>
      <c r="C227" s="340" t="s">
        <v>1256</v>
      </c>
      <c r="D227" s="707" t="s">
        <v>1257</v>
      </c>
      <c r="E227" s="340" t="s">
        <v>144</v>
      </c>
      <c r="F227" s="340" t="s">
        <v>1251</v>
      </c>
      <c r="G227" s="339">
        <v>750.0</v>
      </c>
      <c r="H227" s="708">
        <v>1000.0</v>
      </c>
      <c r="I227" s="709">
        <v>850.0</v>
      </c>
      <c r="J227" s="710">
        <v>750.0</v>
      </c>
    </row>
    <row r="228">
      <c r="A228" s="785" t="s">
        <v>1258</v>
      </c>
      <c r="B228" s="340" t="s">
        <v>25</v>
      </c>
      <c r="C228" s="340" t="s">
        <v>1259</v>
      </c>
      <c r="D228" s="340" t="s">
        <v>1260</v>
      </c>
      <c r="E228" s="340" t="s">
        <v>1261</v>
      </c>
      <c r="F228" s="340" t="s">
        <v>1251</v>
      </c>
      <c r="G228" s="339">
        <v>1000.0</v>
      </c>
      <c r="H228" s="708">
        <v>1500.0</v>
      </c>
      <c r="I228" s="709">
        <v>1275.0</v>
      </c>
      <c r="J228" s="710">
        <v>1000.0</v>
      </c>
    </row>
    <row r="229">
      <c r="A229" s="785" t="s">
        <v>1262</v>
      </c>
      <c r="B229" s="340" t="s">
        <v>25</v>
      </c>
      <c r="C229" s="340" t="s">
        <v>1263</v>
      </c>
      <c r="D229" s="340" t="s">
        <v>1264</v>
      </c>
      <c r="E229" s="707" t="s">
        <v>1265</v>
      </c>
      <c r="F229" s="340" t="s">
        <v>1251</v>
      </c>
      <c r="G229" s="339">
        <v>1000.0</v>
      </c>
      <c r="H229" s="708">
        <v>1500.0</v>
      </c>
      <c r="I229" s="709">
        <v>1275.0</v>
      </c>
      <c r="J229" s="710">
        <v>1000.0</v>
      </c>
    </row>
    <row r="230">
      <c r="A230" s="785" t="s">
        <v>1266</v>
      </c>
      <c r="B230" s="340" t="s">
        <v>25</v>
      </c>
      <c r="C230" s="340" t="s">
        <v>1267</v>
      </c>
      <c r="D230" s="340" t="s">
        <v>1268</v>
      </c>
      <c r="E230" s="340" t="s">
        <v>1269</v>
      </c>
      <c r="F230" s="340" t="s">
        <v>1251</v>
      </c>
      <c r="G230" s="339">
        <v>350.0</v>
      </c>
      <c r="H230" s="708">
        <v>500.0</v>
      </c>
      <c r="I230" s="709">
        <v>425.0</v>
      </c>
      <c r="J230" s="710">
        <v>350.0</v>
      </c>
    </row>
    <row r="231">
      <c r="A231" s="785" t="s">
        <v>1270</v>
      </c>
      <c r="B231" s="340" t="s">
        <v>25</v>
      </c>
      <c r="C231" s="340" t="s">
        <v>1271</v>
      </c>
      <c r="D231" s="340" t="s">
        <v>1272</v>
      </c>
      <c r="E231" s="340" t="s">
        <v>1269</v>
      </c>
      <c r="F231" s="340" t="s">
        <v>123</v>
      </c>
      <c r="G231" s="339">
        <v>45.0</v>
      </c>
      <c r="H231" s="720">
        <v>55.0</v>
      </c>
      <c r="I231" s="709">
        <v>47.0</v>
      </c>
      <c r="J231" s="786">
        <v>45.0</v>
      </c>
    </row>
    <row r="232">
      <c r="A232" s="785" t="s">
        <v>1273</v>
      </c>
      <c r="B232" s="340" t="s">
        <v>25</v>
      </c>
      <c r="C232" s="340" t="s">
        <v>1271</v>
      </c>
      <c r="D232" s="340" t="s">
        <v>1274</v>
      </c>
      <c r="E232" s="340" t="s">
        <v>1269</v>
      </c>
      <c r="F232" s="340" t="s">
        <v>123</v>
      </c>
      <c r="G232" s="339">
        <v>52.0</v>
      </c>
      <c r="H232" s="720">
        <v>65.0</v>
      </c>
      <c r="I232" s="709">
        <v>56.0</v>
      </c>
      <c r="J232" s="786">
        <v>52.0</v>
      </c>
    </row>
    <row r="233">
      <c r="A233" s="785" t="s">
        <v>1275</v>
      </c>
      <c r="B233" s="340" t="s">
        <v>25</v>
      </c>
      <c r="C233" s="340" t="s">
        <v>1271</v>
      </c>
      <c r="D233" s="340" t="s">
        <v>1276</v>
      </c>
      <c r="E233" s="340" t="s">
        <v>1269</v>
      </c>
      <c r="F233" s="340" t="s">
        <v>123</v>
      </c>
      <c r="G233" s="339">
        <v>60.0</v>
      </c>
      <c r="H233" s="720">
        <v>80.0</v>
      </c>
      <c r="I233" s="709">
        <v>68.0</v>
      </c>
      <c r="J233" s="786">
        <v>60.0</v>
      </c>
    </row>
    <row r="234">
      <c r="A234" s="785" t="s">
        <v>1277</v>
      </c>
      <c r="B234" s="340" t="s">
        <v>25</v>
      </c>
      <c r="C234" s="340" t="s">
        <v>1278</v>
      </c>
      <c r="D234" s="340" t="s">
        <v>1279</v>
      </c>
      <c r="E234" s="340" t="s">
        <v>1269</v>
      </c>
      <c r="F234" s="340" t="s">
        <v>123</v>
      </c>
      <c r="G234" s="339">
        <v>45.0</v>
      </c>
      <c r="H234" s="720">
        <v>55.0</v>
      </c>
      <c r="I234" s="709">
        <v>47.0</v>
      </c>
      <c r="J234" s="786">
        <v>45.0</v>
      </c>
    </row>
    <row r="235">
      <c r="A235" s="785" t="s">
        <v>1280</v>
      </c>
      <c r="B235" s="340" t="s">
        <v>25</v>
      </c>
      <c r="C235" s="340" t="s">
        <v>1281</v>
      </c>
      <c r="D235" s="340" t="s">
        <v>1282</v>
      </c>
      <c r="E235" s="340" t="s">
        <v>1269</v>
      </c>
      <c r="F235" s="340" t="s">
        <v>123</v>
      </c>
      <c r="G235" s="339">
        <v>45.0</v>
      </c>
      <c r="H235" s="720">
        <v>55.0</v>
      </c>
      <c r="I235" s="709">
        <v>47.0</v>
      </c>
      <c r="J235" s="786">
        <v>45.0</v>
      </c>
    </row>
    <row r="236">
      <c r="A236" s="785" t="s">
        <v>1283</v>
      </c>
      <c r="B236" s="340" t="s">
        <v>25</v>
      </c>
      <c r="C236" s="340" t="s">
        <v>1284</v>
      </c>
      <c r="D236" s="340" t="s">
        <v>1285</v>
      </c>
      <c r="E236" s="340" t="s">
        <v>1269</v>
      </c>
      <c r="F236" s="340" t="s">
        <v>123</v>
      </c>
      <c r="G236" s="339">
        <v>45.0</v>
      </c>
      <c r="H236" s="720">
        <v>55.0</v>
      </c>
      <c r="I236" s="709">
        <v>47.0</v>
      </c>
      <c r="J236" s="786">
        <v>45.0</v>
      </c>
    </row>
    <row r="237">
      <c r="A237" s="785" t="s">
        <v>1286</v>
      </c>
      <c r="B237" s="340" t="s">
        <v>25</v>
      </c>
      <c r="C237" s="340" t="s">
        <v>1287</v>
      </c>
      <c r="D237" s="340" t="s">
        <v>1288</v>
      </c>
      <c r="E237" s="340" t="s">
        <v>1269</v>
      </c>
      <c r="F237" s="340" t="s">
        <v>123</v>
      </c>
      <c r="G237" s="339">
        <v>45.0</v>
      </c>
      <c r="H237" s="720">
        <v>55.0</v>
      </c>
      <c r="I237" s="709">
        <v>47.0</v>
      </c>
      <c r="J237" s="786">
        <v>45.0</v>
      </c>
    </row>
    <row r="238">
      <c r="A238" s="785" t="s">
        <v>1289</v>
      </c>
      <c r="B238" s="340" t="s">
        <v>25</v>
      </c>
      <c r="C238" s="340" t="s">
        <v>1290</v>
      </c>
      <c r="D238" s="340" t="s">
        <v>1291</v>
      </c>
      <c r="E238" s="340" t="s">
        <v>1269</v>
      </c>
      <c r="F238" s="340" t="s">
        <v>1292</v>
      </c>
      <c r="G238" s="339">
        <v>100.0</v>
      </c>
      <c r="H238" s="720">
        <v>150.0</v>
      </c>
      <c r="I238" s="709">
        <v>128.0</v>
      </c>
      <c r="J238" s="786">
        <v>100.0</v>
      </c>
    </row>
    <row r="239">
      <c r="A239" s="785" t="s">
        <v>1293</v>
      </c>
      <c r="B239" s="340" t="s">
        <v>25</v>
      </c>
      <c r="C239" s="340" t="s">
        <v>1290</v>
      </c>
      <c r="D239" s="340" t="s">
        <v>1294</v>
      </c>
      <c r="E239" s="340" t="s">
        <v>1269</v>
      </c>
      <c r="F239" s="340" t="s">
        <v>120</v>
      </c>
      <c r="G239" s="339">
        <v>30.0</v>
      </c>
      <c r="H239" s="720">
        <v>50.0</v>
      </c>
      <c r="I239" s="709">
        <v>43.0</v>
      </c>
      <c r="J239" s="786">
        <v>30.0</v>
      </c>
    </row>
    <row r="240">
      <c r="A240" s="785" t="s">
        <v>1295</v>
      </c>
      <c r="B240" s="340" t="s">
        <v>25</v>
      </c>
      <c r="C240" s="339" t="s">
        <v>1290</v>
      </c>
      <c r="D240" s="339" t="s">
        <v>1296</v>
      </c>
      <c r="E240" s="339"/>
      <c r="F240" s="339" t="s">
        <v>1297</v>
      </c>
      <c r="G240" s="339">
        <v>300.0</v>
      </c>
      <c r="H240" s="720">
        <v>500.0</v>
      </c>
      <c r="I240" s="709">
        <v>425.0</v>
      </c>
      <c r="J240" s="786">
        <v>300.0</v>
      </c>
    </row>
    <row r="241">
      <c r="A241" s="785" t="s">
        <v>1298</v>
      </c>
      <c r="B241" s="340" t="s">
        <v>25</v>
      </c>
      <c r="C241" s="339" t="s">
        <v>1299</v>
      </c>
      <c r="D241" s="339"/>
      <c r="E241" s="339" t="s">
        <v>1300</v>
      </c>
      <c r="F241" s="339" t="s">
        <v>1297</v>
      </c>
      <c r="G241" s="339">
        <v>5000.0</v>
      </c>
      <c r="H241" s="742">
        <v>20000.0</v>
      </c>
      <c r="I241" s="709">
        <v>17000.0</v>
      </c>
      <c r="J241" s="786">
        <v>5000.0</v>
      </c>
    </row>
    <row r="242">
      <c r="A242" s="785"/>
      <c r="B242" s="340"/>
      <c r="C242" s="340"/>
      <c r="D242" s="340"/>
      <c r="E242" s="340"/>
      <c r="F242" s="340"/>
      <c r="G242" s="339"/>
      <c r="H242" s="76"/>
      <c r="I242" s="704"/>
      <c r="J242" s="76"/>
    </row>
    <row r="243">
      <c r="A243" s="785" t="s">
        <v>1301</v>
      </c>
      <c r="B243" s="340" t="s">
        <v>1302</v>
      </c>
      <c r="C243" s="340" t="s">
        <v>1303</v>
      </c>
      <c r="D243" s="340" t="s">
        <v>1304</v>
      </c>
      <c r="E243" s="340" t="s">
        <v>1305</v>
      </c>
      <c r="F243" s="340" t="s">
        <v>175</v>
      </c>
      <c r="G243" s="339">
        <v>27.0</v>
      </c>
      <c r="H243" s="747">
        <v>35.0</v>
      </c>
      <c r="I243" s="766"/>
      <c r="J243" s="747"/>
    </row>
    <row r="244">
      <c r="A244" s="785" t="s">
        <v>1306</v>
      </c>
      <c r="B244" s="340" t="s">
        <v>1302</v>
      </c>
      <c r="C244" s="340" t="s">
        <v>1307</v>
      </c>
      <c r="D244" s="340" t="s">
        <v>1308</v>
      </c>
      <c r="E244" s="340" t="s">
        <v>1309</v>
      </c>
      <c r="F244" s="340" t="s">
        <v>175</v>
      </c>
      <c r="G244" s="339">
        <v>33.0</v>
      </c>
      <c r="H244" s="747">
        <v>40.0</v>
      </c>
      <c r="I244" s="766"/>
      <c r="J244" s="506"/>
    </row>
    <row r="245">
      <c r="A245" s="785" t="s">
        <v>1310</v>
      </c>
      <c r="B245" s="340" t="s">
        <v>1302</v>
      </c>
      <c r="C245" s="340" t="s">
        <v>1311</v>
      </c>
      <c r="D245" s="340" t="s">
        <v>1312</v>
      </c>
      <c r="E245" s="340" t="s">
        <v>1313</v>
      </c>
      <c r="F245" s="340" t="s">
        <v>175</v>
      </c>
      <c r="G245" s="339">
        <v>35.0</v>
      </c>
      <c r="H245" s="747">
        <v>42.0</v>
      </c>
      <c r="I245" s="766"/>
      <c r="J245" s="506"/>
    </row>
    <row r="246">
      <c r="A246" s="785" t="s">
        <v>1314</v>
      </c>
      <c r="B246" s="340" t="s">
        <v>1302</v>
      </c>
      <c r="C246" s="340" t="s">
        <v>1315</v>
      </c>
      <c r="D246" s="340" t="s">
        <v>1316</v>
      </c>
      <c r="E246" s="340" t="s">
        <v>1317</v>
      </c>
      <c r="F246" s="340" t="s">
        <v>175</v>
      </c>
      <c r="G246" s="339">
        <v>45.0</v>
      </c>
      <c r="H246" s="747">
        <v>55.0</v>
      </c>
      <c r="I246" s="766"/>
      <c r="J246" s="506"/>
    </row>
    <row r="247">
      <c r="A247" s="787" t="s">
        <v>298</v>
      </c>
      <c r="B247" s="713" t="s">
        <v>1302</v>
      </c>
      <c r="C247" s="713" t="s">
        <v>1318</v>
      </c>
      <c r="D247" s="713" t="s">
        <v>1312</v>
      </c>
      <c r="E247" s="713" t="s">
        <v>1319</v>
      </c>
      <c r="F247" s="713" t="s">
        <v>175</v>
      </c>
      <c r="G247" s="712">
        <v>35.0</v>
      </c>
      <c r="H247" s="716">
        <v>45.0</v>
      </c>
      <c r="I247" s="762">
        <v>42.0</v>
      </c>
      <c r="J247" s="671">
        <v>35.0</v>
      </c>
    </row>
    <row r="248">
      <c r="A248" s="785" t="s">
        <v>1320</v>
      </c>
      <c r="B248" s="340" t="s">
        <v>1302</v>
      </c>
      <c r="C248" s="340" t="s">
        <v>1321</v>
      </c>
      <c r="D248" s="340"/>
      <c r="E248" s="340"/>
      <c r="F248" s="340" t="s">
        <v>175</v>
      </c>
      <c r="G248" s="339">
        <v>85.0</v>
      </c>
      <c r="H248" s="747">
        <v>120.0</v>
      </c>
      <c r="I248" s="766"/>
      <c r="J248" s="506"/>
    </row>
    <row r="249">
      <c r="A249" s="785" t="s">
        <v>1322</v>
      </c>
      <c r="B249" s="340" t="s">
        <v>1302</v>
      </c>
      <c r="C249" s="340" t="s">
        <v>1323</v>
      </c>
      <c r="D249" s="340"/>
      <c r="E249" s="340"/>
      <c r="F249" s="340" t="s">
        <v>175</v>
      </c>
      <c r="G249" s="339">
        <v>50.0</v>
      </c>
      <c r="H249" s="747">
        <v>80.0</v>
      </c>
      <c r="I249" s="766"/>
      <c r="J249" s="506"/>
    </row>
    <row r="250">
      <c r="A250" s="785" t="s">
        <v>1324</v>
      </c>
      <c r="B250" s="340" t="s">
        <v>1302</v>
      </c>
      <c r="C250" s="340" t="s">
        <v>1325</v>
      </c>
      <c r="D250" s="340"/>
      <c r="E250" s="340"/>
      <c r="F250" s="340" t="s">
        <v>175</v>
      </c>
      <c r="G250" s="339">
        <v>50.0</v>
      </c>
      <c r="H250" s="747">
        <v>80.0</v>
      </c>
      <c r="I250" s="766"/>
      <c r="J250" s="506"/>
    </row>
    <row r="251">
      <c r="A251" s="785" t="s">
        <v>1326</v>
      </c>
      <c r="B251" s="340" t="s">
        <v>301</v>
      </c>
      <c r="C251" s="340" t="s">
        <v>1327</v>
      </c>
      <c r="D251" s="340"/>
      <c r="E251" s="340"/>
      <c r="F251" s="340" t="s">
        <v>175</v>
      </c>
      <c r="G251" s="339">
        <v>200.0</v>
      </c>
      <c r="H251" s="747">
        <v>250.0</v>
      </c>
      <c r="I251" s="766"/>
      <c r="J251" s="506"/>
    </row>
    <row r="252">
      <c r="A252" s="785" t="s">
        <v>1328</v>
      </c>
      <c r="B252" s="340" t="s">
        <v>301</v>
      </c>
      <c r="C252" s="340" t="s">
        <v>1329</v>
      </c>
      <c r="D252" s="340"/>
      <c r="E252" s="340"/>
      <c r="F252" s="340" t="s">
        <v>175</v>
      </c>
      <c r="G252" s="339">
        <v>230.0</v>
      </c>
      <c r="H252" s="747">
        <v>280.0</v>
      </c>
      <c r="I252" s="766"/>
      <c r="J252" s="506"/>
    </row>
    <row r="253">
      <c r="A253" s="785" t="s">
        <v>1330</v>
      </c>
      <c r="B253" s="340" t="s">
        <v>301</v>
      </c>
      <c r="C253" s="340" t="s">
        <v>1331</v>
      </c>
      <c r="D253" s="340"/>
      <c r="E253" s="340"/>
      <c r="F253" s="340" t="s">
        <v>175</v>
      </c>
      <c r="G253" s="339">
        <v>300.0</v>
      </c>
      <c r="H253" s="747">
        <v>375.0</v>
      </c>
      <c r="I253" s="766"/>
      <c r="J253" s="506"/>
    </row>
    <row r="254">
      <c r="A254" s="785" t="s">
        <v>302</v>
      </c>
      <c r="B254" s="340" t="s">
        <v>1332</v>
      </c>
      <c r="C254" s="340" t="s">
        <v>1333</v>
      </c>
      <c r="D254" s="340"/>
      <c r="E254" s="340"/>
      <c r="F254" s="340" t="s">
        <v>175</v>
      </c>
      <c r="G254" s="339">
        <v>80.0</v>
      </c>
      <c r="H254" s="747">
        <v>120.0</v>
      </c>
      <c r="I254" s="766"/>
      <c r="J254" s="506"/>
    </row>
    <row r="255">
      <c r="A255" s="785" t="s">
        <v>1334</v>
      </c>
      <c r="B255" s="340" t="s">
        <v>1332</v>
      </c>
      <c r="C255" s="340" t="s">
        <v>1335</v>
      </c>
      <c r="D255" s="340"/>
      <c r="E255" s="340"/>
      <c r="F255" s="340" t="s">
        <v>175</v>
      </c>
      <c r="G255" s="339">
        <v>25.0</v>
      </c>
      <c r="H255" s="747">
        <v>40.0</v>
      </c>
      <c r="I255" s="766"/>
      <c r="J255" s="506"/>
    </row>
    <row r="256">
      <c r="A256" s="785" t="s">
        <v>1336</v>
      </c>
      <c r="B256" s="340" t="s">
        <v>1337</v>
      </c>
      <c r="C256" s="340" t="s">
        <v>1338</v>
      </c>
      <c r="D256" s="340"/>
      <c r="E256" s="340"/>
      <c r="F256" s="340" t="s">
        <v>175</v>
      </c>
      <c r="G256" s="339">
        <v>180.0</v>
      </c>
      <c r="H256" s="747">
        <v>220.0</v>
      </c>
      <c r="I256" s="766"/>
      <c r="J256" s="506"/>
    </row>
    <row r="257">
      <c r="A257" s="785" t="s">
        <v>1339</v>
      </c>
      <c r="B257" s="340" t="s">
        <v>1337</v>
      </c>
      <c r="C257" s="340" t="s">
        <v>1331</v>
      </c>
      <c r="D257" s="340"/>
      <c r="E257" s="340"/>
      <c r="F257" s="340" t="s">
        <v>175</v>
      </c>
      <c r="G257" s="339">
        <v>220.0</v>
      </c>
      <c r="H257" s="747">
        <v>280.0</v>
      </c>
      <c r="I257" s="766"/>
      <c r="J257" s="506"/>
    </row>
    <row r="258">
      <c r="A258" s="785" t="s">
        <v>1340</v>
      </c>
      <c r="B258" s="340" t="s">
        <v>1341</v>
      </c>
      <c r="C258" s="340" t="s">
        <v>1327</v>
      </c>
      <c r="D258" s="340"/>
      <c r="E258" s="340"/>
      <c r="F258" s="340" t="s">
        <v>175</v>
      </c>
      <c r="G258" s="339">
        <v>370.0</v>
      </c>
      <c r="H258" s="747">
        <v>450.0</v>
      </c>
      <c r="I258" s="766"/>
      <c r="J258" s="506"/>
    </row>
    <row r="259">
      <c r="A259" s="785" t="s">
        <v>1342</v>
      </c>
      <c r="B259" s="340" t="s">
        <v>1341</v>
      </c>
      <c r="C259" s="340" t="s">
        <v>1329</v>
      </c>
      <c r="D259" s="340"/>
      <c r="E259" s="340"/>
      <c r="F259" s="340" t="s">
        <v>175</v>
      </c>
      <c r="G259" s="339">
        <v>400.0</v>
      </c>
      <c r="H259" s="747">
        <v>525.0</v>
      </c>
      <c r="I259" s="766"/>
      <c r="J259" s="506"/>
    </row>
    <row r="260">
      <c r="A260" s="785" t="s">
        <v>1343</v>
      </c>
      <c r="B260" s="340" t="s">
        <v>1341</v>
      </c>
      <c r="C260" s="340" t="s">
        <v>1344</v>
      </c>
      <c r="D260" s="340"/>
      <c r="E260" s="340"/>
      <c r="F260" s="340" t="s">
        <v>175</v>
      </c>
      <c r="G260" s="339">
        <v>0.0</v>
      </c>
      <c r="H260" s="747">
        <v>0.0</v>
      </c>
      <c r="I260" s="757"/>
      <c r="J260" s="506"/>
    </row>
    <row r="261">
      <c r="A261" s="787" t="s">
        <v>297</v>
      </c>
      <c r="B261" s="713" t="s">
        <v>1302</v>
      </c>
      <c r="C261" s="713" t="s">
        <v>1318</v>
      </c>
      <c r="D261" s="713" t="s">
        <v>1312</v>
      </c>
      <c r="E261" s="679" t="s">
        <v>1345</v>
      </c>
      <c r="F261" s="713" t="s">
        <v>175</v>
      </c>
      <c r="G261" s="712">
        <v>35.0</v>
      </c>
      <c r="H261" s="674">
        <v>42.0</v>
      </c>
      <c r="I261" s="762">
        <v>42.0</v>
      </c>
      <c r="J261" s="674">
        <v>35.0</v>
      </c>
    </row>
    <row r="262" ht="9.75" customHeight="1">
      <c r="A262" s="703"/>
      <c r="B262" s="339"/>
      <c r="C262" s="339"/>
      <c r="D262" s="339"/>
      <c r="E262" s="340"/>
      <c r="F262" s="339"/>
      <c r="G262" s="339"/>
      <c r="H262" s="747">
        <v>0.0</v>
      </c>
      <c r="I262" s="757"/>
      <c r="J262" s="747"/>
    </row>
    <row r="263">
      <c r="A263" s="703" t="s">
        <v>1346</v>
      </c>
      <c r="B263" s="339" t="s">
        <v>22</v>
      </c>
      <c r="C263" s="339" t="s">
        <v>127</v>
      </c>
      <c r="D263" s="339" t="s">
        <v>1347</v>
      </c>
      <c r="E263" s="340" t="s">
        <v>1348</v>
      </c>
      <c r="F263" s="339" t="s">
        <v>130</v>
      </c>
      <c r="G263" s="339">
        <v>25000.0</v>
      </c>
      <c r="H263" s="747">
        <v>42000.0</v>
      </c>
      <c r="I263" s="753">
        <v>35000.0</v>
      </c>
      <c r="J263" s="515">
        <v>25000.0</v>
      </c>
    </row>
    <row r="264">
      <c r="A264" s="788" t="s">
        <v>126</v>
      </c>
      <c r="B264" s="339" t="s">
        <v>22</v>
      </c>
      <c r="C264" s="339" t="s">
        <v>127</v>
      </c>
      <c r="D264" s="339" t="s">
        <v>595</v>
      </c>
      <c r="E264" s="340" t="s">
        <v>596</v>
      </c>
      <c r="F264" s="339" t="s">
        <v>130</v>
      </c>
      <c r="G264" s="339">
        <v>8000.0</v>
      </c>
      <c r="H264" s="747">
        <v>25000.0</v>
      </c>
      <c r="I264" s="753"/>
      <c r="J264" s="339"/>
    </row>
    <row r="265">
      <c r="A265" s="711" t="s">
        <v>137</v>
      </c>
      <c r="B265" s="712" t="s">
        <v>22</v>
      </c>
      <c r="C265" s="712" t="s">
        <v>1349</v>
      </c>
      <c r="D265" s="712" t="s">
        <v>1350</v>
      </c>
      <c r="E265" s="713" t="s">
        <v>1348</v>
      </c>
      <c r="F265" s="712" t="s">
        <v>1351</v>
      </c>
      <c r="G265" s="712">
        <v>5500.0</v>
      </c>
      <c r="H265" s="716">
        <v>15000.0</v>
      </c>
      <c r="I265" s="736">
        <v>10000.0</v>
      </c>
      <c r="J265" s="695">
        <v>5500.0</v>
      </c>
    </row>
    <row r="266">
      <c r="A266" s="703" t="s">
        <v>1352</v>
      </c>
      <c r="B266" s="339" t="s">
        <v>22</v>
      </c>
      <c r="C266" s="339" t="s">
        <v>1349</v>
      </c>
      <c r="D266" s="339" t="s">
        <v>1353</v>
      </c>
      <c r="E266" s="340" t="s">
        <v>1354</v>
      </c>
      <c r="F266" s="339" t="s">
        <v>1351</v>
      </c>
      <c r="G266" s="339">
        <v>1500.0</v>
      </c>
      <c r="H266" s="747">
        <v>3000.0</v>
      </c>
      <c r="I266" s="753"/>
      <c r="J266" s="339"/>
    </row>
    <row r="267">
      <c r="A267" s="703" t="s">
        <v>1355</v>
      </c>
      <c r="B267" s="339" t="s">
        <v>59</v>
      </c>
      <c r="C267" s="339" t="s">
        <v>127</v>
      </c>
      <c r="D267" s="339"/>
      <c r="E267" s="340" t="s">
        <v>1356</v>
      </c>
      <c r="F267" s="339" t="s">
        <v>130</v>
      </c>
      <c r="G267" s="339">
        <v>2000.0</v>
      </c>
      <c r="H267" s="747">
        <v>4500.0</v>
      </c>
      <c r="I267" s="753"/>
      <c r="J267" s="339"/>
    </row>
    <row r="268">
      <c r="A268" s="703" t="s">
        <v>1357</v>
      </c>
      <c r="B268" s="339" t="s">
        <v>59</v>
      </c>
      <c r="C268" s="339" t="s">
        <v>1349</v>
      </c>
      <c r="D268" s="339"/>
      <c r="E268" s="340" t="s">
        <v>1356</v>
      </c>
      <c r="F268" s="339" t="s">
        <v>1351</v>
      </c>
      <c r="G268" s="339">
        <v>1000.0</v>
      </c>
      <c r="H268" s="747">
        <v>1500.0</v>
      </c>
      <c r="I268" s="753"/>
      <c r="J268" s="339"/>
    </row>
    <row r="269">
      <c r="A269" s="789" t="s">
        <v>305</v>
      </c>
      <c r="B269" s="790" t="s">
        <v>1358</v>
      </c>
      <c r="C269" s="791" t="s">
        <v>61</v>
      </c>
      <c r="D269" s="791" t="s">
        <v>61</v>
      </c>
      <c r="E269" s="791" t="s">
        <v>61</v>
      </c>
      <c r="F269" s="791" t="s">
        <v>339</v>
      </c>
      <c r="G269" s="792">
        <v>20000.0</v>
      </c>
      <c r="H269" s="793">
        <v>25000.0</v>
      </c>
      <c r="I269" s="793">
        <v>20000.0</v>
      </c>
      <c r="J269" s="792">
        <v>15000.0</v>
      </c>
    </row>
    <row r="270">
      <c r="A270" s="789" t="s">
        <v>306</v>
      </c>
      <c r="B270" s="794" t="s">
        <v>1359</v>
      </c>
      <c r="C270" s="795" t="s">
        <v>61</v>
      </c>
      <c r="D270" s="795" t="s">
        <v>61</v>
      </c>
      <c r="E270" s="795" t="s">
        <v>61</v>
      </c>
      <c r="F270" s="795" t="s">
        <v>339</v>
      </c>
      <c r="G270" s="796">
        <v>25000.0</v>
      </c>
      <c r="H270" s="793">
        <v>30000.0</v>
      </c>
      <c r="I270" s="793">
        <v>25000.0</v>
      </c>
      <c r="J270" s="796">
        <v>20000.0</v>
      </c>
    </row>
    <row r="271">
      <c r="A271" s="789" t="s">
        <v>307</v>
      </c>
      <c r="B271" s="794" t="s">
        <v>1360</v>
      </c>
      <c r="C271" s="795" t="s">
        <v>61</v>
      </c>
      <c r="D271" s="795" t="s">
        <v>61</v>
      </c>
      <c r="E271" s="795" t="s">
        <v>1361</v>
      </c>
      <c r="F271" s="795" t="s">
        <v>339</v>
      </c>
      <c r="G271" s="796">
        <v>20000.0</v>
      </c>
      <c r="H271" s="793">
        <v>25000.0</v>
      </c>
      <c r="I271" s="793">
        <v>20000.0</v>
      </c>
      <c r="J271" s="796">
        <v>15000.0</v>
      </c>
    </row>
    <row r="272">
      <c r="A272" s="797"/>
      <c r="B272" s="797"/>
      <c r="C272" s="797"/>
      <c r="D272" s="797"/>
      <c r="E272" s="797"/>
      <c r="F272" s="797"/>
      <c r="G272" s="797"/>
      <c r="H272" s="798"/>
      <c r="I272" s="799"/>
      <c r="J272" s="798"/>
    </row>
    <row r="273">
      <c r="A273" s="797"/>
      <c r="B273" s="797"/>
      <c r="C273" s="797"/>
      <c r="D273" s="797"/>
      <c r="E273" s="797"/>
      <c r="F273" s="797"/>
      <c r="G273" s="797"/>
      <c r="H273" s="798"/>
      <c r="I273" s="799"/>
      <c r="J273" s="798"/>
    </row>
    <row r="274">
      <c r="A274" s="797"/>
      <c r="B274" s="797"/>
      <c r="C274" s="797"/>
      <c r="D274" s="797"/>
      <c r="E274" s="797"/>
      <c r="F274" s="797"/>
      <c r="G274" s="797"/>
      <c r="H274" s="798"/>
      <c r="I274" s="799"/>
      <c r="J274" s="798"/>
    </row>
    <row r="275">
      <c r="A275" s="797"/>
      <c r="B275" s="797"/>
      <c r="C275" s="797"/>
      <c r="D275" s="797"/>
      <c r="E275" s="797"/>
      <c r="F275" s="797"/>
      <c r="G275" s="797"/>
      <c r="H275" s="798"/>
      <c r="I275" s="799"/>
      <c r="J275" s="798"/>
    </row>
    <row r="276">
      <c r="A276" s="797">
        <v>0.0</v>
      </c>
      <c r="B276" s="797">
        <v>0.0</v>
      </c>
      <c r="C276" s="797">
        <v>0.0</v>
      </c>
      <c r="D276" s="797">
        <v>0.0</v>
      </c>
      <c r="E276" s="797">
        <v>0.0</v>
      </c>
      <c r="F276" s="797">
        <v>0.0</v>
      </c>
      <c r="G276" s="797">
        <v>0.0</v>
      </c>
      <c r="H276" s="798"/>
      <c r="I276" s="799"/>
      <c r="J276" s="798"/>
    </row>
    <row r="277">
      <c r="A277" s="800"/>
      <c r="B277" s="800"/>
      <c r="C277" s="800"/>
      <c r="D277" s="800"/>
      <c r="E277" s="800"/>
      <c r="F277" s="800"/>
      <c r="G277" s="800"/>
      <c r="H277" s="801"/>
      <c r="I277" s="802"/>
      <c r="J277" s="801"/>
    </row>
    <row r="278">
      <c r="A278" s="800"/>
      <c r="B278" s="800"/>
      <c r="C278" s="800"/>
      <c r="D278" s="800"/>
      <c r="E278" s="800"/>
      <c r="F278" s="800"/>
      <c r="G278" s="800"/>
      <c r="H278" s="801"/>
      <c r="I278" s="802"/>
      <c r="J278" s="801"/>
    </row>
    <row r="279">
      <c r="A279" s="800"/>
      <c r="B279" s="800"/>
      <c r="C279" s="800"/>
      <c r="D279" s="800"/>
      <c r="E279" s="800"/>
      <c r="F279" s="800"/>
      <c r="G279" s="800"/>
      <c r="H279" s="801"/>
      <c r="I279" s="802"/>
      <c r="J279" s="801"/>
    </row>
    <row r="280">
      <c r="A280" s="800"/>
      <c r="B280" s="800"/>
      <c r="C280" s="800"/>
      <c r="D280" s="800"/>
      <c r="E280" s="800"/>
      <c r="F280" s="800"/>
      <c r="G280" s="800"/>
      <c r="H280" s="801"/>
      <c r="I280" s="802"/>
      <c r="J280" s="801"/>
    </row>
    <row r="281">
      <c r="A281" s="800"/>
      <c r="B281" s="800"/>
      <c r="C281" s="800"/>
      <c r="D281" s="800"/>
      <c r="E281" s="800"/>
      <c r="F281" s="800"/>
      <c r="G281" s="800"/>
      <c r="H281" s="801"/>
      <c r="I281" s="802"/>
      <c r="J281" s="801"/>
    </row>
    <row r="282">
      <c r="A282" s="800"/>
      <c r="B282" s="800"/>
      <c r="C282" s="800"/>
      <c r="D282" s="800"/>
      <c r="E282" s="800"/>
      <c r="F282" s="800"/>
      <c r="G282" s="800"/>
      <c r="H282" s="801"/>
      <c r="I282" s="802"/>
      <c r="J282" s="801"/>
    </row>
    <row r="283">
      <c r="A283" s="800"/>
      <c r="B283" s="800"/>
      <c r="C283" s="800"/>
      <c r="D283" s="800"/>
      <c r="E283" s="800"/>
      <c r="F283" s="800"/>
      <c r="G283" s="800"/>
      <c r="H283" s="801"/>
      <c r="I283" s="802"/>
      <c r="J283" s="801"/>
    </row>
    <row r="284">
      <c r="A284" s="800"/>
      <c r="B284" s="800"/>
      <c r="C284" s="800"/>
      <c r="D284" s="800"/>
      <c r="E284" s="800"/>
      <c r="F284" s="800"/>
      <c r="G284" s="800"/>
      <c r="H284" s="801"/>
      <c r="I284" s="802"/>
      <c r="J284" s="801"/>
    </row>
    <row r="285">
      <c r="A285" s="800"/>
      <c r="B285" s="800"/>
      <c r="C285" s="800"/>
      <c r="D285" s="800"/>
      <c r="E285" s="800"/>
      <c r="F285" s="800"/>
      <c r="G285" s="800"/>
      <c r="H285" s="801"/>
      <c r="I285" s="802"/>
      <c r="J285" s="801"/>
    </row>
    <row r="286">
      <c r="A286" s="800"/>
      <c r="B286" s="800"/>
      <c r="C286" s="800"/>
      <c r="D286" s="800"/>
      <c r="E286" s="800"/>
      <c r="F286" s="800"/>
      <c r="G286" s="800"/>
      <c r="H286" s="801"/>
      <c r="I286" s="802"/>
      <c r="J286" s="801"/>
    </row>
    <row r="287">
      <c r="A287" s="800"/>
      <c r="B287" s="800"/>
      <c r="C287" s="800"/>
      <c r="D287" s="800"/>
      <c r="E287" s="800"/>
      <c r="F287" s="800"/>
      <c r="G287" s="800"/>
      <c r="H287" s="801"/>
      <c r="I287" s="802"/>
      <c r="J287" s="801"/>
    </row>
    <row r="288">
      <c r="A288" s="800"/>
      <c r="B288" s="800"/>
      <c r="C288" s="800"/>
      <c r="D288" s="800"/>
      <c r="E288" s="800"/>
      <c r="F288" s="800"/>
      <c r="G288" s="800"/>
      <c r="H288" s="801"/>
      <c r="I288" s="802"/>
      <c r="J288" s="801"/>
    </row>
    <row r="289">
      <c r="A289" s="800"/>
      <c r="B289" s="800"/>
      <c r="C289" s="800"/>
      <c r="D289" s="800"/>
      <c r="E289" s="800"/>
      <c r="F289" s="800"/>
      <c r="G289" s="800"/>
      <c r="H289" s="801"/>
      <c r="I289" s="802"/>
      <c r="J289" s="801"/>
    </row>
    <row r="290">
      <c r="A290" s="800"/>
      <c r="B290" s="800"/>
      <c r="C290" s="800"/>
      <c r="D290" s="800"/>
      <c r="E290" s="800"/>
      <c r="F290" s="800"/>
      <c r="G290" s="800"/>
      <c r="H290" s="801"/>
      <c r="I290" s="802"/>
      <c r="J290" s="801"/>
    </row>
    <row r="291">
      <c r="A291" s="800"/>
      <c r="B291" s="800"/>
      <c r="C291" s="800"/>
      <c r="D291" s="800"/>
      <c r="E291" s="800"/>
      <c r="F291" s="800"/>
      <c r="G291" s="800"/>
      <c r="H291" s="801"/>
      <c r="I291" s="802"/>
      <c r="J291" s="801"/>
    </row>
    <row r="292">
      <c r="A292" s="800"/>
      <c r="B292" s="800"/>
      <c r="C292" s="800"/>
      <c r="D292" s="800"/>
      <c r="E292" s="800"/>
      <c r="F292" s="800"/>
      <c r="G292" s="800"/>
      <c r="H292" s="801"/>
      <c r="I292" s="802"/>
      <c r="J292" s="801"/>
    </row>
    <row r="293">
      <c r="A293" s="800"/>
      <c r="B293" s="800"/>
      <c r="C293" s="800"/>
      <c r="D293" s="800"/>
      <c r="E293" s="800"/>
      <c r="F293" s="800"/>
      <c r="G293" s="800"/>
      <c r="H293" s="801"/>
      <c r="I293" s="802"/>
      <c r="J293" s="801"/>
    </row>
    <row r="294">
      <c r="A294" s="800"/>
      <c r="B294" s="800"/>
      <c r="C294" s="800"/>
      <c r="D294" s="800"/>
      <c r="E294" s="800"/>
      <c r="F294" s="800"/>
      <c r="G294" s="800"/>
      <c r="H294" s="801"/>
      <c r="I294" s="802"/>
      <c r="J294" s="801"/>
    </row>
    <row r="295">
      <c r="A295" s="800"/>
      <c r="B295" s="800"/>
      <c r="C295" s="800"/>
      <c r="D295" s="800"/>
      <c r="E295" s="800"/>
      <c r="F295" s="800"/>
      <c r="G295" s="800"/>
      <c r="H295" s="801"/>
      <c r="I295" s="802"/>
      <c r="J295" s="801"/>
    </row>
    <row r="296">
      <c r="A296" s="800"/>
      <c r="B296" s="800"/>
      <c r="C296" s="800"/>
      <c r="D296" s="800"/>
      <c r="E296" s="800"/>
      <c r="F296" s="800"/>
      <c r="G296" s="800"/>
      <c r="H296" s="801"/>
      <c r="I296" s="802"/>
      <c r="J296" s="801"/>
    </row>
    <row r="297">
      <c r="A297" s="800"/>
      <c r="B297" s="800"/>
      <c r="C297" s="800"/>
      <c r="D297" s="800"/>
      <c r="E297" s="800"/>
      <c r="F297" s="800"/>
      <c r="G297" s="800"/>
      <c r="H297" s="801"/>
      <c r="I297" s="802"/>
      <c r="J297" s="801"/>
    </row>
    <row r="298">
      <c r="A298" s="800"/>
      <c r="B298" s="800"/>
      <c r="C298" s="800"/>
      <c r="D298" s="800"/>
      <c r="E298" s="800"/>
      <c r="F298" s="800"/>
      <c r="G298" s="800"/>
      <c r="H298" s="801"/>
      <c r="I298" s="802"/>
      <c r="J298" s="801"/>
    </row>
    <row r="299">
      <c r="A299" s="800"/>
      <c r="B299" s="800"/>
      <c r="C299" s="800"/>
      <c r="D299" s="800"/>
      <c r="E299" s="800"/>
      <c r="F299" s="800"/>
      <c r="G299" s="800"/>
      <c r="H299" s="801"/>
      <c r="I299" s="802"/>
      <c r="J299" s="801"/>
    </row>
    <row r="300">
      <c r="A300" s="800"/>
      <c r="B300" s="800"/>
      <c r="C300" s="800"/>
      <c r="D300" s="800"/>
      <c r="E300" s="800"/>
      <c r="F300" s="800"/>
      <c r="G300" s="800"/>
      <c r="H300" s="801"/>
      <c r="I300" s="802"/>
      <c r="J300" s="801"/>
    </row>
    <row r="301">
      <c r="A301" s="800"/>
      <c r="B301" s="800"/>
      <c r="C301" s="800"/>
      <c r="D301" s="800"/>
      <c r="E301" s="800"/>
      <c r="F301" s="800"/>
      <c r="G301" s="800"/>
      <c r="H301" s="801"/>
      <c r="I301" s="802"/>
      <c r="J301" s="801"/>
    </row>
    <row r="302">
      <c r="A302" s="800"/>
      <c r="B302" s="800"/>
      <c r="C302" s="800"/>
      <c r="D302" s="800"/>
      <c r="E302" s="800"/>
      <c r="F302" s="800"/>
      <c r="G302" s="800"/>
      <c r="H302" s="801"/>
      <c r="I302" s="802"/>
      <c r="J302" s="801"/>
    </row>
    <row r="303">
      <c r="A303" s="800"/>
      <c r="B303" s="800"/>
      <c r="C303" s="800"/>
      <c r="D303" s="800"/>
      <c r="E303" s="800"/>
      <c r="F303" s="800"/>
      <c r="G303" s="800"/>
      <c r="H303" s="801"/>
      <c r="I303" s="802"/>
      <c r="J303" s="801"/>
    </row>
    <row r="304">
      <c r="A304" s="800"/>
      <c r="B304" s="800"/>
      <c r="C304" s="800"/>
      <c r="D304" s="800"/>
      <c r="E304" s="800"/>
      <c r="F304" s="800"/>
      <c r="G304" s="800"/>
      <c r="H304" s="801"/>
      <c r="I304" s="802"/>
      <c r="J304" s="801"/>
    </row>
    <row r="305">
      <c r="A305" s="800"/>
      <c r="B305" s="800"/>
      <c r="C305" s="800"/>
      <c r="D305" s="800"/>
      <c r="E305" s="800"/>
      <c r="F305" s="800"/>
      <c r="G305" s="800"/>
      <c r="H305" s="801"/>
      <c r="I305" s="802"/>
      <c r="J305" s="801"/>
    </row>
    <row r="306">
      <c r="A306" s="800"/>
      <c r="B306" s="800"/>
      <c r="C306" s="800"/>
      <c r="D306" s="800"/>
      <c r="E306" s="800"/>
      <c r="F306" s="800"/>
      <c r="G306" s="800"/>
      <c r="H306" s="801"/>
      <c r="I306" s="802"/>
      <c r="J306" s="801"/>
    </row>
    <row r="307">
      <c r="A307" s="800"/>
      <c r="B307" s="800"/>
      <c r="C307" s="800"/>
      <c r="D307" s="800"/>
      <c r="E307" s="800"/>
      <c r="F307" s="800"/>
      <c r="G307" s="800"/>
      <c r="H307" s="801"/>
      <c r="I307" s="802"/>
      <c r="J307" s="801"/>
    </row>
    <row r="308">
      <c r="A308" s="800"/>
      <c r="B308" s="800"/>
      <c r="C308" s="800"/>
      <c r="D308" s="800"/>
      <c r="E308" s="800"/>
      <c r="F308" s="800"/>
      <c r="G308" s="800"/>
      <c r="H308" s="801"/>
      <c r="I308" s="802"/>
      <c r="J308" s="801"/>
    </row>
    <row r="309">
      <c r="A309" s="800"/>
      <c r="B309" s="800"/>
      <c r="C309" s="800"/>
      <c r="D309" s="800"/>
      <c r="E309" s="800"/>
      <c r="F309" s="800"/>
      <c r="G309" s="800"/>
      <c r="H309" s="801"/>
      <c r="I309" s="802"/>
      <c r="J309" s="801"/>
    </row>
    <row r="310">
      <c r="A310" s="800"/>
      <c r="B310" s="800"/>
      <c r="C310" s="800"/>
      <c r="D310" s="800"/>
      <c r="E310" s="800"/>
      <c r="F310" s="800"/>
      <c r="G310" s="800"/>
      <c r="H310" s="801"/>
      <c r="I310" s="802"/>
      <c r="J310" s="801"/>
    </row>
    <row r="311">
      <c r="A311" s="800"/>
      <c r="B311" s="800"/>
      <c r="C311" s="800"/>
      <c r="D311" s="800"/>
      <c r="E311" s="800"/>
      <c r="F311" s="800"/>
      <c r="G311" s="800"/>
      <c r="H311" s="801"/>
      <c r="I311" s="802"/>
      <c r="J311" s="801"/>
    </row>
    <row r="312">
      <c r="A312" s="800"/>
      <c r="B312" s="800"/>
      <c r="C312" s="800"/>
      <c r="D312" s="800"/>
      <c r="E312" s="800"/>
      <c r="F312" s="800"/>
      <c r="G312" s="800"/>
      <c r="H312" s="801"/>
      <c r="I312" s="802"/>
      <c r="J312" s="801"/>
    </row>
    <row r="313">
      <c r="A313" s="800"/>
      <c r="B313" s="800"/>
      <c r="C313" s="800"/>
      <c r="D313" s="800"/>
      <c r="E313" s="800"/>
      <c r="F313" s="800"/>
      <c r="G313" s="800"/>
      <c r="H313" s="801"/>
      <c r="I313" s="802"/>
      <c r="J313" s="801"/>
    </row>
    <row r="314">
      <c r="A314" s="800"/>
      <c r="B314" s="800"/>
      <c r="C314" s="800"/>
      <c r="D314" s="800"/>
      <c r="E314" s="800"/>
      <c r="F314" s="800"/>
      <c r="G314" s="800"/>
      <c r="H314" s="801"/>
      <c r="I314" s="802"/>
      <c r="J314" s="801"/>
    </row>
    <row r="315">
      <c r="A315" s="800"/>
      <c r="B315" s="800"/>
      <c r="C315" s="800"/>
      <c r="D315" s="800"/>
      <c r="E315" s="800"/>
      <c r="F315" s="800"/>
      <c r="G315" s="800"/>
      <c r="H315" s="801"/>
      <c r="I315" s="802"/>
      <c r="J315" s="801"/>
    </row>
    <row r="316">
      <c r="A316" s="800"/>
      <c r="B316" s="800"/>
      <c r="C316" s="800"/>
      <c r="D316" s="800"/>
      <c r="E316" s="800"/>
      <c r="F316" s="800"/>
      <c r="G316" s="800"/>
      <c r="H316" s="801"/>
      <c r="I316" s="802"/>
      <c r="J316" s="801"/>
    </row>
    <row r="317">
      <c r="A317" s="800"/>
      <c r="B317" s="800"/>
      <c r="C317" s="800"/>
      <c r="D317" s="800"/>
      <c r="E317" s="800"/>
      <c r="F317" s="800"/>
      <c r="G317" s="800"/>
      <c r="H317" s="801"/>
      <c r="I317" s="802"/>
      <c r="J317" s="801"/>
    </row>
    <row r="318">
      <c r="A318" s="800"/>
      <c r="B318" s="800"/>
      <c r="C318" s="800"/>
      <c r="D318" s="800"/>
      <c r="E318" s="800"/>
      <c r="F318" s="800"/>
      <c r="G318" s="800"/>
      <c r="H318" s="801"/>
      <c r="I318" s="802"/>
      <c r="J318" s="801"/>
    </row>
    <row r="319">
      <c r="A319" s="800"/>
      <c r="B319" s="800"/>
      <c r="C319" s="800"/>
      <c r="D319" s="800"/>
      <c r="E319" s="800"/>
      <c r="F319" s="800"/>
      <c r="G319" s="800"/>
      <c r="H319" s="801"/>
      <c r="I319" s="802"/>
      <c r="J319" s="801"/>
    </row>
    <row r="320">
      <c r="A320" s="800"/>
      <c r="B320" s="800"/>
      <c r="C320" s="800"/>
      <c r="D320" s="800"/>
      <c r="E320" s="800"/>
      <c r="F320" s="800"/>
      <c r="G320" s="800"/>
      <c r="H320" s="801"/>
      <c r="I320" s="802"/>
      <c r="J320" s="801"/>
    </row>
    <row r="321">
      <c r="A321" s="800"/>
      <c r="B321" s="800"/>
      <c r="C321" s="800"/>
      <c r="D321" s="800"/>
      <c r="E321" s="800"/>
      <c r="F321" s="800"/>
      <c r="G321" s="800"/>
      <c r="H321" s="801"/>
      <c r="I321" s="802"/>
      <c r="J321" s="801"/>
    </row>
    <row r="322">
      <c r="A322" s="800"/>
      <c r="B322" s="800"/>
      <c r="C322" s="800"/>
      <c r="D322" s="800"/>
      <c r="E322" s="800"/>
      <c r="F322" s="800"/>
      <c r="G322" s="800"/>
      <c r="H322" s="801"/>
      <c r="I322" s="802"/>
      <c r="J322" s="801"/>
    </row>
    <row r="323">
      <c r="A323" s="800"/>
      <c r="B323" s="800"/>
      <c r="C323" s="800"/>
      <c r="D323" s="800"/>
      <c r="E323" s="800"/>
      <c r="F323" s="800"/>
      <c r="G323" s="800"/>
      <c r="H323" s="801"/>
      <c r="I323" s="802"/>
      <c r="J323" s="801"/>
    </row>
    <row r="324">
      <c r="A324" s="800"/>
      <c r="B324" s="800"/>
      <c r="C324" s="800"/>
      <c r="D324" s="800"/>
      <c r="E324" s="800"/>
      <c r="F324" s="800"/>
      <c r="G324" s="800"/>
      <c r="H324" s="801"/>
      <c r="I324" s="802"/>
      <c r="J324" s="801"/>
    </row>
    <row r="325">
      <c r="A325" s="800"/>
      <c r="B325" s="800"/>
      <c r="C325" s="800"/>
      <c r="D325" s="800"/>
      <c r="E325" s="800"/>
      <c r="F325" s="800"/>
      <c r="G325" s="800"/>
      <c r="H325" s="801"/>
      <c r="I325" s="802"/>
      <c r="J325" s="801"/>
    </row>
    <row r="326">
      <c r="A326" s="800"/>
      <c r="B326" s="800"/>
      <c r="C326" s="800"/>
      <c r="D326" s="800"/>
      <c r="E326" s="800"/>
      <c r="F326" s="800"/>
      <c r="G326" s="800"/>
      <c r="H326" s="801"/>
      <c r="I326" s="802"/>
      <c r="J326" s="801"/>
    </row>
    <row r="327">
      <c r="A327" s="800"/>
      <c r="B327" s="800"/>
      <c r="C327" s="800"/>
      <c r="D327" s="800"/>
      <c r="E327" s="800"/>
      <c r="F327" s="800"/>
      <c r="G327" s="800"/>
      <c r="H327" s="801"/>
      <c r="I327" s="802"/>
      <c r="J327" s="801"/>
    </row>
    <row r="328">
      <c r="A328" s="800"/>
      <c r="B328" s="800"/>
      <c r="C328" s="800"/>
      <c r="D328" s="800"/>
      <c r="E328" s="800"/>
      <c r="F328" s="800"/>
      <c r="G328" s="800"/>
      <c r="H328" s="801"/>
      <c r="I328" s="802"/>
      <c r="J328" s="801"/>
    </row>
    <row r="329">
      <c r="A329" s="800"/>
      <c r="B329" s="800"/>
      <c r="C329" s="800"/>
      <c r="D329" s="800"/>
      <c r="E329" s="800"/>
      <c r="F329" s="800"/>
      <c r="G329" s="800"/>
      <c r="H329" s="801"/>
      <c r="I329" s="802"/>
      <c r="J329" s="801"/>
    </row>
    <row r="330">
      <c r="A330" s="800"/>
      <c r="B330" s="800"/>
      <c r="C330" s="800"/>
      <c r="D330" s="800"/>
      <c r="E330" s="800"/>
      <c r="F330" s="800"/>
      <c r="G330" s="800"/>
      <c r="H330" s="801"/>
      <c r="I330" s="802"/>
      <c r="J330" s="801"/>
    </row>
    <row r="331">
      <c r="A331" s="800"/>
      <c r="B331" s="800"/>
      <c r="C331" s="800"/>
      <c r="D331" s="800"/>
      <c r="E331" s="800"/>
      <c r="F331" s="800"/>
      <c r="G331" s="800"/>
      <c r="H331" s="801"/>
      <c r="I331" s="802"/>
      <c r="J331" s="801"/>
    </row>
    <row r="332">
      <c r="A332" s="800"/>
      <c r="B332" s="800"/>
      <c r="C332" s="800"/>
      <c r="D332" s="800"/>
      <c r="E332" s="800"/>
      <c r="F332" s="800"/>
      <c r="G332" s="800"/>
      <c r="H332" s="801"/>
      <c r="I332" s="802"/>
      <c r="J332" s="801"/>
    </row>
    <row r="333">
      <c r="A333" s="800"/>
      <c r="B333" s="800"/>
      <c r="C333" s="800"/>
      <c r="D333" s="800"/>
      <c r="E333" s="800"/>
      <c r="F333" s="800"/>
      <c r="G333" s="800"/>
      <c r="H333" s="801"/>
      <c r="I333" s="802"/>
      <c r="J333" s="801"/>
    </row>
    <row r="334">
      <c r="A334" s="800"/>
      <c r="B334" s="800"/>
      <c r="C334" s="800"/>
      <c r="D334" s="800"/>
      <c r="E334" s="800"/>
      <c r="F334" s="800"/>
      <c r="G334" s="800"/>
      <c r="H334" s="801"/>
      <c r="I334" s="802"/>
      <c r="J334" s="801"/>
    </row>
    <row r="335">
      <c r="A335" s="800"/>
      <c r="B335" s="800"/>
      <c r="C335" s="800"/>
      <c r="D335" s="800"/>
      <c r="E335" s="800"/>
      <c r="F335" s="800"/>
      <c r="G335" s="800"/>
      <c r="H335" s="801"/>
      <c r="I335" s="802"/>
      <c r="J335" s="801"/>
    </row>
    <row r="336">
      <c r="A336" s="800"/>
      <c r="B336" s="800"/>
      <c r="C336" s="800"/>
      <c r="D336" s="800"/>
      <c r="E336" s="800"/>
      <c r="F336" s="800"/>
      <c r="G336" s="800"/>
      <c r="H336" s="801"/>
      <c r="I336" s="802"/>
      <c r="J336" s="801"/>
    </row>
    <row r="337">
      <c r="A337" s="800"/>
      <c r="B337" s="800"/>
      <c r="C337" s="800"/>
      <c r="D337" s="800"/>
      <c r="E337" s="800"/>
      <c r="F337" s="800"/>
      <c r="G337" s="800"/>
      <c r="H337" s="801"/>
      <c r="I337" s="802"/>
      <c r="J337" s="801"/>
    </row>
    <row r="338">
      <c r="A338" s="800"/>
      <c r="B338" s="800"/>
      <c r="C338" s="800"/>
      <c r="D338" s="800"/>
      <c r="E338" s="800"/>
      <c r="F338" s="800"/>
      <c r="G338" s="800"/>
      <c r="H338" s="801"/>
      <c r="I338" s="802"/>
      <c r="J338" s="801"/>
    </row>
    <row r="339">
      <c r="A339" s="800"/>
      <c r="B339" s="800"/>
      <c r="C339" s="800"/>
      <c r="D339" s="800"/>
      <c r="E339" s="800"/>
      <c r="F339" s="800"/>
      <c r="G339" s="800"/>
      <c r="H339" s="801"/>
      <c r="I339" s="802"/>
      <c r="J339" s="801"/>
    </row>
    <row r="340">
      <c r="A340" s="800"/>
      <c r="B340" s="800"/>
      <c r="C340" s="800"/>
      <c r="D340" s="800"/>
      <c r="E340" s="800"/>
      <c r="F340" s="800"/>
      <c r="G340" s="800"/>
      <c r="H340" s="801"/>
      <c r="I340" s="802"/>
      <c r="J340" s="801"/>
    </row>
    <row r="341">
      <c r="A341" s="800"/>
      <c r="B341" s="800"/>
      <c r="C341" s="800"/>
      <c r="D341" s="800"/>
      <c r="E341" s="800"/>
      <c r="F341" s="800"/>
      <c r="G341" s="800"/>
      <c r="H341" s="801"/>
      <c r="I341" s="802"/>
      <c r="J341" s="801"/>
    </row>
    <row r="342">
      <c r="A342" s="800"/>
      <c r="B342" s="800"/>
      <c r="C342" s="800"/>
      <c r="D342" s="800"/>
      <c r="E342" s="800"/>
      <c r="F342" s="800"/>
      <c r="G342" s="800"/>
      <c r="H342" s="801"/>
      <c r="I342" s="802"/>
      <c r="J342" s="801"/>
    </row>
    <row r="343">
      <c r="A343" s="800"/>
      <c r="B343" s="800"/>
      <c r="C343" s="800"/>
      <c r="D343" s="800"/>
      <c r="E343" s="800"/>
      <c r="F343" s="800"/>
      <c r="G343" s="800"/>
      <c r="H343" s="801"/>
      <c r="I343" s="802"/>
      <c r="J343" s="801"/>
    </row>
    <row r="344">
      <c r="A344" s="800"/>
      <c r="B344" s="800"/>
      <c r="C344" s="800"/>
      <c r="D344" s="800"/>
      <c r="E344" s="800"/>
      <c r="F344" s="800"/>
      <c r="G344" s="800"/>
      <c r="H344" s="801"/>
      <c r="I344" s="802"/>
      <c r="J344" s="801"/>
    </row>
    <row r="345">
      <c r="A345" s="800"/>
      <c r="B345" s="800"/>
      <c r="C345" s="800"/>
      <c r="D345" s="800"/>
      <c r="E345" s="800"/>
      <c r="F345" s="800"/>
      <c r="G345" s="800"/>
      <c r="H345" s="801"/>
      <c r="I345" s="802"/>
      <c r="J345" s="801"/>
    </row>
    <row r="346">
      <c r="A346" s="800"/>
      <c r="B346" s="800"/>
      <c r="C346" s="800"/>
      <c r="D346" s="800"/>
      <c r="E346" s="800"/>
      <c r="F346" s="800"/>
      <c r="G346" s="800"/>
      <c r="H346" s="801"/>
      <c r="I346" s="802"/>
      <c r="J346" s="801"/>
    </row>
    <row r="347">
      <c r="A347" s="800"/>
      <c r="B347" s="800"/>
      <c r="C347" s="800"/>
      <c r="D347" s="800"/>
      <c r="E347" s="800"/>
      <c r="F347" s="800"/>
      <c r="G347" s="800"/>
      <c r="H347" s="801"/>
      <c r="I347" s="802"/>
      <c r="J347" s="801"/>
    </row>
    <row r="348">
      <c r="A348" s="800"/>
      <c r="B348" s="800"/>
      <c r="C348" s="800"/>
      <c r="D348" s="800"/>
      <c r="E348" s="800"/>
      <c r="F348" s="800"/>
      <c r="G348" s="800"/>
      <c r="H348" s="801"/>
      <c r="I348" s="802"/>
      <c r="J348" s="801"/>
    </row>
    <row r="349">
      <c r="A349" s="800"/>
      <c r="B349" s="800"/>
      <c r="C349" s="800"/>
      <c r="D349" s="800"/>
      <c r="E349" s="800"/>
      <c r="F349" s="800"/>
      <c r="G349" s="800"/>
      <c r="H349" s="801"/>
      <c r="I349" s="802"/>
      <c r="J349" s="801"/>
    </row>
    <row r="350">
      <c r="A350" s="800"/>
      <c r="B350" s="800"/>
      <c r="C350" s="800"/>
      <c r="D350" s="800"/>
      <c r="E350" s="800"/>
      <c r="F350" s="800"/>
      <c r="G350" s="800"/>
      <c r="H350" s="801"/>
      <c r="I350" s="802"/>
      <c r="J350" s="801"/>
    </row>
    <row r="351">
      <c r="A351" s="800"/>
      <c r="B351" s="800"/>
      <c r="C351" s="800"/>
      <c r="D351" s="800"/>
      <c r="E351" s="800"/>
      <c r="F351" s="800"/>
      <c r="G351" s="800"/>
      <c r="H351" s="801"/>
      <c r="I351" s="802"/>
      <c r="J351" s="801"/>
    </row>
    <row r="352">
      <c r="A352" s="800"/>
      <c r="B352" s="800"/>
      <c r="C352" s="800"/>
      <c r="D352" s="800"/>
      <c r="E352" s="800"/>
      <c r="F352" s="800"/>
      <c r="G352" s="800"/>
      <c r="H352" s="801"/>
      <c r="I352" s="802"/>
      <c r="J352" s="801"/>
    </row>
    <row r="353">
      <c r="A353" s="800"/>
      <c r="B353" s="800"/>
      <c r="C353" s="800"/>
      <c r="D353" s="800"/>
      <c r="E353" s="800"/>
      <c r="F353" s="800"/>
      <c r="G353" s="800"/>
      <c r="H353" s="801"/>
      <c r="I353" s="802"/>
      <c r="J353" s="801"/>
    </row>
    <row r="354">
      <c r="A354" s="800"/>
      <c r="B354" s="800"/>
      <c r="C354" s="800"/>
      <c r="D354" s="800"/>
      <c r="E354" s="800"/>
      <c r="F354" s="800"/>
      <c r="G354" s="800"/>
      <c r="H354" s="801"/>
      <c r="I354" s="802"/>
      <c r="J354" s="801"/>
    </row>
    <row r="355">
      <c r="A355" s="800"/>
      <c r="B355" s="800"/>
      <c r="C355" s="800"/>
      <c r="D355" s="800"/>
      <c r="E355" s="800"/>
      <c r="F355" s="800"/>
      <c r="G355" s="800"/>
      <c r="H355" s="801"/>
      <c r="I355" s="802"/>
      <c r="J355" s="801"/>
    </row>
    <row r="356">
      <c r="A356" s="800"/>
      <c r="B356" s="800"/>
      <c r="C356" s="800"/>
      <c r="D356" s="800"/>
      <c r="E356" s="800"/>
      <c r="F356" s="800"/>
      <c r="G356" s="800"/>
      <c r="H356" s="801"/>
      <c r="I356" s="802"/>
      <c r="J356" s="801"/>
    </row>
    <row r="357">
      <c r="A357" s="800"/>
      <c r="B357" s="800"/>
      <c r="C357" s="800"/>
      <c r="D357" s="800"/>
      <c r="E357" s="800"/>
      <c r="F357" s="800"/>
      <c r="G357" s="800"/>
      <c r="H357" s="801"/>
      <c r="I357" s="802"/>
      <c r="J357" s="801"/>
    </row>
    <row r="358">
      <c r="A358" s="800"/>
      <c r="B358" s="800"/>
      <c r="C358" s="800"/>
      <c r="D358" s="800"/>
      <c r="E358" s="800"/>
      <c r="F358" s="800"/>
      <c r="G358" s="800"/>
      <c r="H358" s="801"/>
      <c r="I358" s="802"/>
      <c r="J358" s="801"/>
    </row>
    <row r="359">
      <c r="A359" s="800"/>
      <c r="B359" s="800"/>
      <c r="C359" s="800"/>
      <c r="D359" s="800"/>
      <c r="E359" s="800"/>
      <c r="F359" s="800"/>
      <c r="G359" s="800"/>
      <c r="H359" s="801"/>
      <c r="I359" s="802"/>
      <c r="J359" s="801"/>
    </row>
    <row r="360">
      <c r="A360" s="800"/>
      <c r="B360" s="800"/>
      <c r="C360" s="800"/>
      <c r="D360" s="800"/>
      <c r="E360" s="800"/>
      <c r="F360" s="800"/>
      <c r="G360" s="800"/>
      <c r="H360" s="801"/>
      <c r="I360" s="802"/>
      <c r="J360" s="801"/>
    </row>
    <row r="361">
      <c r="A361" s="800"/>
      <c r="B361" s="800"/>
      <c r="C361" s="800"/>
      <c r="D361" s="800"/>
      <c r="E361" s="800"/>
      <c r="F361" s="800"/>
      <c r="G361" s="800"/>
      <c r="H361" s="801"/>
      <c r="I361" s="802"/>
      <c r="J361" s="801"/>
    </row>
    <row r="362">
      <c r="A362" s="800"/>
      <c r="B362" s="800"/>
      <c r="C362" s="800"/>
      <c r="D362" s="800"/>
      <c r="E362" s="800"/>
      <c r="F362" s="800"/>
      <c r="G362" s="800"/>
      <c r="H362" s="801"/>
      <c r="I362" s="802"/>
      <c r="J362" s="801"/>
    </row>
    <row r="363">
      <c r="A363" s="800"/>
      <c r="B363" s="800"/>
      <c r="C363" s="800"/>
      <c r="D363" s="800"/>
      <c r="E363" s="800"/>
      <c r="F363" s="800"/>
      <c r="G363" s="800"/>
      <c r="H363" s="801"/>
      <c r="I363" s="802"/>
      <c r="J363" s="801"/>
    </row>
    <row r="364">
      <c r="A364" s="800"/>
      <c r="B364" s="800"/>
      <c r="C364" s="800"/>
      <c r="D364" s="800"/>
      <c r="E364" s="800"/>
      <c r="F364" s="800"/>
      <c r="G364" s="800"/>
      <c r="H364" s="801"/>
      <c r="I364" s="802"/>
      <c r="J364" s="801"/>
    </row>
    <row r="365">
      <c r="A365" s="800"/>
      <c r="B365" s="800"/>
      <c r="C365" s="800"/>
      <c r="D365" s="800"/>
      <c r="E365" s="800"/>
      <c r="F365" s="800"/>
      <c r="G365" s="800"/>
      <c r="H365" s="801"/>
      <c r="I365" s="802"/>
      <c r="J365" s="801"/>
    </row>
    <row r="366">
      <c r="A366" s="800"/>
      <c r="B366" s="800"/>
      <c r="C366" s="800"/>
      <c r="D366" s="800"/>
      <c r="E366" s="800"/>
      <c r="F366" s="800"/>
      <c r="G366" s="800"/>
      <c r="H366" s="801"/>
      <c r="I366" s="802"/>
      <c r="J366" s="801"/>
    </row>
    <row r="367">
      <c r="A367" s="800"/>
      <c r="B367" s="800"/>
      <c r="C367" s="800"/>
      <c r="D367" s="800"/>
      <c r="E367" s="800"/>
      <c r="F367" s="800"/>
      <c r="G367" s="800"/>
      <c r="H367" s="801"/>
      <c r="I367" s="802"/>
      <c r="J367" s="801"/>
    </row>
    <row r="368">
      <c r="A368" s="800"/>
      <c r="B368" s="800"/>
      <c r="C368" s="800"/>
      <c r="D368" s="800"/>
      <c r="E368" s="800"/>
      <c r="F368" s="800"/>
      <c r="G368" s="800"/>
      <c r="H368" s="801"/>
      <c r="I368" s="802"/>
      <c r="J368" s="801"/>
    </row>
    <row r="369">
      <c r="A369" s="800"/>
      <c r="B369" s="800"/>
      <c r="C369" s="800"/>
      <c r="D369" s="800"/>
      <c r="E369" s="800"/>
      <c r="F369" s="800"/>
      <c r="G369" s="800"/>
      <c r="H369" s="801"/>
      <c r="I369" s="802"/>
      <c r="J369" s="801"/>
    </row>
    <row r="370">
      <c r="A370" s="800"/>
      <c r="B370" s="800"/>
      <c r="C370" s="800"/>
      <c r="D370" s="800"/>
      <c r="E370" s="800"/>
      <c r="F370" s="800"/>
      <c r="G370" s="800"/>
      <c r="H370" s="801"/>
      <c r="I370" s="802"/>
      <c r="J370" s="801"/>
    </row>
    <row r="371">
      <c r="A371" s="800"/>
      <c r="B371" s="800"/>
      <c r="C371" s="800"/>
      <c r="D371" s="800"/>
      <c r="E371" s="800"/>
      <c r="F371" s="800"/>
      <c r="G371" s="800"/>
      <c r="H371" s="801"/>
      <c r="I371" s="802"/>
      <c r="J371" s="801"/>
    </row>
    <row r="372">
      <c r="A372" s="800"/>
      <c r="B372" s="800"/>
      <c r="C372" s="800"/>
      <c r="D372" s="800"/>
      <c r="E372" s="800"/>
      <c r="F372" s="800"/>
      <c r="G372" s="800"/>
      <c r="H372" s="801"/>
      <c r="I372" s="802"/>
      <c r="J372" s="801"/>
    </row>
    <row r="373">
      <c r="A373" s="800"/>
      <c r="B373" s="800"/>
      <c r="C373" s="800"/>
      <c r="D373" s="800"/>
      <c r="E373" s="800"/>
      <c r="F373" s="800"/>
      <c r="G373" s="800"/>
      <c r="H373" s="801"/>
      <c r="I373" s="802"/>
      <c r="J373" s="801"/>
    </row>
    <row r="374">
      <c r="A374" s="800"/>
      <c r="B374" s="800"/>
      <c r="C374" s="800"/>
      <c r="D374" s="800"/>
      <c r="E374" s="800"/>
      <c r="F374" s="800"/>
      <c r="G374" s="800"/>
      <c r="H374" s="801"/>
      <c r="I374" s="802"/>
      <c r="J374" s="801"/>
    </row>
    <row r="375">
      <c r="A375" s="800"/>
      <c r="B375" s="800"/>
      <c r="C375" s="800"/>
      <c r="D375" s="800"/>
      <c r="E375" s="800"/>
      <c r="F375" s="800"/>
      <c r="G375" s="800"/>
      <c r="H375" s="801"/>
      <c r="I375" s="802"/>
      <c r="J375" s="801"/>
    </row>
    <row r="376">
      <c r="A376" s="800"/>
      <c r="B376" s="800"/>
      <c r="C376" s="800"/>
      <c r="D376" s="800"/>
      <c r="E376" s="800"/>
      <c r="F376" s="800"/>
      <c r="G376" s="800"/>
      <c r="H376" s="801"/>
      <c r="I376" s="802"/>
      <c r="J376" s="801"/>
    </row>
    <row r="377">
      <c r="A377" s="800"/>
      <c r="B377" s="800"/>
      <c r="C377" s="800"/>
      <c r="D377" s="800"/>
      <c r="E377" s="800"/>
      <c r="F377" s="800"/>
      <c r="G377" s="800"/>
      <c r="H377" s="801"/>
      <c r="I377" s="802"/>
      <c r="J377" s="801"/>
    </row>
    <row r="378">
      <c r="A378" s="800"/>
      <c r="B378" s="800"/>
      <c r="C378" s="800"/>
      <c r="D378" s="800"/>
      <c r="E378" s="800"/>
      <c r="F378" s="800"/>
      <c r="G378" s="800"/>
      <c r="H378" s="801"/>
      <c r="I378" s="802"/>
      <c r="J378" s="801"/>
    </row>
    <row r="379">
      <c r="A379" s="800"/>
      <c r="B379" s="800"/>
      <c r="C379" s="800"/>
      <c r="D379" s="800"/>
      <c r="E379" s="800"/>
      <c r="F379" s="800"/>
      <c r="G379" s="800"/>
      <c r="H379" s="801"/>
      <c r="I379" s="802"/>
      <c r="J379" s="801"/>
    </row>
    <row r="380">
      <c r="A380" s="800"/>
      <c r="B380" s="800"/>
      <c r="C380" s="800"/>
      <c r="D380" s="800"/>
      <c r="E380" s="800"/>
      <c r="F380" s="800"/>
      <c r="G380" s="800"/>
      <c r="H380" s="801"/>
      <c r="I380" s="802"/>
      <c r="J380" s="801"/>
    </row>
    <row r="381">
      <c r="A381" s="800"/>
      <c r="B381" s="800"/>
      <c r="C381" s="800"/>
      <c r="D381" s="800"/>
      <c r="E381" s="800"/>
      <c r="F381" s="800"/>
      <c r="G381" s="800"/>
      <c r="H381" s="801"/>
      <c r="I381" s="802"/>
      <c r="J381" s="801"/>
    </row>
    <row r="382">
      <c r="A382" s="800"/>
      <c r="B382" s="800"/>
      <c r="C382" s="800"/>
      <c r="D382" s="800"/>
      <c r="E382" s="800"/>
      <c r="F382" s="800"/>
      <c r="G382" s="800"/>
      <c r="H382" s="801"/>
      <c r="I382" s="802"/>
      <c r="J382" s="801"/>
    </row>
    <row r="383">
      <c r="A383" s="800"/>
      <c r="B383" s="800"/>
      <c r="C383" s="800"/>
      <c r="D383" s="800"/>
      <c r="E383" s="800"/>
      <c r="F383" s="800"/>
      <c r="G383" s="800"/>
      <c r="H383" s="801"/>
      <c r="I383" s="802"/>
      <c r="J383" s="801"/>
    </row>
    <row r="384">
      <c r="A384" s="800"/>
      <c r="B384" s="800"/>
      <c r="C384" s="800"/>
      <c r="D384" s="800"/>
      <c r="E384" s="800"/>
      <c r="F384" s="800"/>
      <c r="G384" s="800"/>
      <c r="H384" s="801"/>
      <c r="I384" s="802"/>
      <c r="J384" s="801"/>
    </row>
    <row r="385">
      <c r="A385" s="800"/>
      <c r="B385" s="800"/>
      <c r="C385" s="800"/>
      <c r="D385" s="800"/>
      <c r="E385" s="800"/>
      <c r="F385" s="800"/>
      <c r="G385" s="800"/>
      <c r="H385" s="801"/>
      <c r="I385" s="802"/>
      <c r="J385" s="801"/>
    </row>
    <row r="386">
      <c r="A386" s="800"/>
      <c r="B386" s="800"/>
      <c r="C386" s="800"/>
      <c r="D386" s="800"/>
      <c r="E386" s="800"/>
      <c r="F386" s="800"/>
      <c r="G386" s="800"/>
      <c r="H386" s="801"/>
      <c r="I386" s="802"/>
      <c r="J386" s="801"/>
    </row>
    <row r="387">
      <c r="A387" s="800"/>
      <c r="B387" s="800"/>
      <c r="C387" s="800"/>
      <c r="D387" s="800"/>
      <c r="E387" s="800"/>
      <c r="F387" s="800"/>
      <c r="G387" s="800"/>
      <c r="H387" s="801"/>
      <c r="I387" s="802"/>
      <c r="J387" s="801"/>
    </row>
    <row r="388">
      <c r="A388" s="800"/>
      <c r="B388" s="800"/>
      <c r="C388" s="800"/>
      <c r="D388" s="800"/>
      <c r="E388" s="800"/>
      <c r="F388" s="800"/>
      <c r="G388" s="800"/>
      <c r="H388" s="801"/>
      <c r="I388" s="802"/>
      <c r="J388" s="801"/>
    </row>
    <row r="389">
      <c r="A389" s="800"/>
      <c r="B389" s="800"/>
      <c r="C389" s="800"/>
      <c r="D389" s="800"/>
      <c r="E389" s="800"/>
      <c r="F389" s="800"/>
      <c r="G389" s="800"/>
      <c r="H389" s="801"/>
      <c r="I389" s="802"/>
      <c r="J389" s="801"/>
    </row>
    <row r="390">
      <c r="A390" s="800"/>
      <c r="B390" s="800"/>
      <c r="C390" s="800"/>
      <c r="D390" s="800"/>
      <c r="E390" s="800"/>
      <c r="F390" s="800"/>
      <c r="G390" s="800"/>
      <c r="H390" s="801"/>
      <c r="I390" s="802"/>
      <c r="J390" s="801"/>
    </row>
    <row r="391">
      <c r="A391" s="800"/>
      <c r="B391" s="800"/>
      <c r="C391" s="800"/>
      <c r="D391" s="800"/>
      <c r="E391" s="800"/>
      <c r="F391" s="800"/>
      <c r="G391" s="800"/>
      <c r="H391" s="801"/>
      <c r="I391" s="802"/>
      <c r="J391" s="801"/>
    </row>
    <row r="392">
      <c r="A392" s="800"/>
      <c r="B392" s="800"/>
      <c r="C392" s="800"/>
      <c r="D392" s="800"/>
      <c r="E392" s="800"/>
      <c r="F392" s="800"/>
      <c r="G392" s="800"/>
      <c r="H392" s="801"/>
      <c r="I392" s="802"/>
      <c r="J392" s="801"/>
    </row>
    <row r="393">
      <c r="A393" s="800"/>
      <c r="B393" s="800"/>
      <c r="C393" s="800"/>
      <c r="D393" s="800"/>
      <c r="E393" s="800"/>
      <c r="F393" s="800"/>
      <c r="G393" s="800"/>
      <c r="H393" s="801"/>
      <c r="I393" s="802"/>
      <c r="J393" s="801"/>
    </row>
    <row r="394">
      <c r="A394" s="800"/>
      <c r="B394" s="800"/>
      <c r="C394" s="800"/>
      <c r="D394" s="800"/>
      <c r="E394" s="800"/>
      <c r="F394" s="800"/>
      <c r="G394" s="800"/>
      <c r="H394" s="801"/>
      <c r="I394" s="802"/>
      <c r="J394" s="801"/>
    </row>
    <row r="395">
      <c r="A395" s="800"/>
      <c r="B395" s="800"/>
      <c r="C395" s="800"/>
      <c r="D395" s="800"/>
      <c r="E395" s="800"/>
      <c r="F395" s="800"/>
      <c r="G395" s="800"/>
      <c r="H395" s="801"/>
      <c r="I395" s="802"/>
      <c r="J395" s="801"/>
    </row>
    <row r="396">
      <c r="A396" s="800"/>
      <c r="B396" s="800"/>
      <c r="C396" s="800"/>
      <c r="D396" s="800"/>
      <c r="E396" s="800"/>
      <c r="F396" s="800"/>
      <c r="G396" s="800"/>
      <c r="H396" s="801"/>
      <c r="I396" s="802"/>
      <c r="J396" s="801"/>
    </row>
    <row r="397">
      <c r="A397" s="800"/>
      <c r="B397" s="800"/>
      <c r="C397" s="800"/>
      <c r="D397" s="800"/>
      <c r="E397" s="800"/>
      <c r="F397" s="800"/>
      <c r="G397" s="800"/>
      <c r="H397" s="801"/>
      <c r="I397" s="802"/>
      <c r="J397" s="801"/>
    </row>
    <row r="398">
      <c r="A398" s="800"/>
      <c r="B398" s="800"/>
      <c r="C398" s="800"/>
      <c r="D398" s="800"/>
      <c r="E398" s="800"/>
      <c r="F398" s="800"/>
      <c r="G398" s="800"/>
      <c r="H398" s="801"/>
      <c r="I398" s="802"/>
      <c r="J398" s="801"/>
    </row>
    <row r="399">
      <c r="A399" s="800"/>
      <c r="B399" s="800"/>
      <c r="C399" s="800"/>
      <c r="D399" s="800"/>
      <c r="E399" s="800"/>
      <c r="F399" s="800"/>
      <c r="G399" s="800"/>
      <c r="H399" s="801"/>
      <c r="I399" s="802"/>
      <c r="J399" s="801"/>
    </row>
    <row r="400">
      <c r="A400" s="800"/>
      <c r="B400" s="800"/>
      <c r="C400" s="800"/>
      <c r="D400" s="800"/>
      <c r="E400" s="800"/>
      <c r="F400" s="800"/>
      <c r="G400" s="800"/>
      <c r="H400" s="801"/>
      <c r="I400" s="802"/>
      <c r="J400" s="801"/>
    </row>
    <row r="401">
      <c r="A401" s="800"/>
      <c r="B401" s="800"/>
      <c r="C401" s="800"/>
      <c r="D401" s="800"/>
      <c r="E401" s="800"/>
      <c r="F401" s="800"/>
      <c r="G401" s="800"/>
      <c r="H401" s="801"/>
      <c r="I401" s="802"/>
      <c r="J401" s="801"/>
    </row>
    <row r="402">
      <c r="A402" s="800"/>
      <c r="B402" s="800"/>
      <c r="C402" s="800"/>
      <c r="D402" s="800"/>
      <c r="E402" s="800"/>
      <c r="F402" s="800"/>
      <c r="G402" s="800"/>
      <c r="H402" s="801"/>
      <c r="I402" s="802"/>
      <c r="J402" s="801"/>
    </row>
    <row r="403">
      <c r="A403" s="800"/>
      <c r="B403" s="800"/>
      <c r="C403" s="800"/>
      <c r="D403" s="800"/>
      <c r="E403" s="800"/>
      <c r="F403" s="800"/>
      <c r="G403" s="800"/>
      <c r="H403" s="801"/>
      <c r="I403" s="802"/>
      <c r="J403" s="801"/>
    </row>
    <row r="404">
      <c r="A404" s="800"/>
      <c r="B404" s="800"/>
      <c r="C404" s="800"/>
      <c r="D404" s="800"/>
      <c r="E404" s="800"/>
      <c r="F404" s="800"/>
      <c r="G404" s="800"/>
      <c r="H404" s="801"/>
      <c r="I404" s="802"/>
      <c r="J404" s="801"/>
    </row>
    <row r="405">
      <c r="A405" s="800"/>
      <c r="B405" s="800"/>
      <c r="C405" s="800"/>
      <c r="D405" s="800"/>
      <c r="E405" s="800"/>
      <c r="F405" s="800"/>
      <c r="G405" s="800"/>
      <c r="H405" s="801"/>
      <c r="I405" s="802"/>
      <c r="J405" s="801"/>
    </row>
    <row r="406">
      <c r="A406" s="800"/>
      <c r="B406" s="800"/>
      <c r="C406" s="800"/>
      <c r="D406" s="800"/>
      <c r="E406" s="800"/>
      <c r="F406" s="800"/>
      <c r="G406" s="800"/>
      <c r="H406" s="801"/>
      <c r="I406" s="802"/>
      <c r="J406" s="801"/>
    </row>
    <row r="407">
      <c r="A407" s="800"/>
      <c r="B407" s="800"/>
      <c r="C407" s="800"/>
      <c r="D407" s="800"/>
      <c r="E407" s="800"/>
      <c r="F407" s="800"/>
      <c r="G407" s="800"/>
      <c r="H407" s="801"/>
      <c r="I407" s="802"/>
      <c r="J407" s="801"/>
    </row>
    <row r="408">
      <c r="A408" s="800"/>
      <c r="B408" s="800"/>
      <c r="C408" s="800"/>
      <c r="D408" s="800"/>
      <c r="E408" s="800"/>
      <c r="F408" s="800"/>
      <c r="G408" s="800"/>
      <c r="H408" s="801"/>
      <c r="I408" s="802"/>
      <c r="J408" s="801"/>
    </row>
    <row r="409">
      <c r="A409" s="800"/>
      <c r="B409" s="800"/>
      <c r="C409" s="800"/>
      <c r="D409" s="800"/>
      <c r="E409" s="800"/>
      <c r="F409" s="800"/>
      <c r="G409" s="800"/>
      <c r="H409" s="801"/>
      <c r="I409" s="802"/>
      <c r="J409" s="801"/>
    </row>
    <row r="410">
      <c r="A410" s="800"/>
      <c r="B410" s="800"/>
      <c r="C410" s="800"/>
      <c r="D410" s="800"/>
      <c r="E410" s="800"/>
      <c r="F410" s="800"/>
      <c r="G410" s="800"/>
      <c r="H410" s="801"/>
      <c r="I410" s="802"/>
      <c r="J410" s="801"/>
    </row>
    <row r="411">
      <c r="A411" s="800"/>
      <c r="B411" s="800"/>
      <c r="C411" s="800"/>
      <c r="D411" s="800"/>
      <c r="E411" s="800"/>
      <c r="F411" s="800"/>
      <c r="G411" s="800"/>
      <c r="H411" s="801"/>
      <c r="I411" s="802"/>
      <c r="J411" s="801"/>
    </row>
    <row r="412">
      <c r="A412" s="800"/>
      <c r="B412" s="800"/>
      <c r="C412" s="800"/>
      <c r="D412" s="800"/>
      <c r="E412" s="800"/>
      <c r="F412" s="800"/>
      <c r="G412" s="800"/>
      <c r="H412" s="801"/>
      <c r="I412" s="802"/>
      <c r="J412" s="801"/>
    </row>
    <row r="413">
      <c r="A413" s="800"/>
      <c r="B413" s="800"/>
      <c r="C413" s="800"/>
      <c r="D413" s="800"/>
      <c r="E413" s="800"/>
      <c r="F413" s="800"/>
      <c r="G413" s="800"/>
      <c r="H413" s="801"/>
      <c r="I413" s="802"/>
      <c r="J413" s="801"/>
    </row>
    <row r="414">
      <c r="A414" s="800"/>
      <c r="B414" s="800"/>
      <c r="C414" s="800"/>
      <c r="D414" s="800"/>
      <c r="E414" s="800"/>
      <c r="F414" s="800"/>
      <c r="G414" s="800"/>
      <c r="H414" s="801"/>
      <c r="I414" s="802"/>
      <c r="J414" s="801"/>
    </row>
    <row r="415">
      <c r="A415" s="800"/>
      <c r="B415" s="800"/>
      <c r="C415" s="800"/>
      <c r="D415" s="800"/>
      <c r="E415" s="800"/>
      <c r="F415" s="800"/>
      <c r="G415" s="800"/>
      <c r="H415" s="801"/>
      <c r="I415" s="802"/>
      <c r="J415" s="801"/>
    </row>
    <row r="416">
      <c r="A416" s="800"/>
      <c r="B416" s="800"/>
      <c r="C416" s="800"/>
      <c r="D416" s="800"/>
      <c r="E416" s="800"/>
      <c r="F416" s="800"/>
      <c r="G416" s="800"/>
      <c r="H416" s="801"/>
      <c r="I416" s="802"/>
      <c r="J416" s="801"/>
    </row>
    <row r="417">
      <c r="A417" s="800"/>
      <c r="B417" s="800"/>
      <c r="C417" s="800"/>
      <c r="D417" s="800"/>
      <c r="E417" s="800"/>
      <c r="F417" s="800"/>
      <c r="G417" s="800"/>
      <c r="H417" s="801"/>
      <c r="I417" s="802"/>
      <c r="J417" s="801"/>
    </row>
    <row r="418">
      <c r="A418" s="800"/>
      <c r="B418" s="800"/>
      <c r="C418" s="800"/>
      <c r="D418" s="800"/>
      <c r="E418" s="800"/>
      <c r="F418" s="800"/>
      <c r="G418" s="800"/>
      <c r="H418" s="801"/>
      <c r="I418" s="802"/>
      <c r="J418" s="801"/>
    </row>
    <row r="419">
      <c r="A419" s="800"/>
      <c r="B419" s="800"/>
      <c r="C419" s="800"/>
      <c r="D419" s="800"/>
      <c r="E419" s="800"/>
      <c r="F419" s="800"/>
      <c r="G419" s="800"/>
      <c r="H419" s="801"/>
      <c r="I419" s="802"/>
      <c r="J419" s="801"/>
    </row>
    <row r="420">
      <c r="A420" s="800"/>
      <c r="B420" s="800"/>
      <c r="C420" s="800"/>
      <c r="D420" s="800"/>
      <c r="E420" s="800"/>
      <c r="F420" s="800"/>
      <c r="G420" s="800"/>
      <c r="H420" s="801"/>
      <c r="I420" s="802"/>
      <c r="J420" s="801"/>
    </row>
    <row r="421">
      <c r="A421" s="800"/>
      <c r="B421" s="800"/>
      <c r="C421" s="800"/>
      <c r="D421" s="800"/>
      <c r="E421" s="800"/>
      <c r="F421" s="800"/>
      <c r="G421" s="800"/>
      <c r="H421" s="801"/>
      <c r="I421" s="802"/>
      <c r="J421" s="801"/>
    </row>
    <row r="422">
      <c r="A422" s="800"/>
      <c r="B422" s="800"/>
      <c r="C422" s="800"/>
      <c r="D422" s="800"/>
      <c r="E422" s="800"/>
      <c r="F422" s="800"/>
      <c r="G422" s="800"/>
      <c r="H422" s="801"/>
      <c r="I422" s="802"/>
      <c r="J422" s="801"/>
    </row>
    <row r="423">
      <c r="A423" s="800"/>
      <c r="B423" s="800"/>
      <c r="C423" s="800"/>
      <c r="D423" s="800"/>
      <c r="E423" s="800"/>
      <c r="F423" s="800"/>
      <c r="G423" s="800"/>
      <c r="H423" s="801"/>
      <c r="I423" s="802"/>
      <c r="J423" s="801"/>
    </row>
    <row r="424">
      <c r="A424" s="800"/>
      <c r="B424" s="800"/>
      <c r="C424" s="800"/>
      <c r="D424" s="800"/>
      <c r="E424" s="800"/>
      <c r="F424" s="800"/>
      <c r="G424" s="800"/>
      <c r="H424" s="801"/>
      <c r="I424" s="802"/>
      <c r="J424" s="801"/>
    </row>
    <row r="425">
      <c r="A425" s="800"/>
      <c r="B425" s="800"/>
      <c r="C425" s="800"/>
      <c r="D425" s="800"/>
      <c r="E425" s="800"/>
      <c r="F425" s="800"/>
      <c r="G425" s="800"/>
      <c r="H425" s="801"/>
      <c r="I425" s="802"/>
      <c r="J425" s="801"/>
    </row>
    <row r="426">
      <c r="A426" s="800"/>
      <c r="B426" s="800"/>
      <c r="C426" s="800"/>
      <c r="D426" s="800"/>
      <c r="E426" s="800"/>
      <c r="F426" s="800"/>
      <c r="G426" s="800"/>
      <c r="H426" s="801"/>
      <c r="I426" s="802"/>
      <c r="J426" s="801"/>
    </row>
    <row r="427">
      <c r="A427" s="800"/>
      <c r="B427" s="800"/>
      <c r="C427" s="800"/>
      <c r="D427" s="800"/>
      <c r="E427" s="800"/>
      <c r="F427" s="800"/>
      <c r="G427" s="800"/>
      <c r="H427" s="801"/>
      <c r="I427" s="802"/>
      <c r="J427" s="801"/>
    </row>
    <row r="428">
      <c r="A428" s="800"/>
      <c r="B428" s="800"/>
      <c r="C428" s="800"/>
      <c r="D428" s="800"/>
      <c r="E428" s="800"/>
      <c r="F428" s="800"/>
      <c r="G428" s="800"/>
      <c r="H428" s="801"/>
      <c r="I428" s="802"/>
      <c r="J428" s="801"/>
    </row>
    <row r="429">
      <c r="A429" s="800"/>
      <c r="B429" s="800"/>
      <c r="C429" s="800"/>
      <c r="D429" s="800"/>
      <c r="E429" s="800"/>
      <c r="F429" s="800"/>
      <c r="G429" s="800"/>
      <c r="H429" s="801"/>
      <c r="I429" s="802"/>
      <c r="J429" s="801"/>
    </row>
    <row r="430">
      <c r="A430" s="800"/>
      <c r="B430" s="800"/>
      <c r="C430" s="800"/>
      <c r="D430" s="800"/>
      <c r="E430" s="800"/>
      <c r="F430" s="800"/>
      <c r="G430" s="800"/>
      <c r="H430" s="801"/>
      <c r="I430" s="802"/>
      <c r="J430" s="801"/>
    </row>
    <row r="431">
      <c r="A431" s="800"/>
      <c r="B431" s="800"/>
      <c r="C431" s="800"/>
      <c r="D431" s="800"/>
      <c r="E431" s="800"/>
      <c r="F431" s="800"/>
      <c r="G431" s="800"/>
      <c r="H431" s="801"/>
      <c r="I431" s="802"/>
      <c r="J431" s="801"/>
    </row>
    <row r="432">
      <c r="A432" s="800"/>
      <c r="B432" s="800"/>
      <c r="C432" s="800"/>
      <c r="D432" s="800"/>
      <c r="E432" s="800"/>
      <c r="F432" s="800"/>
      <c r="G432" s="800"/>
      <c r="H432" s="801"/>
      <c r="I432" s="802"/>
      <c r="J432" s="801"/>
    </row>
    <row r="433">
      <c r="A433" s="800"/>
      <c r="B433" s="800"/>
      <c r="C433" s="800"/>
      <c r="D433" s="800"/>
      <c r="E433" s="800"/>
      <c r="F433" s="800"/>
      <c r="G433" s="800"/>
      <c r="H433" s="801"/>
      <c r="I433" s="802"/>
      <c r="J433" s="801"/>
    </row>
    <row r="434">
      <c r="A434" s="800"/>
      <c r="B434" s="800"/>
      <c r="C434" s="800"/>
      <c r="D434" s="800"/>
      <c r="E434" s="800"/>
      <c r="F434" s="800"/>
      <c r="G434" s="800"/>
      <c r="H434" s="801"/>
      <c r="I434" s="802"/>
      <c r="J434" s="801"/>
    </row>
    <row r="435">
      <c r="A435" s="800"/>
      <c r="B435" s="800"/>
      <c r="C435" s="800"/>
      <c r="D435" s="800"/>
      <c r="E435" s="800"/>
      <c r="F435" s="800"/>
      <c r="G435" s="800"/>
      <c r="H435" s="801"/>
      <c r="I435" s="802"/>
      <c r="J435" s="801"/>
    </row>
    <row r="436">
      <c r="A436" s="800"/>
      <c r="B436" s="800"/>
      <c r="C436" s="800"/>
      <c r="D436" s="800"/>
      <c r="E436" s="800"/>
      <c r="F436" s="800"/>
      <c r="G436" s="800"/>
      <c r="H436" s="801"/>
      <c r="I436" s="802"/>
      <c r="J436" s="801"/>
    </row>
    <row r="437">
      <c r="A437" s="800"/>
      <c r="B437" s="800"/>
      <c r="C437" s="800"/>
      <c r="D437" s="800"/>
      <c r="E437" s="800"/>
      <c r="F437" s="800"/>
      <c r="G437" s="800"/>
      <c r="H437" s="801"/>
      <c r="I437" s="802"/>
      <c r="J437" s="801"/>
    </row>
    <row r="438">
      <c r="A438" s="800"/>
      <c r="B438" s="800"/>
      <c r="C438" s="800"/>
      <c r="D438" s="800"/>
      <c r="E438" s="800"/>
      <c r="F438" s="800"/>
      <c r="G438" s="800"/>
      <c r="H438" s="801"/>
      <c r="I438" s="802"/>
      <c r="J438" s="801"/>
    </row>
    <row r="439">
      <c r="A439" s="800"/>
      <c r="B439" s="800"/>
      <c r="C439" s="800"/>
      <c r="D439" s="800"/>
      <c r="E439" s="800"/>
      <c r="F439" s="800"/>
      <c r="G439" s="800"/>
      <c r="H439" s="801"/>
      <c r="I439" s="802"/>
      <c r="J439" s="801"/>
    </row>
    <row r="440">
      <c r="A440" s="800"/>
      <c r="B440" s="800"/>
      <c r="C440" s="800"/>
      <c r="D440" s="800"/>
      <c r="E440" s="800"/>
      <c r="F440" s="800"/>
      <c r="G440" s="800"/>
      <c r="H440" s="801"/>
      <c r="I440" s="802"/>
      <c r="J440" s="801"/>
    </row>
    <row r="441">
      <c r="A441" s="800"/>
      <c r="B441" s="800"/>
      <c r="C441" s="800"/>
      <c r="D441" s="800"/>
      <c r="E441" s="800"/>
      <c r="F441" s="800"/>
      <c r="G441" s="800"/>
      <c r="H441" s="801"/>
      <c r="I441" s="802"/>
      <c r="J441" s="801"/>
    </row>
    <row r="442">
      <c r="A442" s="800"/>
      <c r="B442" s="800"/>
      <c r="C442" s="800"/>
      <c r="D442" s="800"/>
      <c r="E442" s="800"/>
      <c r="F442" s="800"/>
      <c r="G442" s="800"/>
      <c r="H442" s="801"/>
      <c r="I442" s="802"/>
      <c r="J442" s="801"/>
    </row>
    <row r="443">
      <c r="A443" s="800"/>
      <c r="B443" s="800"/>
      <c r="C443" s="800"/>
      <c r="D443" s="800"/>
      <c r="E443" s="800"/>
      <c r="F443" s="800"/>
      <c r="G443" s="800"/>
      <c r="H443" s="801"/>
      <c r="I443" s="802"/>
      <c r="J443" s="801"/>
    </row>
    <row r="444">
      <c r="A444" s="800"/>
      <c r="B444" s="800"/>
      <c r="C444" s="800"/>
      <c r="D444" s="800"/>
      <c r="E444" s="800"/>
      <c r="F444" s="800"/>
      <c r="G444" s="800"/>
      <c r="H444" s="801"/>
      <c r="I444" s="802"/>
      <c r="J444" s="801"/>
    </row>
    <row r="445">
      <c r="A445" s="800"/>
      <c r="B445" s="800"/>
      <c r="C445" s="800"/>
      <c r="D445" s="800"/>
      <c r="E445" s="800"/>
      <c r="F445" s="800"/>
      <c r="G445" s="800"/>
      <c r="H445" s="801"/>
      <c r="I445" s="802"/>
      <c r="J445" s="801"/>
    </row>
    <row r="446">
      <c r="A446" s="800"/>
      <c r="B446" s="800"/>
      <c r="C446" s="800"/>
      <c r="D446" s="800"/>
      <c r="E446" s="800"/>
      <c r="F446" s="800"/>
      <c r="G446" s="800"/>
      <c r="H446" s="801"/>
      <c r="I446" s="802"/>
      <c r="J446" s="801"/>
    </row>
    <row r="447">
      <c r="A447" s="800"/>
      <c r="B447" s="800"/>
      <c r="C447" s="800"/>
      <c r="D447" s="800"/>
      <c r="E447" s="800"/>
      <c r="F447" s="800"/>
      <c r="G447" s="800"/>
      <c r="H447" s="801"/>
      <c r="I447" s="802"/>
      <c r="J447" s="801"/>
    </row>
    <row r="448">
      <c r="A448" s="800"/>
      <c r="B448" s="800"/>
      <c r="C448" s="800"/>
      <c r="D448" s="800"/>
      <c r="E448" s="800"/>
      <c r="F448" s="800"/>
      <c r="G448" s="800"/>
      <c r="H448" s="801"/>
      <c r="I448" s="802"/>
      <c r="J448" s="801"/>
    </row>
    <row r="449">
      <c r="A449" s="800"/>
      <c r="B449" s="800"/>
      <c r="C449" s="800"/>
      <c r="D449" s="800"/>
      <c r="E449" s="800"/>
      <c r="F449" s="800"/>
      <c r="G449" s="800"/>
      <c r="H449" s="801"/>
      <c r="I449" s="802"/>
      <c r="J449" s="801"/>
    </row>
    <row r="450">
      <c r="A450" s="800"/>
      <c r="B450" s="800"/>
      <c r="C450" s="800"/>
      <c r="D450" s="800"/>
      <c r="E450" s="800"/>
      <c r="F450" s="800"/>
      <c r="G450" s="800"/>
      <c r="H450" s="801"/>
      <c r="I450" s="802"/>
      <c r="J450" s="801"/>
    </row>
    <row r="451">
      <c r="A451" s="800"/>
      <c r="B451" s="800"/>
      <c r="C451" s="800"/>
      <c r="D451" s="800"/>
      <c r="E451" s="800"/>
      <c r="F451" s="800"/>
      <c r="G451" s="800"/>
      <c r="H451" s="801"/>
      <c r="I451" s="802"/>
      <c r="J451" s="801"/>
    </row>
    <row r="452">
      <c r="A452" s="800"/>
      <c r="B452" s="800"/>
      <c r="C452" s="800"/>
      <c r="D452" s="800"/>
      <c r="E452" s="800"/>
      <c r="F452" s="800"/>
      <c r="G452" s="800"/>
      <c r="H452" s="801"/>
      <c r="I452" s="802"/>
      <c r="J452" s="801"/>
    </row>
    <row r="453">
      <c r="A453" s="800"/>
      <c r="B453" s="800"/>
      <c r="C453" s="800"/>
      <c r="D453" s="800"/>
      <c r="E453" s="800"/>
      <c r="F453" s="800"/>
      <c r="G453" s="800"/>
      <c r="H453" s="801"/>
      <c r="I453" s="802"/>
      <c r="J453" s="801"/>
    </row>
    <row r="454">
      <c r="A454" s="800"/>
      <c r="B454" s="800"/>
      <c r="C454" s="800"/>
      <c r="D454" s="800"/>
      <c r="E454" s="800"/>
      <c r="F454" s="800"/>
      <c r="G454" s="800"/>
      <c r="H454" s="801"/>
      <c r="I454" s="802"/>
      <c r="J454" s="801"/>
    </row>
    <row r="455">
      <c r="A455" s="800"/>
      <c r="B455" s="800"/>
      <c r="C455" s="800"/>
      <c r="D455" s="800"/>
      <c r="E455" s="800"/>
      <c r="F455" s="800"/>
      <c r="G455" s="800"/>
      <c r="H455" s="801"/>
      <c r="I455" s="802"/>
      <c r="J455" s="801"/>
    </row>
    <row r="456">
      <c r="A456" s="800"/>
      <c r="B456" s="800"/>
      <c r="C456" s="800"/>
      <c r="D456" s="800"/>
      <c r="E456" s="800"/>
      <c r="F456" s="800"/>
      <c r="G456" s="800"/>
      <c r="H456" s="801"/>
      <c r="I456" s="802"/>
      <c r="J456" s="801"/>
    </row>
    <row r="457">
      <c r="A457" s="800"/>
      <c r="B457" s="800"/>
      <c r="C457" s="800"/>
      <c r="D457" s="800"/>
      <c r="E457" s="800"/>
      <c r="F457" s="800"/>
      <c r="G457" s="800"/>
      <c r="H457" s="801"/>
      <c r="I457" s="802"/>
      <c r="J457" s="801"/>
    </row>
    <row r="458">
      <c r="A458" s="800"/>
      <c r="B458" s="800"/>
      <c r="C458" s="800"/>
      <c r="D458" s="800"/>
      <c r="E458" s="800"/>
      <c r="F458" s="800"/>
      <c r="G458" s="800"/>
      <c r="H458" s="801"/>
      <c r="I458" s="802"/>
      <c r="J458" s="801"/>
    </row>
    <row r="459">
      <c r="A459" s="800"/>
      <c r="B459" s="800"/>
      <c r="C459" s="800"/>
      <c r="D459" s="800"/>
      <c r="E459" s="800"/>
      <c r="F459" s="800"/>
      <c r="G459" s="800"/>
      <c r="H459" s="801"/>
      <c r="I459" s="802"/>
      <c r="J459" s="801"/>
    </row>
    <row r="460">
      <c r="A460" s="800"/>
      <c r="B460" s="800"/>
      <c r="C460" s="800"/>
      <c r="D460" s="800"/>
      <c r="E460" s="800"/>
      <c r="F460" s="800"/>
      <c r="G460" s="800"/>
      <c r="H460" s="801"/>
      <c r="I460" s="802"/>
      <c r="J460" s="801"/>
    </row>
    <row r="461">
      <c r="A461" s="800"/>
      <c r="B461" s="800"/>
      <c r="C461" s="800"/>
      <c r="D461" s="800"/>
      <c r="E461" s="800"/>
      <c r="F461" s="800"/>
      <c r="G461" s="800"/>
      <c r="H461" s="801"/>
      <c r="I461" s="802"/>
      <c r="J461" s="801"/>
    </row>
    <row r="462">
      <c r="A462" s="800"/>
      <c r="B462" s="800"/>
      <c r="C462" s="800"/>
      <c r="D462" s="800"/>
      <c r="E462" s="800"/>
      <c r="F462" s="800"/>
      <c r="G462" s="800"/>
      <c r="H462" s="801"/>
      <c r="I462" s="802"/>
      <c r="J462" s="801"/>
    </row>
    <row r="463">
      <c r="A463" s="800"/>
      <c r="B463" s="800"/>
      <c r="C463" s="800"/>
      <c r="D463" s="800"/>
      <c r="E463" s="800"/>
      <c r="F463" s="800"/>
      <c r="G463" s="800"/>
      <c r="H463" s="801"/>
      <c r="I463" s="802"/>
      <c r="J463" s="801"/>
    </row>
    <row r="464">
      <c r="A464" s="800"/>
      <c r="B464" s="800"/>
      <c r="C464" s="800"/>
      <c r="D464" s="800"/>
      <c r="E464" s="800"/>
      <c r="F464" s="800"/>
      <c r="G464" s="800"/>
      <c r="H464" s="801"/>
      <c r="I464" s="802"/>
      <c r="J464" s="801"/>
    </row>
    <row r="465">
      <c r="A465" s="800"/>
      <c r="B465" s="800"/>
      <c r="C465" s="800"/>
      <c r="D465" s="800"/>
      <c r="E465" s="800"/>
      <c r="F465" s="800"/>
      <c r="G465" s="800"/>
      <c r="H465" s="801"/>
      <c r="I465" s="802"/>
      <c r="J465" s="801"/>
    </row>
    <row r="466">
      <c r="A466" s="800"/>
      <c r="B466" s="800"/>
      <c r="C466" s="800"/>
      <c r="D466" s="800"/>
      <c r="E466" s="800"/>
      <c r="F466" s="800"/>
      <c r="G466" s="800"/>
      <c r="H466" s="801"/>
      <c r="I466" s="802"/>
      <c r="J466" s="801"/>
    </row>
    <row r="467">
      <c r="A467" s="800"/>
      <c r="B467" s="800"/>
      <c r="C467" s="800"/>
      <c r="D467" s="800"/>
      <c r="E467" s="800"/>
      <c r="F467" s="800"/>
      <c r="G467" s="800"/>
      <c r="H467" s="801"/>
      <c r="I467" s="802"/>
      <c r="J467" s="801"/>
    </row>
    <row r="468">
      <c r="A468" s="800"/>
      <c r="B468" s="800"/>
      <c r="C468" s="800"/>
      <c r="D468" s="800"/>
      <c r="E468" s="800"/>
      <c r="F468" s="800"/>
      <c r="G468" s="800"/>
      <c r="H468" s="801"/>
      <c r="I468" s="802"/>
      <c r="J468" s="801"/>
    </row>
    <row r="469">
      <c r="A469" s="800"/>
      <c r="B469" s="800"/>
      <c r="C469" s="800"/>
      <c r="D469" s="800"/>
      <c r="E469" s="800"/>
      <c r="F469" s="800"/>
      <c r="G469" s="800"/>
      <c r="H469" s="801"/>
      <c r="I469" s="802"/>
      <c r="J469" s="801"/>
    </row>
    <row r="470">
      <c r="A470" s="800"/>
      <c r="B470" s="800"/>
      <c r="C470" s="800"/>
      <c r="D470" s="800"/>
      <c r="E470" s="800"/>
      <c r="F470" s="800"/>
      <c r="G470" s="800"/>
      <c r="H470" s="801"/>
      <c r="I470" s="802"/>
      <c r="J470" s="801"/>
    </row>
    <row r="471">
      <c r="A471" s="800"/>
      <c r="B471" s="800"/>
      <c r="C471" s="800"/>
      <c r="D471" s="800"/>
      <c r="E471" s="800"/>
      <c r="F471" s="800"/>
      <c r="G471" s="800"/>
      <c r="H471" s="801"/>
      <c r="I471" s="802"/>
      <c r="J471" s="801"/>
    </row>
    <row r="472">
      <c r="A472" s="800"/>
      <c r="B472" s="800"/>
      <c r="C472" s="800"/>
      <c r="D472" s="800"/>
      <c r="E472" s="800"/>
      <c r="F472" s="800"/>
      <c r="G472" s="800"/>
      <c r="H472" s="801"/>
      <c r="I472" s="802"/>
      <c r="J472" s="801"/>
    </row>
    <row r="473">
      <c r="A473" s="800"/>
      <c r="B473" s="800"/>
      <c r="C473" s="800"/>
      <c r="D473" s="800"/>
      <c r="E473" s="800"/>
      <c r="F473" s="800"/>
      <c r="G473" s="800"/>
      <c r="H473" s="801"/>
      <c r="I473" s="802"/>
      <c r="J473" s="801"/>
    </row>
    <row r="474">
      <c r="A474" s="800"/>
      <c r="B474" s="800"/>
      <c r="C474" s="800"/>
      <c r="D474" s="800"/>
      <c r="E474" s="800"/>
      <c r="F474" s="800"/>
      <c r="G474" s="800"/>
      <c r="H474" s="801"/>
      <c r="I474" s="802"/>
      <c r="J474" s="801"/>
    </row>
    <row r="475">
      <c r="A475" s="800"/>
      <c r="B475" s="800"/>
      <c r="C475" s="800"/>
      <c r="D475" s="800"/>
      <c r="E475" s="800"/>
      <c r="F475" s="800"/>
      <c r="G475" s="800"/>
      <c r="H475" s="801"/>
      <c r="I475" s="802"/>
      <c r="J475" s="801"/>
    </row>
    <row r="476">
      <c r="A476" s="800"/>
      <c r="B476" s="800"/>
      <c r="C476" s="800"/>
      <c r="D476" s="800"/>
      <c r="E476" s="800"/>
      <c r="F476" s="800"/>
      <c r="G476" s="800"/>
      <c r="H476" s="801"/>
      <c r="I476" s="802"/>
      <c r="J476" s="801"/>
    </row>
    <row r="477">
      <c r="A477" s="800"/>
      <c r="B477" s="800"/>
      <c r="C477" s="800"/>
      <c r="D477" s="800"/>
      <c r="E477" s="800"/>
      <c r="F477" s="800"/>
      <c r="G477" s="800"/>
      <c r="H477" s="801"/>
      <c r="I477" s="802"/>
      <c r="J477" s="801"/>
    </row>
    <row r="478">
      <c r="A478" s="800"/>
      <c r="B478" s="800"/>
      <c r="C478" s="800"/>
      <c r="D478" s="800"/>
      <c r="E478" s="800"/>
      <c r="F478" s="800"/>
      <c r="G478" s="800"/>
      <c r="H478" s="801"/>
      <c r="I478" s="802"/>
      <c r="J478" s="801"/>
    </row>
    <row r="479">
      <c r="A479" s="800"/>
      <c r="B479" s="800"/>
      <c r="C479" s="800"/>
      <c r="D479" s="800"/>
      <c r="E479" s="800"/>
      <c r="F479" s="800"/>
      <c r="G479" s="800"/>
      <c r="H479" s="801"/>
      <c r="I479" s="802"/>
      <c r="J479" s="801"/>
    </row>
    <row r="480">
      <c r="A480" s="800"/>
      <c r="B480" s="800"/>
      <c r="C480" s="800"/>
      <c r="D480" s="800"/>
      <c r="E480" s="800"/>
      <c r="F480" s="800"/>
      <c r="G480" s="800"/>
      <c r="H480" s="801"/>
      <c r="I480" s="802"/>
      <c r="J480" s="801"/>
    </row>
    <row r="481">
      <c r="A481" s="800"/>
      <c r="B481" s="800"/>
      <c r="C481" s="800"/>
      <c r="D481" s="800"/>
      <c r="E481" s="800"/>
      <c r="F481" s="800"/>
      <c r="G481" s="800"/>
      <c r="H481" s="801"/>
      <c r="I481" s="802"/>
      <c r="J481" s="801"/>
    </row>
    <row r="482">
      <c r="A482" s="800"/>
      <c r="B482" s="800"/>
      <c r="C482" s="800"/>
      <c r="D482" s="800"/>
      <c r="E482" s="800"/>
      <c r="F482" s="800"/>
      <c r="G482" s="800"/>
      <c r="H482" s="801"/>
      <c r="I482" s="802"/>
      <c r="J482" s="801"/>
    </row>
    <row r="483">
      <c r="A483" s="800"/>
      <c r="B483" s="800"/>
      <c r="C483" s="800"/>
      <c r="D483" s="800"/>
      <c r="E483" s="800"/>
      <c r="F483" s="800"/>
      <c r="G483" s="800"/>
      <c r="H483" s="801"/>
      <c r="I483" s="802"/>
      <c r="J483" s="801"/>
    </row>
    <row r="484">
      <c r="A484" s="800"/>
      <c r="B484" s="800"/>
      <c r="C484" s="800"/>
      <c r="D484" s="800"/>
      <c r="E484" s="800"/>
      <c r="F484" s="800"/>
      <c r="G484" s="800"/>
      <c r="H484" s="801"/>
      <c r="I484" s="802"/>
      <c r="J484" s="801"/>
    </row>
    <row r="485">
      <c r="A485" s="800"/>
      <c r="B485" s="800"/>
      <c r="C485" s="800"/>
      <c r="D485" s="800"/>
      <c r="E485" s="800"/>
      <c r="F485" s="800"/>
      <c r="G485" s="800"/>
      <c r="H485" s="801"/>
      <c r="I485" s="802"/>
      <c r="J485" s="801"/>
    </row>
    <row r="486">
      <c r="A486" s="800"/>
      <c r="B486" s="800"/>
      <c r="C486" s="800"/>
      <c r="D486" s="800"/>
      <c r="E486" s="800"/>
      <c r="F486" s="800"/>
      <c r="G486" s="800"/>
      <c r="H486" s="801"/>
      <c r="I486" s="802"/>
      <c r="J486" s="801"/>
    </row>
    <row r="487">
      <c r="A487" s="800"/>
      <c r="B487" s="800"/>
      <c r="C487" s="800"/>
      <c r="D487" s="800"/>
      <c r="E487" s="800"/>
      <c r="F487" s="800"/>
      <c r="G487" s="800"/>
      <c r="H487" s="801"/>
      <c r="I487" s="802"/>
      <c r="J487" s="801"/>
    </row>
    <row r="488">
      <c r="A488" s="800"/>
      <c r="B488" s="800"/>
      <c r="C488" s="800"/>
      <c r="D488" s="800"/>
      <c r="E488" s="800"/>
      <c r="F488" s="800"/>
      <c r="G488" s="800"/>
      <c r="H488" s="801"/>
      <c r="I488" s="802"/>
      <c r="J488" s="801"/>
    </row>
    <row r="489">
      <c r="A489" s="800"/>
      <c r="B489" s="800"/>
      <c r="C489" s="800"/>
      <c r="D489" s="800"/>
      <c r="E489" s="800"/>
      <c r="F489" s="800"/>
      <c r="G489" s="800"/>
      <c r="H489" s="801"/>
      <c r="I489" s="802"/>
      <c r="J489" s="801"/>
    </row>
    <row r="490">
      <c r="A490" s="800"/>
      <c r="B490" s="800"/>
      <c r="C490" s="800"/>
      <c r="D490" s="800"/>
      <c r="E490" s="800"/>
      <c r="F490" s="800"/>
      <c r="G490" s="800"/>
      <c r="H490" s="801"/>
      <c r="I490" s="802"/>
      <c r="J490" s="801"/>
    </row>
    <row r="491">
      <c r="A491" s="800"/>
      <c r="B491" s="800"/>
      <c r="C491" s="800"/>
      <c r="D491" s="800"/>
      <c r="E491" s="800"/>
      <c r="F491" s="800"/>
      <c r="G491" s="800"/>
      <c r="H491" s="801"/>
      <c r="I491" s="802"/>
      <c r="J491" s="801"/>
    </row>
    <row r="492">
      <c r="A492" s="800"/>
      <c r="B492" s="800"/>
      <c r="C492" s="800"/>
      <c r="D492" s="800"/>
      <c r="E492" s="800"/>
      <c r="F492" s="800"/>
      <c r="G492" s="800"/>
      <c r="H492" s="801"/>
      <c r="I492" s="802"/>
      <c r="J492" s="801"/>
    </row>
    <row r="493">
      <c r="A493" s="800"/>
      <c r="B493" s="800"/>
      <c r="C493" s="800"/>
      <c r="D493" s="800"/>
      <c r="E493" s="800"/>
      <c r="F493" s="800"/>
      <c r="G493" s="800"/>
      <c r="H493" s="801"/>
      <c r="I493" s="802"/>
      <c r="J493" s="801"/>
    </row>
    <row r="494">
      <c r="A494" s="800"/>
      <c r="B494" s="800"/>
      <c r="C494" s="800"/>
      <c r="D494" s="800"/>
      <c r="E494" s="800"/>
      <c r="F494" s="800"/>
      <c r="G494" s="800"/>
      <c r="H494" s="801"/>
      <c r="I494" s="802"/>
      <c r="J494" s="801"/>
    </row>
    <row r="495">
      <c r="A495" s="800"/>
      <c r="B495" s="800"/>
      <c r="C495" s="800"/>
      <c r="D495" s="800"/>
      <c r="E495" s="800"/>
      <c r="F495" s="800"/>
      <c r="G495" s="800"/>
      <c r="H495" s="801"/>
      <c r="I495" s="802"/>
      <c r="J495" s="801"/>
    </row>
    <row r="496">
      <c r="A496" s="800"/>
      <c r="B496" s="800"/>
      <c r="C496" s="800"/>
      <c r="D496" s="800"/>
      <c r="E496" s="800"/>
      <c r="F496" s="800"/>
      <c r="G496" s="800"/>
      <c r="H496" s="801"/>
      <c r="I496" s="802"/>
      <c r="J496" s="801"/>
    </row>
    <row r="497">
      <c r="A497" s="800"/>
      <c r="B497" s="800"/>
      <c r="C497" s="800"/>
      <c r="D497" s="800"/>
      <c r="E497" s="800"/>
      <c r="F497" s="800"/>
      <c r="G497" s="800"/>
      <c r="H497" s="801"/>
      <c r="I497" s="802"/>
      <c r="J497" s="801"/>
    </row>
    <row r="498">
      <c r="A498" s="800"/>
      <c r="B498" s="800"/>
      <c r="C498" s="800"/>
      <c r="D498" s="800"/>
      <c r="E498" s="800"/>
      <c r="F498" s="800"/>
      <c r="G498" s="800"/>
      <c r="H498" s="801"/>
      <c r="I498" s="802"/>
      <c r="J498" s="801"/>
    </row>
    <row r="499">
      <c r="A499" s="800"/>
      <c r="B499" s="800"/>
      <c r="C499" s="800"/>
      <c r="D499" s="800"/>
      <c r="E499" s="800"/>
      <c r="F499" s="800"/>
      <c r="G499" s="800"/>
      <c r="H499" s="801"/>
      <c r="I499" s="802"/>
      <c r="J499" s="801"/>
    </row>
    <row r="500">
      <c r="A500" s="800"/>
      <c r="B500" s="800"/>
      <c r="C500" s="800"/>
      <c r="D500" s="800"/>
      <c r="E500" s="800"/>
      <c r="F500" s="800"/>
      <c r="G500" s="800"/>
      <c r="H500" s="801"/>
      <c r="I500" s="802"/>
      <c r="J500" s="801"/>
    </row>
    <row r="501">
      <c r="A501" s="800"/>
      <c r="B501" s="800"/>
      <c r="C501" s="800"/>
      <c r="D501" s="800"/>
      <c r="E501" s="800"/>
      <c r="F501" s="800"/>
      <c r="G501" s="800"/>
      <c r="H501" s="801"/>
      <c r="I501" s="802"/>
      <c r="J501" s="801"/>
    </row>
    <row r="502">
      <c r="A502" s="800"/>
      <c r="B502" s="800"/>
      <c r="C502" s="800"/>
      <c r="D502" s="800"/>
      <c r="E502" s="800"/>
      <c r="F502" s="800"/>
      <c r="G502" s="800"/>
      <c r="H502" s="801"/>
      <c r="I502" s="802"/>
      <c r="J502" s="801"/>
    </row>
    <row r="503">
      <c r="A503" s="800"/>
      <c r="B503" s="800"/>
      <c r="C503" s="800"/>
      <c r="D503" s="800"/>
      <c r="E503" s="800"/>
      <c r="F503" s="800"/>
      <c r="G503" s="800"/>
      <c r="H503" s="801"/>
      <c r="I503" s="802"/>
      <c r="J503" s="801"/>
    </row>
    <row r="504">
      <c r="A504" s="800"/>
      <c r="B504" s="800"/>
      <c r="C504" s="800"/>
      <c r="D504" s="800"/>
      <c r="E504" s="800"/>
      <c r="F504" s="800"/>
      <c r="G504" s="800"/>
      <c r="H504" s="801"/>
      <c r="I504" s="802"/>
      <c r="J504" s="801"/>
    </row>
    <row r="505">
      <c r="A505" s="800"/>
      <c r="B505" s="800"/>
      <c r="C505" s="800"/>
      <c r="D505" s="800"/>
      <c r="E505" s="800"/>
      <c r="F505" s="800"/>
      <c r="G505" s="800"/>
      <c r="H505" s="801"/>
      <c r="I505" s="802"/>
      <c r="J505" s="801"/>
    </row>
    <row r="506">
      <c r="A506" s="800"/>
      <c r="B506" s="800"/>
      <c r="C506" s="800"/>
      <c r="D506" s="800"/>
      <c r="E506" s="800"/>
      <c r="F506" s="800"/>
      <c r="G506" s="800"/>
      <c r="H506" s="801"/>
      <c r="I506" s="802"/>
      <c r="J506" s="801"/>
    </row>
    <row r="507">
      <c r="A507" s="800"/>
      <c r="B507" s="800"/>
      <c r="C507" s="800"/>
      <c r="D507" s="800"/>
      <c r="E507" s="800"/>
      <c r="F507" s="800"/>
      <c r="G507" s="800"/>
      <c r="H507" s="801"/>
      <c r="I507" s="802"/>
      <c r="J507" s="801"/>
    </row>
    <row r="508">
      <c r="A508" s="800"/>
      <c r="B508" s="800"/>
      <c r="C508" s="800"/>
      <c r="D508" s="800"/>
      <c r="E508" s="800"/>
      <c r="F508" s="800"/>
      <c r="G508" s="800"/>
      <c r="H508" s="801"/>
      <c r="I508" s="802"/>
      <c r="J508" s="801"/>
    </row>
    <row r="509">
      <c r="A509" s="800"/>
      <c r="B509" s="800"/>
      <c r="C509" s="800"/>
      <c r="D509" s="800"/>
      <c r="E509" s="800"/>
      <c r="F509" s="800"/>
      <c r="G509" s="800"/>
      <c r="H509" s="801"/>
      <c r="I509" s="802"/>
      <c r="J509" s="801"/>
    </row>
    <row r="510">
      <c r="A510" s="800"/>
      <c r="B510" s="800"/>
      <c r="C510" s="800"/>
      <c r="D510" s="800"/>
      <c r="E510" s="800"/>
      <c r="F510" s="800"/>
      <c r="G510" s="800"/>
      <c r="H510" s="801"/>
      <c r="I510" s="802"/>
      <c r="J510" s="801"/>
    </row>
    <row r="511">
      <c r="A511" s="800"/>
      <c r="B511" s="800"/>
      <c r="C511" s="800"/>
      <c r="D511" s="800"/>
      <c r="E511" s="800"/>
      <c r="F511" s="800"/>
      <c r="G511" s="800"/>
      <c r="H511" s="801"/>
      <c r="I511" s="802"/>
      <c r="J511" s="801"/>
    </row>
    <row r="512">
      <c r="A512" s="800"/>
      <c r="B512" s="800"/>
      <c r="C512" s="800"/>
      <c r="D512" s="800"/>
      <c r="E512" s="800"/>
      <c r="F512" s="800"/>
      <c r="G512" s="800"/>
      <c r="H512" s="801"/>
      <c r="I512" s="802"/>
      <c r="J512" s="801"/>
    </row>
    <row r="513">
      <c r="A513" s="800"/>
      <c r="B513" s="800"/>
      <c r="C513" s="800"/>
      <c r="D513" s="800"/>
      <c r="E513" s="800"/>
      <c r="F513" s="800"/>
      <c r="G513" s="800"/>
      <c r="H513" s="801"/>
      <c r="I513" s="802"/>
      <c r="J513" s="801"/>
    </row>
    <row r="514">
      <c r="A514" s="800"/>
      <c r="B514" s="800"/>
      <c r="C514" s="800"/>
      <c r="D514" s="800"/>
      <c r="E514" s="800"/>
      <c r="F514" s="800"/>
      <c r="G514" s="800"/>
      <c r="H514" s="801"/>
      <c r="I514" s="802"/>
      <c r="J514" s="801"/>
    </row>
    <row r="515">
      <c r="A515" s="800"/>
      <c r="B515" s="800"/>
      <c r="C515" s="800"/>
      <c r="D515" s="800"/>
      <c r="E515" s="800"/>
      <c r="F515" s="800"/>
      <c r="G515" s="800"/>
      <c r="H515" s="801"/>
      <c r="I515" s="802"/>
      <c r="J515" s="801"/>
    </row>
    <row r="516">
      <c r="A516" s="800"/>
      <c r="B516" s="800"/>
      <c r="C516" s="800"/>
      <c r="D516" s="800"/>
      <c r="E516" s="800"/>
      <c r="F516" s="800"/>
      <c r="G516" s="800"/>
      <c r="H516" s="801"/>
      <c r="I516" s="802"/>
      <c r="J516" s="801"/>
    </row>
    <row r="517">
      <c r="A517" s="800"/>
      <c r="B517" s="800"/>
      <c r="C517" s="800"/>
      <c r="D517" s="800"/>
      <c r="E517" s="800"/>
      <c r="F517" s="800"/>
      <c r="G517" s="800"/>
      <c r="H517" s="801"/>
      <c r="I517" s="802"/>
      <c r="J517" s="801"/>
    </row>
    <row r="518">
      <c r="A518" s="800"/>
      <c r="B518" s="800"/>
      <c r="C518" s="800"/>
      <c r="D518" s="800"/>
      <c r="E518" s="800"/>
      <c r="F518" s="800"/>
      <c r="G518" s="800"/>
      <c r="H518" s="801"/>
      <c r="I518" s="802"/>
      <c r="J518" s="801"/>
    </row>
    <row r="519">
      <c r="A519" s="800"/>
      <c r="B519" s="800"/>
      <c r="C519" s="800"/>
      <c r="D519" s="800"/>
      <c r="E519" s="800"/>
      <c r="F519" s="800"/>
      <c r="G519" s="800"/>
      <c r="H519" s="801"/>
      <c r="I519" s="802"/>
      <c r="J519" s="801"/>
    </row>
    <row r="520">
      <c r="A520" s="800"/>
      <c r="B520" s="800"/>
      <c r="C520" s="800"/>
      <c r="D520" s="800"/>
      <c r="E520" s="800"/>
      <c r="F520" s="800"/>
      <c r="G520" s="800"/>
      <c r="H520" s="801"/>
      <c r="I520" s="802"/>
      <c r="J520" s="801"/>
    </row>
    <row r="521">
      <c r="A521" s="800"/>
      <c r="B521" s="800"/>
      <c r="C521" s="800"/>
      <c r="D521" s="800"/>
      <c r="E521" s="800"/>
      <c r="F521" s="800"/>
      <c r="G521" s="800"/>
      <c r="H521" s="801"/>
      <c r="I521" s="802"/>
      <c r="J521" s="801"/>
    </row>
    <row r="522">
      <c r="A522" s="800"/>
      <c r="B522" s="800"/>
      <c r="C522" s="800"/>
      <c r="D522" s="800"/>
      <c r="E522" s="800"/>
      <c r="F522" s="800"/>
      <c r="G522" s="800"/>
      <c r="H522" s="801"/>
      <c r="I522" s="802"/>
      <c r="J522" s="801"/>
    </row>
    <row r="523">
      <c r="A523" s="800"/>
      <c r="B523" s="800"/>
      <c r="C523" s="800"/>
      <c r="D523" s="800"/>
      <c r="E523" s="800"/>
      <c r="F523" s="800"/>
      <c r="G523" s="800"/>
      <c r="H523" s="801"/>
      <c r="I523" s="802"/>
      <c r="J523" s="801"/>
    </row>
    <row r="524">
      <c r="A524" s="800"/>
      <c r="B524" s="800"/>
      <c r="C524" s="800"/>
      <c r="D524" s="800"/>
      <c r="E524" s="800"/>
      <c r="F524" s="800"/>
      <c r="G524" s="800"/>
      <c r="H524" s="801"/>
      <c r="I524" s="802"/>
      <c r="J524" s="801"/>
    </row>
    <row r="525">
      <c r="A525" s="800"/>
      <c r="B525" s="800"/>
      <c r="C525" s="800"/>
      <c r="D525" s="800"/>
      <c r="E525" s="800"/>
      <c r="F525" s="800"/>
      <c r="G525" s="800"/>
      <c r="H525" s="801"/>
      <c r="I525" s="802"/>
      <c r="J525" s="801"/>
    </row>
    <row r="526">
      <c r="A526" s="800"/>
      <c r="B526" s="800"/>
      <c r="C526" s="800"/>
      <c r="D526" s="800"/>
      <c r="E526" s="800"/>
      <c r="F526" s="800"/>
      <c r="G526" s="800"/>
      <c r="H526" s="801"/>
      <c r="I526" s="802"/>
      <c r="J526" s="801"/>
    </row>
    <row r="527">
      <c r="A527" s="800"/>
      <c r="B527" s="800"/>
      <c r="C527" s="800"/>
      <c r="D527" s="800"/>
      <c r="E527" s="800"/>
      <c r="F527" s="800"/>
      <c r="G527" s="800"/>
      <c r="H527" s="801"/>
      <c r="I527" s="802"/>
      <c r="J527" s="801"/>
    </row>
    <row r="528">
      <c r="A528" s="800"/>
      <c r="B528" s="800"/>
      <c r="C528" s="800"/>
      <c r="D528" s="800"/>
      <c r="E528" s="800"/>
      <c r="F528" s="800"/>
      <c r="G528" s="800"/>
      <c r="H528" s="801"/>
      <c r="I528" s="802"/>
      <c r="J528" s="801"/>
    </row>
    <row r="529">
      <c r="A529" s="800"/>
      <c r="B529" s="800"/>
      <c r="C529" s="800"/>
      <c r="D529" s="800"/>
      <c r="E529" s="800"/>
      <c r="F529" s="800"/>
      <c r="G529" s="800"/>
      <c r="H529" s="801"/>
      <c r="I529" s="802"/>
      <c r="J529" s="801"/>
    </row>
    <row r="530">
      <c r="A530" s="800"/>
      <c r="B530" s="800"/>
      <c r="C530" s="800"/>
      <c r="D530" s="800"/>
      <c r="E530" s="800"/>
      <c r="F530" s="800"/>
      <c r="G530" s="800"/>
      <c r="H530" s="801"/>
      <c r="I530" s="802"/>
      <c r="J530" s="801"/>
    </row>
    <row r="531">
      <c r="A531" s="800"/>
      <c r="B531" s="800"/>
      <c r="C531" s="800"/>
      <c r="D531" s="800"/>
      <c r="E531" s="800"/>
      <c r="F531" s="800"/>
      <c r="G531" s="800"/>
      <c r="H531" s="801"/>
      <c r="I531" s="802"/>
      <c r="J531" s="801"/>
    </row>
    <row r="532">
      <c r="A532" s="800"/>
      <c r="B532" s="800"/>
      <c r="C532" s="800"/>
      <c r="D532" s="800"/>
      <c r="E532" s="800"/>
      <c r="F532" s="800"/>
      <c r="G532" s="800"/>
      <c r="H532" s="801"/>
      <c r="I532" s="802"/>
      <c r="J532" s="801"/>
    </row>
    <row r="533">
      <c r="A533" s="800"/>
      <c r="B533" s="800"/>
      <c r="C533" s="800"/>
      <c r="D533" s="800"/>
      <c r="E533" s="800"/>
      <c r="F533" s="800"/>
      <c r="G533" s="800"/>
      <c r="H533" s="801"/>
      <c r="I533" s="802"/>
      <c r="J533" s="801"/>
    </row>
    <row r="534">
      <c r="A534" s="800"/>
      <c r="B534" s="800"/>
      <c r="C534" s="800"/>
      <c r="D534" s="800"/>
      <c r="E534" s="800"/>
      <c r="F534" s="800"/>
      <c r="G534" s="800"/>
      <c r="H534" s="801"/>
      <c r="I534" s="802"/>
      <c r="J534" s="801"/>
    </row>
    <row r="535">
      <c r="A535" s="800"/>
      <c r="B535" s="800"/>
      <c r="C535" s="800"/>
      <c r="D535" s="800"/>
      <c r="E535" s="800"/>
      <c r="F535" s="800"/>
      <c r="G535" s="800"/>
      <c r="H535" s="801"/>
      <c r="I535" s="802"/>
      <c r="J535" s="801"/>
    </row>
    <row r="536">
      <c r="A536" s="800"/>
      <c r="B536" s="800"/>
      <c r="C536" s="800"/>
      <c r="D536" s="800"/>
      <c r="E536" s="800"/>
      <c r="F536" s="800"/>
      <c r="G536" s="800"/>
      <c r="H536" s="801"/>
      <c r="I536" s="802"/>
      <c r="J536" s="801"/>
    </row>
    <row r="537">
      <c r="A537" s="800"/>
      <c r="B537" s="800"/>
      <c r="C537" s="800"/>
      <c r="D537" s="800"/>
      <c r="E537" s="800"/>
      <c r="F537" s="800"/>
      <c r="G537" s="800"/>
      <c r="H537" s="801"/>
      <c r="I537" s="802"/>
      <c r="J537" s="801"/>
    </row>
    <row r="538">
      <c r="A538" s="800"/>
      <c r="B538" s="800"/>
      <c r="C538" s="800"/>
      <c r="D538" s="800"/>
      <c r="E538" s="800"/>
      <c r="F538" s="800"/>
      <c r="G538" s="800"/>
      <c r="H538" s="801"/>
      <c r="I538" s="802"/>
      <c r="J538" s="801"/>
    </row>
    <row r="539">
      <c r="A539" s="800"/>
      <c r="B539" s="800"/>
      <c r="C539" s="800"/>
      <c r="D539" s="800"/>
      <c r="E539" s="800"/>
      <c r="F539" s="800"/>
      <c r="G539" s="800"/>
      <c r="H539" s="801"/>
      <c r="I539" s="802"/>
      <c r="J539" s="801"/>
    </row>
    <row r="540">
      <c r="A540" s="800"/>
      <c r="B540" s="800"/>
      <c r="C540" s="800"/>
      <c r="D540" s="800"/>
      <c r="E540" s="800"/>
      <c r="F540" s="800"/>
      <c r="G540" s="800"/>
      <c r="H540" s="801"/>
      <c r="I540" s="802"/>
      <c r="J540" s="801"/>
    </row>
    <row r="541">
      <c r="A541" s="800"/>
      <c r="B541" s="800"/>
      <c r="C541" s="800"/>
      <c r="D541" s="800"/>
      <c r="E541" s="800"/>
      <c r="F541" s="800"/>
      <c r="G541" s="800"/>
      <c r="H541" s="801"/>
      <c r="I541" s="802"/>
      <c r="J541" s="801"/>
    </row>
    <row r="542">
      <c r="A542" s="800"/>
      <c r="B542" s="800"/>
      <c r="C542" s="800"/>
      <c r="D542" s="800"/>
      <c r="E542" s="800"/>
      <c r="F542" s="800"/>
      <c r="G542" s="800"/>
      <c r="H542" s="801"/>
      <c r="I542" s="802"/>
      <c r="J542" s="801"/>
    </row>
    <row r="543">
      <c r="A543" s="800"/>
      <c r="B543" s="800"/>
      <c r="C543" s="800"/>
      <c r="D543" s="800"/>
      <c r="E543" s="800"/>
      <c r="F543" s="800"/>
      <c r="G543" s="800"/>
      <c r="H543" s="801"/>
      <c r="I543" s="802"/>
      <c r="J543" s="801"/>
    </row>
    <row r="544">
      <c r="A544" s="800"/>
      <c r="B544" s="800"/>
      <c r="C544" s="800"/>
      <c r="D544" s="800"/>
      <c r="E544" s="800"/>
      <c r="F544" s="800"/>
      <c r="G544" s="800"/>
      <c r="H544" s="801"/>
      <c r="I544" s="802"/>
      <c r="J544" s="801"/>
    </row>
    <row r="545">
      <c r="A545" s="800"/>
      <c r="B545" s="800"/>
      <c r="C545" s="800"/>
      <c r="D545" s="800"/>
      <c r="E545" s="800"/>
      <c r="F545" s="800"/>
      <c r="G545" s="800"/>
      <c r="H545" s="801"/>
      <c r="I545" s="802"/>
      <c r="J545" s="801"/>
    </row>
    <row r="546">
      <c r="A546" s="800"/>
      <c r="B546" s="800"/>
      <c r="C546" s="800"/>
      <c r="D546" s="800"/>
      <c r="E546" s="800"/>
      <c r="F546" s="800"/>
      <c r="G546" s="800"/>
      <c r="H546" s="801"/>
      <c r="I546" s="802"/>
      <c r="J546" s="801"/>
    </row>
    <row r="547">
      <c r="A547" s="800"/>
      <c r="B547" s="800"/>
      <c r="C547" s="800"/>
      <c r="D547" s="800"/>
      <c r="E547" s="800"/>
      <c r="F547" s="800"/>
      <c r="G547" s="800"/>
      <c r="H547" s="801"/>
      <c r="I547" s="802"/>
      <c r="J547" s="801"/>
    </row>
    <row r="548">
      <c r="A548" s="800"/>
      <c r="B548" s="800"/>
      <c r="C548" s="800"/>
      <c r="D548" s="800"/>
      <c r="E548" s="800"/>
      <c r="F548" s="800"/>
      <c r="G548" s="800"/>
      <c r="H548" s="801"/>
      <c r="I548" s="802"/>
      <c r="J548" s="801"/>
    </row>
    <row r="549">
      <c r="A549" s="800"/>
      <c r="B549" s="800"/>
      <c r="C549" s="800"/>
      <c r="D549" s="800"/>
      <c r="E549" s="800"/>
      <c r="F549" s="800"/>
      <c r="G549" s="800"/>
      <c r="H549" s="801"/>
      <c r="I549" s="802"/>
      <c r="J549" s="801"/>
    </row>
    <row r="550">
      <c r="A550" s="800"/>
      <c r="B550" s="800"/>
      <c r="C550" s="800"/>
      <c r="D550" s="800"/>
      <c r="E550" s="800"/>
      <c r="F550" s="800"/>
      <c r="G550" s="800"/>
      <c r="H550" s="801"/>
      <c r="I550" s="802"/>
      <c r="J550" s="801"/>
    </row>
    <row r="551">
      <c r="A551" s="800"/>
      <c r="B551" s="800"/>
      <c r="C551" s="800"/>
      <c r="D551" s="800"/>
      <c r="E551" s="800"/>
      <c r="F551" s="800"/>
      <c r="G551" s="800"/>
      <c r="H551" s="801"/>
      <c r="I551" s="802"/>
      <c r="J551" s="801"/>
    </row>
    <row r="552">
      <c r="A552" s="800"/>
      <c r="B552" s="800"/>
      <c r="C552" s="800"/>
      <c r="D552" s="800"/>
      <c r="E552" s="800"/>
      <c r="F552" s="800"/>
      <c r="G552" s="800"/>
      <c r="H552" s="801"/>
      <c r="I552" s="802"/>
      <c r="J552" s="801"/>
    </row>
    <row r="553">
      <c r="A553" s="800"/>
      <c r="B553" s="800"/>
      <c r="C553" s="800"/>
      <c r="D553" s="800"/>
      <c r="E553" s="800"/>
      <c r="F553" s="800"/>
      <c r="G553" s="800"/>
      <c r="H553" s="801"/>
      <c r="I553" s="802"/>
      <c r="J553" s="801"/>
    </row>
    <row r="554">
      <c r="A554" s="800"/>
      <c r="B554" s="800"/>
      <c r="C554" s="800"/>
      <c r="D554" s="800"/>
      <c r="E554" s="800"/>
      <c r="F554" s="800"/>
      <c r="G554" s="800"/>
      <c r="H554" s="801"/>
      <c r="I554" s="802"/>
      <c r="J554" s="801"/>
    </row>
    <row r="555">
      <c r="A555" s="800"/>
      <c r="B555" s="800"/>
      <c r="C555" s="800"/>
      <c r="D555" s="800"/>
      <c r="E555" s="800"/>
      <c r="F555" s="800"/>
      <c r="G555" s="800"/>
      <c r="H555" s="801"/>
      <c r="I555" s="802"/>
      <c r="J555" s="801"/>
    </row>
    <row r="556">
      <c r="A556" s="800"/>
      <c r="B556" s="800"/>
      <c r="C556" s="800"/>
      <c r="D556" s="800"/>
      <c r="E556" s="800"/>
      <c r="F556" s="800"/>
      <c r="G556" s="800"/>
      <c r="H556" s="801"/>
      <c r="I556" s="802"/>
      <c r="J556" s="801"/>
    </row>
    <row r="557">
      <c r="A557" s="800"/>
      <c r="B557" s="800"/>
      <c r="C557" s="800"/>
      <c r="D557" s="800"/>
      <c r="E557" s="800"/>
      <c r="F557" s="800"/>
      <c r="G557" s="800"/>
      <c r="H557" s="801"/>
      <c r="I557" s="802"/>
      <c r="J557" s="801"/>
    </row>
    <row r="558">
      <c r="A558" s="800"/>
      <c r="B558" s="800"/>
      <c r="C558" s="800"/>
      <c r="D558" s="800"/>
      <c r="E558" s="800"/>
      <c r="F558" s="800"/>
      <c r="G558" s="800"/>
      <c r="H558" s="801"/>
      <c r="I558" s="802"/>
      <c r="J558" s="801"/>
    </row>
    <row r="559">
      <c r="A559" s="800"/>
      <c r="B559" s="800"/>
      <c r="C559" s="800"/>
      <c r="D559" s="800"/>
      <c r="E559" s="800"/>
      <c r="F559" s="800"/>
      <c r="G559" s="800"/>
      <c r="H559" s="801"/>
      <c r="I559" s="802"/>
      <c r="J559" s="801"/>
    </row>
    <row r="560">
      <c r="A560" s="800"/>
      <c r="B560" s="800"/>
      <c r="C560" s="800"/>
      <c r="D560" s="800"/>
      <c r="E560" s="800"/>
      <c r="F560" s="800"/>
      <c r="G560" s="800"/>
      <c r="H560" s="801"/>
      <c r="I560" s="802"/>
      <c r="J560" s="801"/>
    </row>
    <row r="561">
      <c r="A561" s="800"/>
      <c r="B561" s="800"/>
      <c r="C561" s="800"/>
      <c r="D561" s="800"/>
      <c r="E561" s="800"/>
      <c r="F561" s="800"/>
      <c r="G561" s="800"/>
      <c r="H561" s="801"/>
      <c r="I561" s="802"/>
      <c r="J561" s="801"/>
    </row>
    <row r="562">
      <c r="A562" s="800"/>
      <c r="B562" s="800"/>
      <c r="C562" s="800"/>
      <c r="D562" s="800"/>
      <c r="E562" s="800"/>
      <c r="F562" s="800"/>
      <c r="G562" s="800"/>
      <c r="H562" s="801"/>
      <c r="I562" s="802"/>
      <c r="J562" s="801"/>
    </row>
    <row r="563">
      <c r="A563" s="800"/>
      <c r="B563" s="800"/>
      <c r="C563" s="800"/>
      <c r="D563" s="800"/>
      <c r="E563" s="800"/>
      <c r="F563" s="800"/>
      <c r="G563" s="800"/>
      <c r="H563" s="801"/>
      <c r="I563" s="802"/>
      <c r="J563" s="801"/>
    </row>
    <row r="564">
      <c r="A564" s="800"/>
      <c r="B564" s="800"/>
      <c r="C564" s="800"/>
      <c r="D564" s="800"/>
      <c r="E564" s="800"/>
      <c r="F564" s="800"/>
      <c r="G564" s="800"/>
      <c r="H564" s="801"/>
      <c r="I564" s="802"/>
      <c r="J564" s="801"/>
    </row>
    <row r="565">
      <c r="A565" s="800"/>
      <c r="B565" s="800"/>
      <c r="C565" s="800"/>
      <c r="D565" s="800"/>
      <c r="E565" s="800"/>
      <c r="F565" s="800"/>
      <c r="G565" s="800"/>
      <c r="H565" s="801"/>
      <c r="I565" s="802"/>
      <c r="J565" s="801"/>
    </row>
    <row r="566">
      <c r="A566" s="800"/>
      <c r="B566" s="800"/>
      <c r="C566" s="800"/>
      <c r="D566" s="800"/>
      <c r="E566" s="800"/>
      <c r="F566" s="800"/>
      <c r="G566" s="800"/>
      <c r="H566" s="801"/>
      <c r="I566" s="802"/>
      <c r="J566" s="801"/>
    </row>
    <row r="567">
      <c r="A567" s="800"/>
      <c r="B567" s="800"/>
      <c r="C567" s="800"/>
      <c r="D567" s="800"/>
      <c r="E567" s="800"/>
      <c r="F567" s="800"/>
      <c r="G567" s="800"/>
      <c r="H567" s="801"/>
      <c r="I567" s="802"/>
      <c r="J567" s="801"/>
    </row>
    <row r="568">
      <c r="A568" s="800"/>
      <c r="B568" s="800"/>
      <c r="C568" s="800"/>
      <c r="D568" s="800"/>
      <c r="E568" s="800"/>
      <c r="F568" s="800"/>
      <c r="G568" s="800"/>
      <c r="H568" s="801"/>
      <c r="I568" s="802"/>
      <c r="J568" s="801"/>
    </row>
    <row r="569">
      <c r="A569" s="800"/>
      <c r="B569" s="800"/>
      <c r="C569" s="800"/>
      <c r="D569" s="800"/>
      <c r="E569" s="800"/>
      <c r="F569" s="800"/>
      <c r="G569" s="800"/>
      <c r="H569" s="801"/>
      <c r="I569" s="802"/>
      <c r="J569" s="801"/>
    </row>
    <row r="570">
      <c r="A570" s="800"/>
      <c r="B570" s="800"/>
      <c r="C570" s="800"/>
      <c r="D570" s="800"/>
      <c r="E570" s="800"/>
      <c r="F570" s="800"/>
      <c r="G570" s="800"/>
      <c r="H570" s="801"/>
      <c r="I570" s="802"/>
      <c r="J570" s="801"/>
    </row>
    <row r="571">
      <c r="A571" s="800"/>
      <c r="B571" s="800"/>
      <c r="C571" s="800"/>
      <c r="D571" s="800"/>
      <c r="E571" s="800"/>
      <c r="F571" s="800"/>
      <c r="G571" s="800"/>
      <c r="H571" s="801"/>
      <c r="I571" s="802"/>
      <c r="J571" s="801"/>
    </row>
    <row r="572">
      <c r="A572" s="800"/>
      <c r="B572" s="800"/>
      <c r="C572" s="800"/>
      <c r="D572" s="800"/>
      <c r="E572" s="800"/>
      <c r="F572" s="800"/>
      <c r="G572" s="800"/>
      <c r="H572" s="801"/>
      <c r="I572" s="802"/>
      <c r="J572" s="801"/>
    </row>
    <row r="573">
      <c r="A573" s="800"/>
      <c r="B573" s="800"/>
      <c r="C573" s="800"/>
      <c r="D573" s="800"/>
      <c r="E573" s="800"/>
      <c r="F573" s="800"/>
      <c r="G573" s="800"/>
      <c r="H573" s="801"/>
      <c r="I573" s="802"/>
      <c r="J573" s="801"/>
    </row>
    <row r="574">
      <c r="A574" s="800"/>
      <c r="B574" s="800"/>
      <c r="C574" s="800"/>
      <c r="D574" s="800"/>
      <c r="E574" s="800"/>
      <c r="F574" s="800"/>
      <c r="G574" s="800"/>
      <c r="H574" s="801"/>
      <c r="I574" s="802"/>
      <c r="J574" s="801"/>
    </row>
    <row r="575">
      <c r="A575" s="800"/>
      <c r="B575" s="800"/>
      <c r="C575" s="800"/>
      <c r="D575" s="800"/>
      <c r="E575" s="800"/>
      <c r="F575" s="800"/>
      <c r="G575" s="800"/>
      <c r="H575" s="801"/>
      <c r="I575" s="802"/>
      <c r="J575" s="801"/>
    </row>
    <row r="576">
      <c r="A576" s="800"/>
      <c r="B576" s="800"/>
      <c r="C576" s="800"/>
      <c r="D576" s="800"/>
      <c r="E576" s="800"/>
      <c r="F576" s="800"/>
      <c r="G576" s="800"/>
      <c r="H576" s="801"/>
      <c r="I576" s="802"/>
      <c r="J576" s="801"/>
    </row>
    <row r="577">
      <c r="A577" s="800"/>
      <c r="B577" s="800"/>
      <c r="C577" s="800"/>
      <c r="D577" s="800"/>
      <c r="E577" s="800"/>
      <c r="F577" s="800"/>
      <c r="G577" s="800"/>
      <c r="H577" s="801"/>
      <c r="I577" s="802"/>
      <c r="J577" s="801"/>
    </row>
    <row r="578">
      <c r="A578" s="800"/>
      <c r="B578" s="800"/>
      <c r="C578" s="800"/>
      <c r="D578" s="800"/>
      <c r="E578" s="800"/>
      <c r="F578" s="800"/>
      <c r="G578" s="800"/>
      <c r="H578" s="801"/>
      <c r="I578" s="802"/>
      <c r="J578" s="801"/>
    </row>
    <row r="579">
      <c r="A579" s="800"/>
      <c r="B579" s="800"/>
      <c r="C579" s="800"/>
      <c r="D579" s="800"/>
      <c r="E579" s="800"/>
      <c r="F579" s="800"/>
      <c r="G579" s="800"/>
      <c r="H579" s="801"/>
      <c r="I579" s="802"/>
      <c r="J579" s="801"/>
    </row>
    <row r="580">
      <c r="A580" s="800"/>
      <c r="B580" s="800"/>
      <c r="C580" s="800"/>
      <c r="D580" s="800"/>
      <c r="E580" s="800"/>
      <c r="F580" s="800"/>
      <c r="G580" s="800"/>
      <c r="H580" s="801"/>
      <c r="I580" s="802"/>
      <c r="J580" s="801"/>
    </row>
    <row r="581">
      <c r="A581" s="800"/>
      <c r="B581" s="800"/>
      <c r="C581" s="800"/>
      <c r="D581" s="800"/>
      <c r="E581" s="800"/>
      <c r="F581" s="800"/>
      <c r="G581" s="800"/>
      <c r="H581" s="801"/>
      <c r="I581" s="802"/>
      <c r="J581" s="801"/>
    </row>
    <row r="582">
      <c r="A582" s="800"/>
      <c r="B582" s="800"/>
      <c r="C582" s="800"/>
      <c r="D582" s="800"/>
      <c r="E582" s="800"/>
      <c r="F582" s="800"/>
      <c r="G582" s="800"/>
      <c r="H582" s="801"/>
      <c r="I582" s="802"/>
      <c r="J582" s="801"/>
    </row>
    <row r="583">
      <c r="A583" s="800"/>
      <c r="B583" s="800"/>
      <c r="C583" s="800"/>
      <c r="D583" s="800"/>
      <c r="E583" s="800"/>
      <c r="F583" s="800"/>
      <c r="G583" s="800"/>
      <c r="H583" s="801"/>
      <c r="I583" s="802"/>
      <c r="J583" s="801"/>
    </row>
    <row r="584">
      <c r="A584" s="800"/>
      <c r="B584" s="800"/>
      <c r="C584" s="800"/>
      <c r="D584" s="800"/>
      <c r="E584" s="800"/>
      <c r="F584" s="800"/>
      <c r="G584" s="800"/>
      <c r="H584" s="801"/>
      <c r="I584" s="802"/>
      <c r="J584" s="801"/>
    </row>
    <row r="585">
      <c r="A585" s="800"/>
      <c r="B585" s="800"/>
      <c r="C585" s="800"/>
      <c r="D585" s="800"/>
      <c r="E585" s="800"/>
      <c r="F585" s="800"/>
      <c r="G585" s="800"/>
      <c r="H585" s="801"/>
      <c r="I585" s="802"/>
      <c r="J585" s="801"/>
    </row>
    <row r="586">
      <c r="A586" s="800"/>
      <c r="B586" s="800"/>
      <c r="C586" s="800"/>
      <c r="D586" s="800"/>
      <c r="E586" s="800"/>
      <c r="F586" s="800"/>
      <c r="G586" s="800"/>
      <c r="H586" s="801"/>
      <c r="I586" s="802"/>
      <c r="J586" s="801"/>
    </row>
    <row r="587">
      <c r="A587" s="800"/>
      <c r="B587" s="800"/>
      <c r="C587" s="800"/>
      <c r="D587" s="800"/>
      <c r="E587" s="800"/>
      <c r="F587" s="800"/>
      <c r="G587" s="800"/>
      <c r="H587" s="801"/>
      <c r="I587" s="802"/>
      <c r="J587" s="801"/>
    </row>
    <row r="588">
      <c r="A588" s="800"/>
      <c r="B588" s="800"/>
      <c r="C588" s="800"/>
      <c r="D588" s="800"/>
      <c r="E588" s="800"/>
      <c r="F588" s="800"/>
      <c r="G588" s="800"/>
      <c r="H588" s="801"/>
      <c r="I588" s="802"/>
      <c r="J588" s="801"/>
    </row>
    <row r="589">
      <c r="A589" s="800"/>
      <c r="B589" s="800"/>
      <c r="C589" s="800"/>
      <c r="D589" s="800"/>
      <c r="E589" s="800"/>
      <c r="F589" s="800"/>
      <c r="G589" s="800"/>
      <c r="H589" s="801"/>
      <c r="I589" s="802"/>
      <c r="J589" s="801"/>
    </row>
    <row r="590">
      <c r="A590" s="800"/>
      <c r="B590" s="800"/>
      <c r="C590" s="800"/>
      <c r="D590" s="800"/>
      <c r="E590" s="800"/>
      <c r="F590" s="800"/>
      <c r="G590" s="800"/>
      <c r="H590" s="801"/>
      <c r="I590" s="802"/>
      <c r="J590" s="801"/>
    </row>
    <row r="591">
      <c r="A591" s="800"/>
      <c r="B591" s="800"/>
      <c r="C591" s="800"/>
      <c r="D591" s="800"/>
      <c r="E591" s="800"/>
      <c r="F591" s="800"/>
      <c r="G591" s="800"/>
      <c r="H591" s="801"/>
      <c r="I591" s="802"/>
      <c r="J591" s="801"/>
    </row>
    <row r="592">
      <c r="A592" s="800"/>
      <c r="B592" s="800"/>
      <c r="C592" s="800"/>
      <c r="D592" s="800"/>
      <c r="E592" s="800"/>
      <c r="F592" s="800"/>
      <c r="G592" s="800"/>
      <c r="H592" s="801"/>
      <c r="I592" s="802"/>
      <c r="J592" s="801"/>
    </row>
    <row r="593">
      <c r="A593" s="800"/>
      <c r="B593" s="800"/>
      <c r="C593" s="800"/>
      <c r="D593" s="800"/>
      <c r="E593" s="800"/>
      <c r="F593" s="800"/>
      <c r="G593" s="800"/>
      <c r="H593" s="801"/>
      <c r="I593" s="802"/>
      <c r="J593" s="801"/>
    </row>
    <row r="594">
      <c r="A594" s="800"/>
      <c r="B594" s="800"/>
      <c r="C594" s="800"/>
      <c r="D594" s="800"/>
      <c r="E594" s="800"/>
      <c r="F594" s="800"/>
      <c r="G594" s="800"/>
      <c r="H594" s="801"/>
      <c r="I594" s="802"/>
      <c r="J594" s="801"/>
    </row>
    <row r="595">
      <c r="A595" s="800"/>
      <c r="B595" s="800"/>
      <c r="C595" s="800"/>
      <c r="D595" s="800"/>
      <c r="E595" s="800"/>
      <c r="F595" s="800"/>
      <c r="G595" s="800"/>
      <c r="H595" s="801"/>
      <c r="I595" s="802"/>
      <c r="J595" s="801"/>
    </row>
    <row r="596">
      <c r="A596" s="800"/>
      <c r="B596" s="800"/>
      <c r="C596" s="800"/>
      <c r="D596" s="800"/>
      <c r="E596" s="800"/>
      <c r="F596" s="800"/>
      <c r="G596" s="800"/>
      <c r="H596" s="801"/>
      <c r="I596" s="802"/>
      <c r="J596" s="801"/>
    </row>
    <row r="597">
      <c r="A597" s="800"/>
      <c r="B597" s="800"/>
      <c r="C597" s="800"/>
      <c r="D597" s="800"/>
      <c r="E597" s="800"/>
      <c r="F597" s="800"/>
      <c r="G597" s="800"/>
      <c r="H597" s="801"/>
      <c r="I597" s="802"/>
      <c r="J597" s="801"/>
    </row>
    <row r="598">
      <c r="A598" s="800"/>
      <c r="B598" s="800"/>
      <c r="C598" s="800"/>
      <c r="D598" s="800"/>
      <c r="E598" s="800"/>
      <c r="F598" s="800"/>
      <c r="G598" s="800"/>
      <c r="H598" s="801"/>
      <c r="I598" s="802"/>
      <c r="J598" s="801"/>
    </row>
    <row r="599">
      <c r="A599" s="800"/>
      <c r="B599" s="800"/>
      <c r="C599" s="800"/>
      <c r="D599" s="800"/>
      <c r="E599" s="800"/>
      <c r="F599" s="800"/>
      <c r="G599" s="800"/>
      <c r="H599" s="801"/>
      <c r="I599" s="802"/>
      <c r="J599" s="801"/>
    </row>
    <row r="600">
      <c r="A600" s="800"/>
      <c r="B600" s="800"/>
      <c r="C600" s="800"/>
      <c r="D600" s="800"/>
      <c r="E600" s="800"/>
      <c r="F600" s="800"/>
      <c r="G600" s="800"/>
      <c r="H600" s="801"/>
      <c r="I600" s="802"/>
      <c r="J600" s="801"/>
    </row>
    <row r="601">
      <c r="A601" s="800"/>
      <c r="B601" s="800"/>
      <c r="C601" s="800"/>
      <c r="D601" s="800"/>
      <c r="E601" s="800"/>
      <c r="F601" s="800"/>
      <c r="G601" s="800"/>
      <c r="H601" s="801"/>
      <c r="I601" s="802"/>
      <c r="J601" s="801"/>
    </row>
    <row r="602">
      <c r="A602" s="800"/>
      <c r="B602" s="800"/>
      <c r="C602" s="800"/>
      <c r="D602" s="800"/>
      <c r="E602" s="800"/>
      <c r="F602" s="800"/>
      <c r="G602" s="800"/>
      <c r="H602" s="801"/>
      <c r="I602" s="802"/>
      <c r="J602" s="801"/>
    </row>
    <row r="603">
      <c r="A603" s="800"/>
      <c r="B603" s="800"/>
      <c r="C603" s="800"/>
      <c r="D603" s="800"/>
      <c r="E603" s="800"/>
      <c r="F603" s="800"/>
      <c r="G603" s="800"/>
      <c r="H603" s="801"/>
      <c r="I603" s="802"/>
      <c r="J603" s="801"/>
    </row>
    <row r="604">
      <c r="A604" s="800"/>
      <c r="B604" s="800"/>
      <c r="C604" s="800"/>
      <c r="D604" s="800"/>
      <c r="E604" s="800"/>
      <c r="F604" s="800"/>
      <c r="G604" s="800"/>
      <c r="H604" s="801"/>
      <c r="I604" s="802"/>
      <c r="J604" s="801"/>
    </row>
    <row r="605">
      <c r="A605" s="800"/>
      <c r="B605" s="800"/>
      <c r="C605" s="800"/>
      <c r="D605" s="800"/>
      <c r="E605" s="800"/>
      <c r="F605" s="800"/>
      <c r="G605" s="800"/>
      <c r="H605" s="801"/>
      <c r="I605" s="802"/>
      <c r="J605" s="801"/>
    </row>
    <row r="606">
      <c r="A606" s="800"/>
      <c r="B606" s="800"/>
      <c r="C606" s="800"/>
      <c r="D606" s="800"/>
      <c r="E606" s="800"/>
      <c r="F606" s="800"/>
      <c r="G606" s="800"/>
      <c r="H606" s="801"/>
      <c r="I606" s="802"/>
      <c r="J606" s="801"/>
    </row>
    <row r="607">
      <c r="A607" s="800"/>
      <c r="B607" s="800"/>
      <c r="C607" s="800"/>
      <c r="D607" s="800"/>
      <c r="E607" s="800"/>
      <c r="F607" s="800"/>
      <c r="G607" s="800"/>
      <c r="H607" s="801"/>
      <c r="I607" s="802"/>
      <c r="J607" s="801"/>
    </row>
    <row r="608">
      <c r="A608" s="800"/>
      <c r="B608" s="800"/>
      <c r="C608" s="800"/>
      <c r="D608" s="800"/>
      <c r="E608" s="800"/>
      <c r="F608" s="800"/>
      <c r="G608" s="800"/>
      <c r="H608" s="801"/>
      <c r="I608" s="802"/>
      <c r="J608" s="801"/>
    </row>
    <row r="609">
      <c r="A609" s="800"/>
      <c r="B609" s="800"/>
      <c r="C609" s="800"/>
      <c r="D609" s="800"/>
      <c r="E609" s="800"/>
      <c r="F609" s="800"/>
      <c r="G609" s="800"/>
      <c r="H609" s="801"/>
      <c r="I609" s="802"/>
      <c r="J609" s="801"/>
    </row>
    <row r="610">
      <c r="A610" s="800"/>
      <c r="B610" s="800"/>
      <c r="C610" s="800"/>
      <c r="D610" s="800"/>
      <c r="E610" s="800"/>
      <c r="F610" s="800"/>
      <c r="G610" s="800"/>
      <c r="H610" s="801"/>
      <c r="I610" s="802"/>
      <c r="J610" s="801"/>
    </row>
    <row r="611">
      <c r="A611" s="800"/>
      <c r="B611" s="800"/>
      <c r="C611" s="800"/>
      <c r="D611" s="800"/>
      <c r="E611" s="800"/>
      <c r="F611" s="800"/>
      <c r="G611" s="800"/>
      <c r="H611" s="801"/>
      <c r="I611" s="802"/>
      <c r="J611" s="801"/>
    </row>
    <row r="612">
      <c r="A612" s="800"/>
      <c r="B612" s="800"/>
      <c r="C612" s="800"/>
      <c r="D612" s="800"/>
      <c r="E612" s="800"/>
      <c r="F612" s="800"/>
      <c r="G612" s="800"/>
      <c r="H612" s="801"/>
      <c r="I612" s="802"/>
      <c r="J612" s="801"/>
    </row>
    <row r="613">
      <c r="A613" s="800"/>
      <c r="B613" s="800"/>
      <c r="C613" s="800"/>
      <c r="D613" s="800"/>
      <c r="E613" s="800"/>
      <c r="F613" s="800"/>
      <c r="G613" s="800"/>
      <c r="H613" s="801"/>
      <c r="I613" s="802"/>
      <c r="J613" s="801"/>
    </row>
    <row r="614">
      <c r="A614" s="800"/>
      <c r="B614" s="800"/>
      <c r="C614" s="800"/>
      <c r="D614" s="800"/>
      <c r="E614" s="800"/>
      <c r="F614" s="800"/>
      <c r="G614" s="800"/>
      <c r="H614" s="801"/>
      <c r="I614" s="802"/>
      <c r="J614" s="801"/>
    </row>
    <row r="615">
      <c r="A615" s="800"/>
      <c r="B615" s="800"/>
      <c r="C615" s="800"/>
      <c r="D615" s="800"/>
      <c r="E615" s="800"/>
      <c r="F615" s="800"/>
      <c r="G615" s="800"/>
      <c r="H615" s="801"/>
      <c r="I615" s="802"/>
      <c r="J615" s="801"/>
    </row>
    <row r="616">
      <c r="A616" s="800"/>
      <c r="B616" s="800"/>
      <c r="C616" s="800"/>
      <c r="D616" s="800"/>
      <c r="E616" s="800"/>
      <c r="F616" s="800"/>
      <c r="G616" s="800"/>
      <c r="H616" s="801"/>
      <c r="I616" s="802"/>
      <c r="J616" s="801"/>
    </row>
    <row r="617">
      <c r="A617" s="800"/>
      <c r="B617" s="800"/>
      <c r="C617" s="800"/>
      <c r="D617" s="800"/>
      <c r="E617" s="800"/>
      <c r="F617" s="800"/>
      <c r="G617" s="800"/>
      <c r="H617" s="801"/>
      <c r="I617" s="802"/>
      <c r="J617" s="801"/>
    </row>
    <row r="618">
      <c r="A618" s="800"/>
      <c r="B618" s="800"/>
      <c r="C618" s="800"/>
      <c r="D618" s="800"/>
      <c r="E618" s="800"/>
      <c r="F618" s="800"/>
      <c r="G618" s="800"/>
      <c r="H618" s="801"/>
      <c r="I618" s="802"/>
      <c r="J618" s="801"/>
    </row>
    <row r="619">
      <c r="A619" s="800"/>
      <c r="B619" s="800"/>
      <c r="C619" s="800"/>
      <c r="D619" s="800"/>
      <c r="E619" s="800"/>
      <c r="F619" s="800"/>
      <c r="G619" s="800"/>
      <c r="H619" s="801"/>
      <c r="I619" s="802"/>
      <c r="J619" s="801"/>
    </row>
    <row r="620">
      <c r="A620" s="800"/>
      <c r="B620" s="800"/>
      <c r="C620" s="800"/>
      <c r="D620" s="800"/>
      <c r="E620" s="800"/>
      <c r="F620" s="800"/>
      <c r="G620" s="800"/>
      <c r="H620" s="801"/>
      <c r="I620" s="802"/>
      <c r="J620" s="801"/>
    </row>
    <row r="621">
      <c r="A621" s="800"/>
      <c r="B621" s="800"/>
      <c r="C621" s="800"/>
      <c r="D621" s="800"/>
      <c r="E621" s="800"/>
      <c r="F621" s="800"/>
      <c r="G621" s="800"/>
      <c r="H621" s="801"/>
      <c r="I621" s="802"/>
      <c r="J621" s="801"/>
    </row>
    <row r="622">
      <c r="A622" s="800"/>
      <c r="B622" s="800"/>
      <c r="C622" s="800"/>
      <c r="D622" s="800"/>
      <c r="E622" s="800"/>
      <c r="F622" s="800"/>
      <c r="G622" s="800"/>
      <c r="H622" s="801"/>
      <c r="I622" s="802"/>
      <c r="J622" s="801"/>
    </row>
    <row r="623">
      <c r="A623" s="800"/>
      <c r="B623" s="800"/>
      <c r="C623" s="800"/>
      <c r="D623" s="800"/>
      <c r="E623" s="800"/>
      <c r="F623" s="800"/>
      <c r="G623" s="800"/>
      <c r="H623" s="801"/>
      <c r="I623" s="802"/>
      <c r="J623" s="801"/>
    </row>
    <row r="624">
      <c r="A624" s="800"/>
      <c r="B624" s="800"/>
      <c r="C624" s="800"/>
      <c r="D624" s="800"/>
      <c r="E624" s="800"/>
      <c r="F624" s="800"/>
      <c r="G624" s="800"/>
      <c r="H624" s="801"/>
      <c r="I624" s="802"/>
      <c r="J624" s="801"/>
    </row>
    <row r="625">
      <c r="A625" s="800"/>
      <c r="B625" s="800"/>
      <c r="C625" s="800"/>
      <c r="D625" s="800"/>
      <c r="E625" s="800"/>
      <c r="F625" s="800"/>
      <c r="G625" s="800"/>
      <c r="H625" s="801"/>
      <c r="I625" s="802"/>
      <c r="J625" s="801"/>
    </row>
    <row r="626">
      <c r="A626" s="800"/>
      <c r="B626" s="800"/>
      <c r="C626" s="800"/>
      <c r="D626" s="800"/>
      <c r="E626" s="800"/>
      <c r="F626" s="800"/>
      <c r="G626" s="800"/>
      <c r="H626" s="801"/>
      <c r="I626" s="802"/>
      <c r="J626" s="801"/>
    </row>
    <row r="627">
      <c r="A627" s="800"/>
      <c r="B627" s="800"/>
      <c r="C627" s="800"/>
      <c r="D627" s="800"/>
      <c r="E627" s="800"/>
      <c r="F627" s="800"/>
      <c r="G627" s="800"/>
      <c r="H627" s="801"/>
      <c r="I627" s="802"/>
      <c r="J627" s="801"/>
    </row>
    <row r="628">
      <c r="A628" s="800"/>
      <c r="B628" s="800"/>
      <c r="C628" s="800"/>
      <c r="D628" s="800"/>
      <c r="E628" s="800"/>
      <c r="F628" s="800"/>
      <c r="G628" s="800"/>
      <c r="H628" s="801"/>
      <c r="I628" s="802"/>
      <c r="J628" s="801"/>
    </row>
    <row r="629">
      <c r="A629" s="800"/>
      <c r="B629" s="800"/>
      <c r="C629" s="800"/>
      <c r="D629" s="800"/>
      <c r="E629" s="800"/>
      <c r="F629" s="800"/>
      <c r="G629" s="800"/>
      <c r="H629" s="801"/>
      <c r="I629" s="802"/>
      <c r="J629" s="801"/>
    </row>
    <row r="630">
      <c r="A630" s="800"/>
      <c r="B630" s="800"/>
      <c r="C630" s="800"/>
      <c r="D630" s="800"/>
      <c r="E630" s="800"/>
      <c r="F630" s="800"/>
      <c r="G630" s="800"/>
      <c r="H630" s="801"/>
      <c r="I630" s="802"/>
      <c r="J630" s="801"/>
    </row>
    <row r="631">
      <c r="A631" s="800"/>
      <c r="B631" s="800"/>
      <c r="C631" s="800"/>
      <c r="D631" s="800"/>
      <c r="E631" s="800"/>
      <c r="F631" s="800"/>
      <c r="G631" s="800"/>
      <c r="H631" s="801"/>
      <c r="I631" s="802"/>
      <c r="J631" s="801"/>
    </row>
    <row r="632">
      <c r="A632" s="800"/>
      <c r="B632" s="800"/>
      <c r="C632" s="800"/>
      <c r="D632" s="800"/>
      <c r="E632" s="800"/>
      <c r="F632" s="800"/>
      <c r="G632" s="800"/>
      <c r="H632" s="801"/>
      <c r="I632" s="802"/>
      <c r="J632" s="801"/>
    </row>
    <row r="633">
      <c r="A633" s="800"/>
      <c r="B633" s="800"/>
      <c r="C633" s="800"/>
      <c r="D633" s="800"/>
      <c r="E633" s="800"/>
      <c r="F633" s="800"/>
      <c r="G633" s="800"/>
      <c r="H633" s="801"/>
      <c r="I633" s="802"/>
      <c r="J633" s="801"/>
    </row>
    <row r="634">
      <c r="A634" s="800"/>
      <c r="B634" s="800"/>
      <c r="C634" s="800"/>
      <c r="D634" s="800"/>
      <c r="E634" s="800"/>
      <c r="F634" s="800"/>
      <c r="G634" s="800"/>
      <c r="H634" s="801"/>
      <c r="I634" s="802"/>
      <c r="J634" s="801"/>
    </row>
    <row r="635">
      <c r="A635" s="800"/>
      <c r="B635" s="800"/>
      <c r="C635" s="800"/>
      <c r="D635" s="800"/>
      <c r="E635" s="800"/>
      <c r="F635" s="800"/>
      <c r="G635" s="800"/>
      <c r="H635" s="801"/>
      <c r="I635" s="802"/>
      <c r="J635" s="801"/>
    </row>
    <row r="636">
      <c r="A636" s="800"/>
      <c r="B636" s="800"/>
      <c r="C636" s="800"/>
      <c r="D636" s="800"/>
      <c r="E636" s="800"/>
      <c r="F636" s="800"/>
      <c r="G636" s="800"/>
      <c r="H636" s="801"/>
      <c r="I636" s="802"/>
      <c r="J636" s="801"/>
    </row>
    <row r="637">
      <c r="A637" s="800"/>
      <c r="B637" s="800"/>
      <c r="C637" s="800"/>
      <c r="D637" s="800"/>
      <c r="E637" s="800"/>
      <c r="F637" s="800"/>
      <c r="G637" s="800"/>
      <c r="H637" s="801"/>
      <c r="I637" s="802"/>
      <c r="J637" s="801"/>
    </row>
    <row r="638">
      <c r="A638" s="800"/>
      <c r="B638" s="800"/>
      <c r="C638" s="800"/>
      <c r="D638" s="800"/>
      <c r="E638" s="800"/>
      <c r="F638" s="800"/>
      <c r="G638" s="800"/>
      <c r="H638" s="801"/>
      <c r="I638" s="802"/>
      <c r="J638" s="801"/>
    </row>
    <row r="639">
      <c r="A639" s="800"/>
      <c r="B639" s="800"/>
      <c r="C639" s="800"/>
      <c r="D639" s="800"/>
      <c r="E639" s="800"/>
      <c r="F639" s="800"/>
      <c r="G639" s="800"/>
      <c r="H639" s="801"/>
      <c r="I639" s="802"/>
      <c r="J639" s="801"/>
    </row>
    <row r="640">
      <c r="A640" s="800"/>
      <c r="B640" s="800"/>
      <c r="C640" s="800"/>
      <c r="D640" s="800"/>
      <c r="E640" s="800"/>
      <c r="F640" s="800"/>
      <c r="G640" s="800"/>
      <c r="H640" s="801"/>
      <c r="I640" s="802"/>
      <c r="J640" s="801"/>
    </row>
    <row r="641">
      <c r="A641" s="800"/>
      <c r="B641" s="800"/>
      <c r="C641" s="800"/>
      <c r="D641" s="800"/>
      <c r="E641" s="800"/>
      <c r="F641" s="800"/>
      <c r="G641" s="800"/>
      <c r="H641" s="801"/>
      <c r="I641" s="802"/>
      <c r="J641" s="801"/>
    </row>
    <row r="642">
      <c r="A642" s="800"/>
      <c r="B642" s="800"/>
      <c r="C642" s="800"/>
      <c r="D642" s="800"/>
      <c r="E642" s="800"/>
      <c r="F642" s="800"/>
      <c r="G642" s="800"/>
      <c r="H642" s="801"/>
      <c r="I642" s="802"/>
      <c r="J642" s="801"/>
    </row>
    <row r="643">
      <c r="A643" s="800"/>
      <c r="B643" s="800"/>
      <c r="C643" s="800"/>
      <c r="D643" s="800"/>
      <c r="E643" s="800"/>
      <c r="F643" s="800"/>
      <c r="G643" s="800"/>
      <c r="H643" s="801"/>
      <c r="I643" s="802"/>
      <c r="J643" s="801"/>
    </row>
    <row r="644">
      <c r="A644" s="800"/>
      <c r="B644" s="800"/>
      <c r="C644" s="800"/>
      <c r="D644" s="800"/>
      <c r="E644" s="800"/>
      <c r="F644" s="800"/>
      <c r="G644" s="800"/>
      <c r="H644" s="801"/>
      <c r="I644" s="802"/>
      <c r="J644" s="801"/>
    </row>
    <row r="645">
      <c r="A645" s="800"/>
      <c r="B645" s="800"/>
      <c r="C645" s="800"/>
      <c r="D645" s="800"/>
      <c r="E645" s="800"/>
      <c r="F645" s="800"/>
      <c r="G645" s="800"/>
      <c r="H645" s="801"/>
      <c r="I645" s="802"/>
      <c r="J645" s="801"/>
    </row>
    <row r="646">
      <c r="A646" s="800"/>
      <c r="B646" s="800"/>
      <c r="C646" s="800"/>
      <c r="D646" s="800"/>
      <c r="E646" s="800"/>
      <c r="F646" s="800"/>
      <c r="G646" s="800"/>
      <c r="H646" s="801"/>
      <c r="I646" s="802"/>
      <c r="J646" s="801"/>
    </row>
    <row r="647">
      <c r="A647" s="800"/>
      <c r="B647" s="800"/>
      <c r="C647" s="800"/>
      <c r="D647" s="800"/>
      <c r="E647" s="800"/>
      <c r="F647" s="800"/>
      <c r="G647" s="800"/>
      <c r="H647" s="801"/>
      <c r="I647" s="802"/>
      <c r="J647" s="801"/>
    </row>
    <row r="648">
      <c r="A648" s="800"/>
      <c r="B648" s="800"/>
      <c r="C648" s="800"/>
      <c r="D648" s="800"/>
      <c r="E648" s="800"/>
      <c r="F648" s="800"/>
      <c r="G648" s="800"/>
      <c r="H648" s="801"/>
      <c r="I648" s="802"/>
      <c r="J648" s="801"/>
    </row>
    <row r="649">
      <c r="A649" s="800"/>
      <c r="B649" s="800"/>
      <c r="C649" s="800"/>
      <c r="D649" s="800"/>
      <c r="E649" s="800"/>
      <c r="F649" s="800"/>
      <c r="G649" s="800"/>
      <c r="H649" s="801"/>
      <c r="I649" s="802"/>
      <c r="J649" s="801"/>
    </row>
    <row r="650">
      <c r="A650" s="800"/>
      <c r="B650" s="800"/>
      <c r="C650" s="800"/>
      <c r="D650" s="800"/>
      <c r="E650" s="800"/>
      <c r="F650" s="800"/>
      <c r="G650" s="800"/>
      <c r="H650" s="801"/>
      <c r="I650" s="802"/>
      <c r="J650" s="801"/>
    </row>
    <row r="651">
      <c r="A651" s="800"/>
      <c r="B651" s="800"/>
      <c r="C651" s="800"/>
      <c r="D651" s="800"/>
      <c r="E651" s="800"/>
      <c r="F651" s="800"/>
      <c r="G651" s="800"/>
      <c r="H651" s="801"/>
      <c r="I651" s="802"/>
      <c r="J651" s="801"/>
    </row>
    <row r="652">
      <c r="A652" s="800"/>
      <c r="B652" s="800"/>
      <c r="C652" s="800"/>
      <c r="D652" s="800"/>
      <c r="E652" s="800"/>
      <c r="F652" s="800"/>
      <c r="G652" s="800"/>
      <c r="H652" s="801"/>
      <c r="I652" s="802"/>
      <c r="J652" s="801"/>
    </row>
    <row r="653">
      <c r="A653" s="800"/>
      <c r="B653" s="800"/>
      <c r="C653" s="800"/>
      <c r="D653" s="800"/>
      <c r="E653" s="800"/>
      <c r="F653" s="800"/>
      <c r="G653" s="800"/>
      <c r="H653" s="801"/>
      <c r="I653" s="802"/>
      <c r="J653" s="801"/>
    </row>
    <row r="654">
      <c r="A654" s="800"/>
      <c r="B654" s="800"/>
      <c r="C654" s="800"/>
      <c r="D654" s="800"/>
      <c r="E654" s="800"/>
      <c r="F654" s="800"/>
      <c r="G654" s="800"/>
      <c r="H654" s="801"/>
      <c r="I654" s="802"/>
      <c r="J654" s="801"/>
    </row>
    <row r="655">
      <c r="A655" s="800"/>
      <c r="B655" s="800"/>
      <c r="C655" s="800"/>
      <c r="D655" s="800"/>
      <c r="E655" s="800"/>
      <c r="F655" s="800"/>
      <c r="G655" s="800"/>
      <c r="H655" s="801"/>
      <c r="I655" s="802"/>
      <c r="J655" s="801"/>
    </row>
    <row r="656">
      <c r="A656" s="800"/>
      <c r="B656" s="800"/>
      <c r="C656" s="800"/>
      <c r="D656" s="800"/>
      <c r="E656" s="800"/>
      <c r="F656" s="800"/>
      <c r="G656" s="800"/>
      <c r="H656" s="801"/>
      <c r="I656" s="802"/>
      <c r="J656" s="801"/>
    </row>
    <row r="657">
      <c r="A657" s="800"/>
      <c r="B657" s="800"/>
      <c r="C657" s="800"/>
      <c r="D657" s="800"/>
      <c r="E657" s="800"/>
      <c r="F657" s="800"/>
      <c r="G657" s="800"/>
      <c r="H657" s="801"/>
      <c r="I657" s="802"/>
      <c r="J657" s="801"/>
    </row>
    <row r="658">
      <c r="A658" s="800"/>
      <c r="B658" s="800"/>
      <c r="C658" s="800"/>
      <c r="D658" s="800"/>
      <c r="E658" s="800"/>
      <c r="F658" s="800"/>
      <c r="G658" s="800"/>
      <c r="H658" s="801"/>
      <c r="I658" s="802"/>
      <c r="J658" s="801"/>
    </row>
    <row r="659">
      <c r="A659" s="800"/>
      <c r="B659" s="800"/>
      <c r="C659" s="800"/>
      <c r="D659" s="800"/>
      <c r="E659" s="800"/>
      <c r="F659" s="800"/>
      <c r="G659" s="800"/>
      <c r="H659" s="801"/>
      <c r="I659" s="802"/>
      <c r="J659" s="801"/>
    </row>
    <row r="660">
      <c r="A660" s="800"/>
      <c r="B660" s="800"/>
      <c r="C660" s="800"/>
      <c r="D660" s="800"/>
      <c r="E660" s="800"/>
      <c r="F660" s="800"/>
      <c r="G660" s="800"/>
      <c r="H660" s="801"/>
      <c r="I660" s="802"/>
      <c r="J660" s="801"/>
    </row>
    <row r="661">
      <c r="A661" s="800"/>
      <c r="B661" s="800"/>
      <c r="C661" s="800"/>
      <c r="D661" s="800"/>
      <c r="E661" s="800"/>
      <c r="F661" s="800"/>
      <c r="G661" s="800"/>
      <c r="H661" s="801"/>
      <c r="I661" s="802"/>
      <c r="J661" s="801"/>
    </row>
    <row r="662">
      <c r="A662" s="800"/>
      <c r="B662" s="800"/>
      <c r="C662" s="800"/>
      <c r="D662" s="800"/>
      <c r="E662" s="800"/>
      <c r="F662" s="800"/>
      <c r="G662" s="800"/>
      <c r="H662" s="801"/>
      <c r="I662" s="802"/>
      <c r="J662" s="801"/>
    </row>
    <row r="663">
      <c r="A663" s="800"/>
      <c r="B663" s="800"/>
      <c r="C663" s="800"/>
      <c r="D663" s="800"/>
      <c r="E663" s="800"/>
      <c r="F663" s="800"/>
      <c r="G663" s="800"/>
      <c r="H663" s="801"/>
      <c r="I663" s="802"/>
      <c r="J663" s="801"/>
    </row>
    <row r="664">
      <c r="A664" s="800"/>
      <c r="B664" s="800"/>
      <c r="C664" s="800"/>
      <c r="D664" s="800"/>
      <c r="E664" s="800"/>
      <c r="F664" s="800"/>
      <c r="G664" s="800"/>
      <c r="H664" s="801"/>
      <c r="I664" s="802"/>
      <c r="J664" s="801"/>
    </row>
    <row r="665">
      <c r="A665" s="800"/>
      <c r="B665" s="800"/>
      <c r="C665" s="800"/>
      <c r="D665" s="800"/>
      <c r="E665" s="800"/>
      <c r="F665" s="800"/>
      <c r="G665" s="800"/>
      <c r="H665" s="801"/>
      <c r="I665" s="802"/>
      <c r="J665" s="801"/>
    </row>
    <row r="666">
      <c r="A666" s="800"/>
      <c r="B666" s="800"/>
      <c r="C666" s="800"/>
      <c r="D666" s="800"/>
      <c r="E666" s="800"/>
      <c r="F666" s="800"/>
      <c r="G666" s="800"/>
      <c r="H666" s="801"/>
      <c r="I666" s="802"/>
      <c r="J666" s="801"/>
    </row>
    <row r="667">
      <c r="A667" s="800"/>
      <c r="B667" s="800"/>
      <c r="C667" s="800"/>
      <c r="D667" s="800"/>
      <c r="E667" s="800"/>
      <c r="F667" s="800"/>
      <c r="G667" s="800"/>
      <c r="H667" s="801"/>
      <c r="I667" s="802"/>
      <c r="J667" s="801"/>
    </row>
    <row r="668">
      <c r="A668" s="800"/>
      <c r="B668" s="800"/>
      <c r="C668" s="800"/>
      <c r="D668" s="800"/>
      <c r="E668" s="800"/>
      <c r="F668" s="800"/>
      <c r="G668" s="800"/>
      <c r="H668" s="801"/>
      <c r="I668" s="802"/>
      <c r="J668" s="801"/>
    </row>
    <row r="669">
      <c r="A669" s="800"/>
      <c r="B669" s="800"/>
      <c r="C669" s="800"/>
      <c r="D669" s="800"/>
      <c r="E669" s="800"/>
      <c r="F669" s="800"/>
      <c r="G669" s="800"/>
      <c r="H669" s="801"/>
      <c r="I669" s="802"/>
      <c r="J669" s="801"/>
    </row>
    <row r="670">
      <c r="A670" s="800"/>
      <c r="B670" s="800"/>
      <c r="C670" s="800"/>
      <c r="D670" s="800"/>
      <c r="E670" s="800"/>
      <c r="F670" s="800"/>
      <c r="G670" s="800"/>
      <c r="H670" s="801"/>
      <c r="I670" s="802"/>
      <c r="J670" s="801"/>
    </row>
    <row r="671">
      <c r="A671" s="800"/>
      <c r="B671" s="800"/>
      <c r="C671" s="800"/>
      <c r="D671" s="800"/>
      <c r="E671" s="800"/>
      <c r="F671" s="800"/>
      <c r="G671" s="800"/>
      <c r="H671" s="801"/>
      <c r="I671" s="802"/>
      <c r="J671" s="801"/>
    </row>
    <row r="672">
      <c r="A672" s="800"/>
      <c r="B672" s="800"/>
      <c r="C672" s="800"/>
      <c r="D672" s="800"/>
      <c r="E672" s="800"/>
      <c r="F672" s="800"/>
      <c r="G672" s="800"/>
      <c r="H672" s="801"/>
      <c r="I672" s="802"/>
      <c r="J672" s="801"/>
    </row>
    <row r="673">
      <c r="A673" s="800"/>
      <c r="B673" s="800"/>
      <c r="C673" s="800"/>
      <c r="D673" s="800"/>
      <c r="E673" s="800"/>
      <c r="F673" s="800"/>
      <c r="G673" s="800"/>
      <c r="H673" s="801"/>
      <c r="I673" s="802"/>
      <c r="J673" s="801"/>
    </row>
    <row r="674">
      <c r="A674" s="800"/>
      <c r="B674" s="800"/>
      <c r="C674" s="800"/>
      <c r="D674" s="800"/>
      <c r="E674" s="800"/>
      <c r="F674" s="800"/>
      <c r="G674" s="800"/>
      <c r="H674" s="801"/>
      <c r="I674" s="802"/>
      <c r="J674" s="801"/>
    </row>
    <row r="675">
      <c r="A675" s="800"/>
      <c r="B675" s="800"/>
      <c r="C675" s="800"/>
      <c r="D675" s="800"/>
      <c r="E675" s="800"/>
      <c r="F675" s="800"/>
      <c r="G675" s="800"/>
      <c r="H675" s="801"/>
      <c r="I675" s="802"/>
      <c r="J675" s="801"/>
    </row>
    <row r="676">
      <c r="A676" s="800"/>
      <c r="B676" s="800"/>
      <c r="C676" s="800"/>
      <c r="D676" s="800"/>
      <c r="E676" s="800"/>
      <c r="F676" s="800"/>
      <c r="G676" s="800"/>
      <c r="H676" s="801"/>
      <c r="I676" s="802"/>
      <c r="J676" s="801"/>
    </row>
    <row r="677">
      <c r="A677" s="800"/>
      <c r="B677" s="800"/>
      <c r="C677" s="800"/>
      <c r="D677" s="800"/>
      <c r="E677" s="800"/>
      <c r="F677" s="800"/>
      <c r="G677" s="800"/>
      <c r="H677" s="801"/>
      <c r="I677" s="802"/>
      <c r="J677" s="801"/>
    </row>
    <row r="678">
      <c r="A678" s="800"/>
      <c r="B678" s="800"/>
      <c r="C678" s="800"/>
      <c r="D678" s="800"/>
      <c r="E678" s="800"/>
      <c r="F678" s="800"/>
      <c r="G678" s="800"/>
      <c r="H678" s="801"/>
      <c r="I678" s="802"/>
      <c r="J678" s="801"/>
    </row>
    <row r="679">
      <c r="A679" s="800"/>
      <c r="B679" s="800"/>
      <c r="C679" s="800"/>
      <c r="D679" s="800"/>
      <c r="E679" s="800"/>
      <c r="F679" s="800"/>
      <c r="G679" s="800"/>
      <c r="H679" s="801"/>
      <c r="I679" s="802"/>
      <c r="J679" s="801"/>
    </row>
    <row r="680">
      <c r="A680" s="800"/>
      <c r="B680" s="800"/>
      <c r="C680" s="800"/>
      <c r="D680" s="800"/>
      <c r="E680" s="800"/>
      <c r="F680" s="800"/>
      <c r="G680" s="800"/>
      <c r="H680" s="801"/>
      <c r="I680" s="802"/>
      <c r="J680" s="801"/>
    </row>
    <row r="681">
      <c r="A681" s="800"/>
      <c r="B681" s="800"/>
      <c r="C681" s="800"/>
      <c r="D681" s="800"/>
      <c r="E681" s="800"/>
      <c r="F681" s="800"/>
      <c r="G681" s="800"/>
      <c r="H681" s="801"/>
      <c r="I681" s="802"/>
      <c r="J681" s="801"/>
    </row>
    <row r="682">
      <c r="A682" s="800"/>
      <c r="B682" s="800"/>
      <c r="C682" s="800"/>
      <c r="D682" s="800"/>
      <c r="E682" s="800"/>
      <c r="F682" s="800"/>
      <c r="G682" s="800"/>
      <c r="H682" s="801"/>
      <c r="I682" s="802"/>
      <c r="J682" s="801"/>
    </row>
    <row r="683">
      <c r="A683" s="800"/>
      <c r="B683" s="800"/>
      <c r="C683" s="800"/>
      <c r="D683" s="800"/>
      <c r="E683" s="800"/>
      <c r="F683" s="800"/>
      <c r="G683" s="800"/>
      <c r="H683" s="801"/>
      <c r="I683" s="802"/>
      <c r="J683" s="801"/>
    </row>
    <row r="684">
      <c r="A684" s="800"/>
      <c r="B684" s="800"/>
      <c r="C684" s="800"/>
      <c r="D684" s="800"/>
      <c r="E684" s="800"/>
      <c r="F684" s="800"/>
      <c r="G684" s="800"/>
      <c r="H684" s="801"/>
      <c r="I684" s="802"/>
      <c r="J684" s="801"/>
    </row>
    <row r="685">
      <c r="A685" s="800"/>
      <c r="B685" s="800"/>
      <c r="C685" s="800"/>
      <c r="D685" s="800"/>
      <c r="E685" s="800"/>
      <c r="F685" s="800"/>
      <c r="G685" s="800"/>
      <c r="H685" s="801"/>
      <c r="I685" s="802"/>
      <c r="J685" s="801"/>
    </row>
    <row r="686">
      <c r="A686" s="800"/>
      <c r="B686" s="800"/>
      <c r="C686" s="800"/>
      <c r="D686" s="800"/>
      <c r="E686" s="800"/>
      <c r="F686" s="800"/>
      <c r="G686" s="800"/>
      <c r="H686" s="801"/>
      <c r="I686" s="802"/>
      <c r="J686" s="801"/>
    </row>
    <row r="687">
      <c r="A687" s="800"/>
      <c r="B687" s="800"/>
      <c r="C687" s="800"/>
      <c r="D687" s="800"/>
      <c r="E687" s="800"/>
      <c r="F687" s="800"/>
      <c r="G687" s="800"/>
      <c r="H687" s="801"/>
      <c r="I687" s="802"/>
      <c r="J687" s="801"/>
    </row>
    <row r="688">
      <c r="A688" s="800"/>
      <c r="B688" s="800"/>
      <c r="C688" s="800"/>
      <c r="D688" s="800"/>
      <c r="E688" s="800"/>
      <c r="F688" s="800"/>
      <c r="G688" s="800"/>
      <c r="H688" s="801"/>
      <c r="I688" s="802"/>
      <c r="J688" s="801"/>
    </row>
    <row r="689">
      <c r="A689" s="800"/>
      <c r="B689" s="800"/>
      <c r="C689" s="800"/>
      <c r="D689" s="800"/>
      <c r="E689" s="800"/>
      <c r="F689" s="800"/>
      <c r="G689" s="800"/>
      <c r="H689" s="801"/>
      <c r="I689" s="802"/>
      <c r="J689" s="801"/>
    </row>
    <row r="690">
      <c r="A690" s="800"/>
      <c r="B690" s="800"/>
      <c r="C690" s="800"/>
      <c r="D690" s="800"/>
      <c r="E690" s="800"/>
      <c r="F690" s="800"/>
      <c r="G690" s="800"/>
      <c r="H690" s="801"/>
      <c r="I690" s="802"/>
      <c r="J690" s="801"/>
    </row>
    <row r="691">
      <c r="A691" s="800"/>
      <c r="B691" s="800"/>
      <c r="C691" s="800"/>
      <c r="D691" s="800"/>
      <c r="E691" s="800"/>
      <c r="F691" s="800"/>
      <c r="G691" s="800"/>
      <c r="H691" s="801"/>
      <c r="I691" s="802"/>
      <c r="J691" s="801"/>
    </row>
    <row r="692">
      <c r="A692" s="800"/>
      <c r="B692" s="800"/>
      <c r="C692" s="800"/>
      <c r="D692" s="800"/>
      <c r="E692" s="800"/>
      <c r="F692" s="800"/>
      <c r="G692" s="800"/>
      <c r="H692" s="801"/>
      <c r="I692" s="802"/>
      <c r="J692" s="801"/>
    </row>
    <row r="693">
      <c r="A693" s="800"/>
      <c r="B693" s="800"/>
      <c r="C693" s="800"/>
      <c r="D693" s="800"/>
      <c r="E693" s="800"/>
      <c r="F693" s="800"/>
      <c r="G693" s="800"/>
      <c r="H693" s="801"/>
      <c r="I693" s="802"/>
      <c r="J693" s="801"/>
    </row>
    <row r="694">
      <c r="A694" s="800"/>
      <c r="B694" s="800"/>
      <c r="C694" s="800"/>
      <c r="D694" s="800"/>
      <c r="E694" s="800"/>
      <c r="F694" s="800"/>
      <c r="G694" s="800"/>
      <c r="H694" s="801"/>
      <c r="I694" s="802"/>
      <c r="J694" s="801"/>
    </row>
    <row r="695">
      <c r="A695" s="800"/>
      <c r="B695" s="800"/>
      <c r="C695" s="800"/>
      <c r="D695" s="800"/>
      <c r="E695" s="800"/>
      <c r="F695" s="800"/>
      <c r="G695" s="800"/>
      <c r="H695" s="801"/>
      <c r="I695" s="802"/>
      <c r="J695" s="801"/>
    </row>
    <row r="696">
      <c r="A696" s="800"/>
      <c r="B696" s="800"/>
      <c r="C696" s="800"/>
      <c r="D696" s="800"/>
      <c r="E696" s="800"/>
      <c r="F696" s="800"/>
      <c r="G696" s="800"/>
      <c r="H696" s="801"/>
      <c r="I696" s="802"/>
      <c r="J696" s="801"/>
    </row>
    <row r="697">
      <c r="A697" s="800"/>
      <c r="B697" s="800"/>
      <c r="C697" s="800"/>
      <c r="D697" s="800"/>
      <c r="E697" s="800"/>
      <c r="F697" s="800"/>
      <c r="G697" s="800"/>
      <c r="H697" s="801"/>
      <c r="I697" s="802"/>
      <c r="J697" s="801"/>
    </row>
    <row r="698">
      <c r="A698" s="800"/>
      <c r="B698" s="800"/>
      <c r="C698" s="800"/>
      <c r="D698" s="800"/>
      <c r="E698" s="800"/>
      <c r="F698" s="800"/>
      <c r="G698" s="800"/>
      <c r="H698" s="801"/>
      <c r="I698" s="802"/>
      <c r="J698" s="801"/>
    </row>
    <row r="699">
      <c r="A699" s="800"/>
      <c r="B699" s="800"/>
      <c r="C699" s="800"/>
      <c r="D699" s="800"/>
      <c r="E699" s="800"/>
      <c r="F699" s="800"/>
      <c r="G699" s="800"/>
      <c r="H699" s="801"/>
      <c r="I699" s="802"/>
      <c r="J699" s="801"/>
    </row>
    <row r="700">
      <c r="A700" s="800"/>
      <c r="B700" s="800"/>
      <c r="C700" s="800"/>
      <c r="D700" s="800"/>
      <c r="E700" s="800"/>
      <c r="F700" s="800"/>
      <c r="G700" s="800"/>
      <c r="H700" s="801"/>
      <c r="I700" s="802"/>
      <c r="J700" s="801"/>
    </row>
    <row r="701">
      <c r="A701" s="800"/>
      <c r="B701" s="800"/>
      <c r="C701" s="800"/>
      <c r="D701" s="800"/>
      <c r="E701" s="800"/>
      <c r="F701" s="800"/>
      <c r="G701" s="800"/>
      <c r="H701" s="801"/>
      <c r="I701" s="802"/>
      <c r="J701" s="801"/>
    </row>
    <row r="702">
      <c r="A702" s="800"/>
      <c r="B702" s="800"/>
      <c r="C702" s="800"/>
      <c r="D702" s="800"/>
      <c r="E702" s="800"/>
      <c r="F702" s="800"/>
      <c r="G702" s="800"/>
      <c r="H702" s="801"/>
      <c r="I702" s="802"/>
      <c r="J702" s="801"/>
    </row>
    <row r="703">
      <c r="A703" s="800"/>
      <c r="B703" s="800"/>
      <c r="C703" s="800"/>
      <c r="D703" s="800"/>
      <c r="E703" s="800"/>
      <c r="F703" s="800"/>
      <c r="G703" s="800"/>
      <c r="H703" s="801"/>
      <c r="I703" s="802"/>
      <c r="J703" s="801"/>
    </row>
    <row r="704">
      <c r="A704" s="800"/>
      <c r="B704" s="800"/>
      <c r="C704" s="800"/>
      <c r="D704" s="800"/>
      <c r="E704" s="800"/>
      <c r="F704" s="800"/>
      <c r="G704" s="800"/>
      <c r="H704" s="801"/>
      <c r="I704" s="802"/>
      <c r="J704" s="801"/>
    </row>
    <row r="705">
      <c r="A705" s="800"/>
      <c r="B705" s="800"/>
      <c r="C705" s="800"/>
      <c r="D705" s="800"/>
      <c r="E705" s="800"/>
      <c r="F705" s="800"/>
      <c r="G705" s="800"/>
      <c r="H705" s="801"/>
      <c r="I705" s="802"/>
      <c r="J705" s="801"/>
    </row>
    <row r="706">
      <c r="A706" s="800"/>
      <c r="B706" s="800"/>
      <c r="C706" s="800"/>
      <c r="D706" s="800"/>
      <c r="E706" s="800"/>
      <c r="F706" s="800"/>
      <c r="G706" s="800"/>
      <c r="H706" s="801"/>
      <c r="I706" s="802"/>
      <c r="J706" s="801"/>
    </row>
    <row r="707">
      <c r="A707" s="800"/>
      <c r="B707" s="800"/>
      <c r="C707" s="800"/>
      <c r="D707" s="800"/>
      <c r="E707" s="800"/>
      <c r="F707" s="800"/>
      <c r="G707" s="800"/>
      <c r="H707" s="801"/>
      <c r="I707" s="802"/>
      <c r="J707" s="801"/>
    </row>
    <row r="708">
      <c r="A708" s="800"/>
      <c r="B708" s="800"/>
      <c r="C708" s="800"/>
      <c r="D708" s="800"/>
      <c r="E708" s="800"/>
      <c r="F708" s="800"/>
      <c r="G708" s="800"/>
      <c r="H708" s="801"/>
      <c r="I708" s="802"/>
      <c r="J708" s="801"/>
    </row>
    <row r="709">
      <c r="A709" s="800"/>
      <c r="B709" s="800"/>
      <c r="C709" s="800"/>
      <c r="D709" s="800"/>
      <c r="E709" s="800"/>
      <c r="F709" s="800"/>
      <c r="G709" s="800"/>
      <c r="H709" s="801"/>
      <c r="I709" s="802"/>
      <c r="J709" s="801"/>
    </row>
    <row r="710">
      <c r="A710" s="800"/>
      <c r="B710" s="800"/>
      <c r="C710" s="800"/>
      <c r="D710" s="800"/>
      <c r="E710" s="800"/>
      <c r="F710" s="800"/>
      <c r="G710" s="800"/>
      <c r="H710" s="801"/>
      <c r="I710" s="802"/>
      <c r="J710" s="801"/>
    </row>
    <row r="711">
      <c r="A711" s="800"/>
      <c r="B711" s="800"/>
      <c r="C711" s="800"/>
      <c r="D711" s="800"/>
      <c r="E711" s="800"/>
      <c r="F711" s="800"/>
      <c r="G711" s="800"/>
      <c r="H711" s="801"/>
      <c r="I711" s="802"/>
      <c r="J711" s="801"/>
    </row>
    <row r="712">
      <c r="A712" s="800"/>
      <c r="B712" s="800"/>
      <c r="C712" s="800"/>
      <c r="D712" s="800"/>
      <c r="E712" s="800"/>
      <c r="F712" s="800"/>
      <c r="G712" s="800"/>
      <c r="H712" s="801"/>
      <c r="I712" s="802"/>
      <c r="J712" s="801"/>
    </row>
    <row r="713">
      <c r="A713" s="800"/>
      <c r="B713" s="800"/>
      <c r="C713" s="800"/>
      <c r="D713" s="800"/>
      <c r="E713" s="800"/>
      <c r="F713" s="800"/>
      <c r="G713" s="800"/>
      <c r="H713" s="801"/>
      <c r="I713" s="802"/>
      <c r="J713" s="801"/>
    </row>
    <row r="714">
      <c r="A714" s="800"/>
      <c r="B714" s="800"/>
      <c r="C714" s="800"/>
      <c r="D714" s="800"/>
      <c r="E714" s="800"/>
      <c r="F714" s="800"/>
      <c r="G714" s="800"/>
      <c r="H714" s="801"/>
      <c r="I714" s="802"/>
      <c r="J714" s="801"/>
    </row>
    <row r="715">
      <c r="A715" s="800"/>
      <c r="B715" s="800"/>
      <c r="C715" s="800"/>
      <c r="D715" s="800"/>
      <c r="E715" s="800"/>
      <c r="F715" s="800"/>
      <c r="G715" s="800"/>
      <c r="H715" s="801"/>
      <c r="I715" s="802"/>
      <c r="J715" s="801"/>
    </row>
    <row r="716">
      <c r="A716" s="800"/>
      <c r="B716" s="800"/>
      <c r="C716" s="800"/>
      <c r="D716" s="800"/>
      <c r="E716" s="800"/>
      <c r="F716" s="800"/>
      <c r="G716" s="800"/>
      <c r="H716" s="801"/>
      <c r="I716" s="802"/>
      <c r="J716" s="801"/>
    </row>
    <row r="717">
      <c r="A717" s="800"/>
      <c r="B717" s="800"/>
      <c r="C717" s="800"/>
      <c r="D717" s="800"/>
      <c r="E717" s="800"/>
      <c r="F717" s="800"/>
      <c r="G717" s="800"/>
      <c r="H717" s="801"/>
      <c r="I717" s="802"/>
      <c r="J717" s="801"/>
    </row>
    <row r="718">
      <c r="A718" s="800"/>
      <c r="B718" s="800"/>
      <c r="C718" s="800"/>
      <c r="D718" s="800"/>
      <c r="E718" s="800"/>
      <c r="F718" s="800"/>
      <c r="G718" s="800"/>
      <c r="H718" s="801"/>
      <c r="I718" s="802"/>
      <c r="J718" s="801"/>
    </row>
    <row r="719">
      <c r="A719" s="800"/>
      <c r="B719" s="800"/>
      <c r="C719" s="800"/>
      <c r="D719" s="800"/>
      <c r="E719" s="800"/>
      <c r="F719" s="800"/>
      <c r="G719" s="800"/>
      <c r="H719" s="801"/>
      <c r="I719" s="802"/>
      <c r="J719" s="801"/>
    </row>
    <row r="720">
      <c r="A720" s="800"/>
      <c r="B720" s="800"/>
      <c r="C720" s="800"/>
      <c r="D720" s="800"/>
      <c r="E720" s="800"/>
      <c r="F720" s="800"/>
      <c r="G720" s="800"/>
      <c r="H720" s="801"/>
      <c r="I720" s="802"/>
      <c r="J720" s="801"/>
    </row>
    <row r="721">
      <c r="A721" s="800"/>
      <c r="B721" s="800"/>
      <c r="C721" s="800"/>
      <c r="D721" s="800"/>
      <c r="E721" s="800"/>
      <c r="F721" s="800"/>
      <c r="G721" s="800"/>
      <c r="H721" s="801"/>
      <c r="I721" s="802"/>
      <c r="J721" s="801"/>
    </row>
    <row r="722">
      <c r="A722" s="800"/>
      <c r="B722" s="800"/>
      <c r="C722" s="800"/>
      <c r="D722" s="800"/>
      <c r="E722" s="800"/>
      <c r="F722" s="800"/>
      <c r="G722" s="800"/>
      <c r="H722" s="801"/>
      <c r="I722" s="802"/>
      <c r="J722" s="801"/>
    </row>
    <row r="723">
      <c r="A723" s="800"/>
      <c r="B723" s="800"/>
      <c r="C723" s="800"/>
      <c r="D723" s="800"/>
      <c r="E723" s="800"/>
      <c r="F723" s="800"/>
      <c r="G723" s="800"/>
      <c r="H723" s="801"/>
      <c r="I723" s="802"/>
      <c r="J723" s="801"/>
    </row>
    <row r="724">
      <c r="A724" s="800"/>
      <c r="B724" s="800"/>
      <c r="C724" s="800"/>
      <c r="D724" s="800"/>
      <c r="E724" s="800"/>
      <c r="F724" s="800"/>
      <c r="G724" s="800"/>
      <c r="H724" s="801"/>
      <c r="I724" s="802"/>
      <c r="J724" s="801"/>
    </row>
    <row r="725">
      <c r="A725" s="800"/>
      <c r="B725" s="800"/>
      <c r="C725" s="800"/>
      <c r="D725" s="800"/>
      <c r="E725" s="800"/>
      <c r="F725" s="800"/>
      <c r="G725" s="800"/>
      <c r="H725" s="801"/>
      <c r="I725" s="802"/>
      <c r="J725" s="801"/>
    </row>
    <row r="726">
      <c r="A726" s="800"/>
      <c r="B726" s="800"/>
      <c r="C726" s="800"/>
      <c r="D726" s="800"/>
      <c r="E726" s="800"/>
      <c r="F726" s="800"/>
      <c r="G726" s="800"/>
      <c r="H726" s="801"/>
      <c r="I726" s="802"/>
      <c r="J726" s="801"/>
    </row>
    <row r="727">
      <c r="A727" s="800"/>
      <c r="B727" s="800"/>
      <c r="C727" s="800"/>
      <c r="D727" s="800"/>
      <c r="E727" s="800"/>
      <c r="F727" s="800"/>
      <c r="G727" s="800"/>
      <c r="H727" s="801"/>
      <c r="I727" s="802"/>
      <c r="J727" s="801"/>
    </row>
    <row r="728">
      <c r="A728" s="800"/>
      <c r="B728" s="800"/>
      <c r="C728" s="800"/>
      <c r="D728" s="800"/>
      <c r="E728" s="800"/>
      <c r="F728" s="800"/>
      <c r="G728" s="800"/>
      <c r="H728" s="801"/>
      <c r="I728" s="802"/>
      <c r="J728" s="801"/>
    </row>
    <row r="729">
      <c r="A729" s="800"/>
      <c r="B729" s="800"/>
      <c r="C729" s="800"/>
      <c r="D729" s="800"/>
      <c r="E729" s="800"/>
      <c r="F729" s="800"/>
      <c r="G729" s="800"/>
      <c r="H729" s="801"/>
      <c r="I729" s="802"/>
      <c r="J729" s="801"/>
    </row>
    <row r="730">
      <c r="A730" s="800"/>
      <c r="B730" s="800"/>
      <c r="C730" s="800"/>
      <c r="D730" s="800"/>
      <c r="E730" s="800"/>
      <c r="F730" s="800"/>
      <c r="G730" s="800"/>
      <c r="H730" s="801"/>
      <c r="I730" s="802"/>
      <c r="J730" s="801"/>
    </row>
    <row r="731">
      <c r="A731" s="800"/>
      <c r="B731" s="800"/>
      <c r="C731" s="800"/>
      <c r="D731" s="800"/>
      <c r="E731" s="800"/>
      <c r="F731" s="800"/>
      <c r="G731" s="800"/>
      <c r="H731" s="801"/>
      <c r="I731" s="802"/>
      <c r="J731" s="801"/>
    </row>
    <row r="732">
      <c r="A732" s="800"/>
      <c r="B732" s="800"/>
      <c r="C732" s="800"/>
      <c r="D732" s="800"/>
      <c r="E732" s="800"/>
      <c r="F732" s="800"/>
      <c r="G732" s="800"/>
      <c r="H732" s="801"/>
      <c r="I732" s="802"/>
      <c r="J732" s="801"/>
    </row>
    <row r="733">
      <c r="A733" s="800"/>
      <c r="B733" s="800"/>
      <c r="C733" s="800"/>
      <c r="D733" s="800"/>
      <c r="E733" s="800"/>
      <c r="F733" s="800"/>
      <c r="G733" s="800"/>
      <c r="H733" s="801"/>
      <c r="I733" s="802"/>
      <c r="J733" s="801"/>
    </row>
    <row r="734">
      <c r="A734" s="800"/>
      <c r="B734" s="800"/>
      <c r="C734" s="800"/>
      <c r="D734" s="800"/>
      <c r="E734" s="800"/>
      <c r="F734" s="800"/>
      <c r="G734" s="800"/>
      <c r="H734" s="801"/>
      <c r="I734" s="802"/>
      <c r="J734" s="801"/>
    </row>
    <row r="735">
      <c r="A735" s="800"/>
      <c r="B735" s="800"/>
      <c r="C735" s="800"/>
      <c r="D735" s="800"/>
      <c r="E735" s="800"/>
      <c r="F735" s="800"/>
      <c r="G735" s="800"/>
      <c r="H735" s="801"/>
      <c r="I735" s="802"/>
      <c r="J735" s="801"/>
    </row>
    <row r="736">
      <c r="A736" s="800"/>
      <c r="B736" s="800"/>
      <c r="C736" s="800"/>
      <c r="D736" s="800"/>
      <c r="E736" s="800"/>
      <c r="F736" s="800"/>
      <c r="G736" s="800"/>
      <c r="H736" s="801"/>
      <c r="I736" s="802"/>
      <c r="J736" s="801"/>
    </row>
    <row r="737">
      <c r="A737" s="800"/>
      <c r="B737" s="800"/>
      <c r="C737" s="800"/>
      <c r="D737" s="800"/>
      <c r="E737" s="800"/>
      <c r="F737" s="800"/>
      <c r="G737" s="800"/>
      <c r="H737" s="801"/>
      <c r="I737" s="802"/>
      <c r="J737" s="801"/>
    </row>
    <row r="738">
      <c r="A738" s="800"/>
      <c r="B738" s="800"/>
      <c r="C738" s="800"/>
      <c r="D738" s="800"/>
      <c r="E738" s="800"/>
      <c r="F738" s="800"/>
      <c r="G738" s="800"/>
      <c r="H738" s="801"/>
      <c r="I738" s="802"/>
      <c r="J738" s="801"/>
    </row>
    <row r="739">
      <c r="A739" s="800"/>
      <c r="B739" s="800"/>
      <c r="C739" s="800"/>
      <c r="D739" s="800"/>
      <c r="E739" s="800"/>
      <c r="F739" s="800"/>
      <c r="G739" s="800"/>
      <c r="H739" s="801"/>
      <c r="I739" s="802"/>
      <c r="J739" s="801"/>
    </row>
    <row r="740">
      <c r="A740" s="800"/>
      <c r="B740" s="800"/>
      <c r="C740" s="800"/>
      <c r="D740" s="800"/>
      <c r="E740" s="800"/>
      <c r="F740" s="800"/>
      <c r="G740" s="800"/>
      <c r="H740" s="801"/>
      <c r="I740" s="802"/>
      <c r="J740" s="801"/>
    </row>
    <row r="741">
      <c r="A741" s="800"/>
      <c r="B741" s="800"/>
      <c r="C741" s="800"/>
      <c r="D741" s="800"/>
      <c r="E741" s="800"/>
      <c r="F741" s="800"/>
      <c r="G741" s="800"/>
      <c r="H741" s="801"/>
      <c r="I741" s="802"/>
      <c r="J741" s="801"/>
    </row>
    <row r="742">
      <c r="A742" s="800"/>
      <c r="B742" s="800"/>
      <c r="C742" s="800"/>
      <c r="D742" s="800"/>
      <c r="E742" s="800"/>
      <c r="F742" s="800"/>
      <c r="G742" s="800"/>
      <c r="H742" s="801"/>
      <c r="I742" s="802"/>
      <c r="J742" s="801"/>
    </row>
    <row r="743">
      <c r="A743" s="800"/>
      <c r="B743" s="800"/>
      <c r="C743" s="800"/>
      <c r="D743" s="800"/>
      <c r="E743" s="800"/>
      <c r="F743" s="800"/>
      <c r="G743" s="800"/>
      <c r="H743" s="801"/>
      <c r="I743" s="802"/>
      <c r="J743" s="801"/>
    </row>
    <row r="744">
      <c r="A744" s="800"/>
      <c r="B744" s="800"/>
      <c r="C744" s="800"/>
      <c r="D744" s="800"/>
      <c r="E744" s="800"/>
      <c r="F744" s="800"/>
      <c r="G744" s="800"/>
      <c r="H744" s="801"/>
      <c r="I744" s="802"/>
      <c r="J744" s="801"/>
    </row>
    <row r="745">
      <c r="A745" s="800"/>
      <c r="B745" s="800"/>
      <c r="C745" s="800"/>
      <c r="D745" s="800"/>
      <c r="E745" s="800"/>
      <c r="F745" s="800"/>
      <c r="G745" s="800"/>
      <c r="H745" s="801"/>
      <c r="I745" s="802"/>
      <c r="J745" s="801"/>
    </row>
    <row r="746">
      <c r="A746" s="800"/>
      <c r="B746" s="800"/>
      <c r="C746" s="800"/>
      <c r="D746" s="800"/>
      <c r="E746" s="800"/>
      <c r="F746" s="800"/>
      <c r="G746" s="800"/>
      <c r="H746" s="801"/>
      <c r="I746" s="802"/>
      <c r="J746" s="801"/>
    </row>
    <row r="747">
      <c r="A747" s="800"/>
      <c r="B747" s="800"/>
      <c r="C747" s="800"/>
      <c r="D747" s="800"/>
      <c r="E747" s="800"/>
      <c r="F747" s="800"/>
      <c r="G747" s="800"/>
      <c r="H747" s="801"/>
      <c r="I747" s="802"/>
      <c r="J747" s="801"/>
    </row>
    <row r="748">
      <c r="A748" s="800"/>
      <c r="B748" s="800"/>
      <c r="C748" s="800"/>
      <c r="D748" s="800"/>
      <c r="E748" s="800"/>
      <c r="F748" s="800"/>
      <c r="G748" s="800"/>
      <c r="H748" s="801"/>
      <c r="I748" s="802"/>
      <c r="J748" s="801"/>
    </row>
    <row r="749">
      <c r="A749" s="800"/>
      <c r="B749" s="800"/>
      <c r="C749" s="800"/>
      <c r="D749" s="800"/>
      <c r="E749" s="800"/>
      <c r="F749" s="800"/>
      <c r="G749" s="800"/>
      <c r="H749" s="801"/>
      <c r="I749" s="802"/>
      <c r="J749" s="801"/>
    </row>
    <row r="750">
      <c r="A750" s="800"/>
      <c r="B750" s="800"/>
      <c r="C750" s="800"/>
      <c r="D750" s="800"/>
      <c r="E750" s="800"/>
      <c r="F750" s="800"/>
      <c r="G750" s="800"/>
      <c r="H750" s="801"/>
      <c r="I750" s="802"/>
      <c r="J750" s="801"/>
    </row>
    <row r="751">
      <c r="A751" s="800"/>
      <c r="B751" s="800"/>
      <c r="C751" s="800"/>
      <c r="D751" s="800"/>
      <c r="E751" s="800"/>
      <c r="F751" s="800"/>
      <c r="G751" s="800"/>
      <c r="H751" s="801"/>
      <c r="I751" s="802"/>
      <c r="J751" s="801"/>
    </row>
    <row r="752">
      <c r="A752" s="800"/>
      <c r="B752" s="800"/>
      <c r="C752" s="800"/>
      <c r="D752" s="800"/>
      <c r="E752" s="800"/>
      <c r="F752" s="800"/>
      <c r="G752" s="800"/>
      <c r="H752" s="801"/>
      <c r="I752" s="802"/>
      <c r="J752" s="801"/>
    </row>
    <row r="753">
      <c r="A753" s="800"/>
      <c r="B753" s="800"/>
      <c r="C753" s="800"/>
      <c r="D753" s="800"/>
      <c r="E753" s="800"/>
      <c r="F753" s="800"/>
      <c r="G753" s="800"/>
      <c r="H753" s="801"/>
      <c r="I753" s="802"/>
      <c r="J753" s="801"/>
    </row>
    <row r="754">
      <c r="A754" s="800"/>
      <c r="B754" s="800"/>
      <c r="C754" s="800"/>
      <c r="D754" s="800"/>
      <c r="E754" s="800"/>
      <c r="F754" s="800"/>
      <c r="G754" s="800"/>
      <c r="H754" s="801"/>
      <c r="I754" s="802"/>
      <c r="J754" s="801"/>
    </row>
    <row r="755">
      <c r="A755" s="800"/>
      <c r="B755" s="800"/>
      <c r="C755" s="800"/>
      <c r="D755" s="800"/>
      <c r="E755" s="800"/>
      <c r="F755" s="800"/>
      <c r="G755" s="800"/>
      <c r="H755" s="801"/>
      <c r="I755" s="802"/>
      <c r="J755" s="801"/>
    </row>
    <row r="756">
      <c r="A756" s="800"/>
      <c r="B756" s="800"/>
      <c r="C756" s="800"/>
      <c r="D756" s="800"/>
      <c r="E756" s="800"/>
      <c r="F756" s="800"/>
      <c r="G756" s="800"/>
      <c r="H756" s="801"/>
      <c r="I756" s="802"/>
      <c r="J756" s="801"/>
    </row>
    <row r="757">
      <c r="A757" s="800"/>
      <c r="B757" s="800"/>
      <c r="C757" s="800"/>
      <c r="D757" s="800"/>
      <c r="E757" s="800"/>
      <c r="F757" s="800"/>
      <c r="G757" s="800"/>
      <c r="H757" s="801"/>
      <c r="I757" s="802"/>
      <c r="J757" s="801"/>
    </row>
    <row r="758">
      <c r="A758" s="800"/>
      <c r="B758" s="800"/>
      <c r="C758" s="800"/>
      <c r="D758" s="800"/>
      <c r="E758" s="800"/>
      <c r="F758" s="800"/>
      <c r="G758" s="800"/>
      <c r="H758" s="801"/>
      <c r="I758" s="802"/>
      <c r="J758" s="801"/>
    </row>
    <row r="759">
      <c r="A759" s="800"/>
      <c r="B759" s="800"/>
      <c r="C759" s="800"/>
      <c r="D759" s="800"/>
      <c r="E759" s="800"/>
      <c r="F759" s="800"/>
      <c r="G759" s="800"/>
      <c r="H759" s="801"/>
      <c r="I759" s="802"/>
      <c r="J759" s="801"/>
    </row>
    <row r="760">
      <c r="A760" s="800"/>
      <c r="B760" s="800"/>
      <c r="C760" s="800"/>
      <c r="D760" s="800"/>
      <c r="E760" s="800"/>
      <c r="F760" s="800"/>
      <c r="G760" s="800"/>
      <c r="H760" s="801"/>
      <c r="I760" s="802"/>
      <c r="J760" s="801"/>
    </row>
    <row r="761">
      <c r="A761" s="800"/>
      <c r="B761" s="800"/>
      <c r="C761" s="800"/>
      <c r="D761" s="800"/>
      <c r="E761" s="800"/>
      <c r="F761" s="800"/>
      <c r="G761" s="800"/>
      <c r="H761" s="801"/>
      <c r="I761" s="802"/>
      <c r="J761" s="801"/>
    </row>
    <row r="762">
      <c r="A762" s="800"/>
      <c r="B762" s="800"/>
      <c r="C762" s="800"/>
      <c r="D762" s="800"/>
      <c r="E762" s="800"/>
      <c r="F762" s="800"/>
      <c r="G762" s="800"/>
      <c r="H762" s="801"/>
      <c r="I762" s="802"/>
      <c r="J762" s="801"/>
    </row>
    <row r="763">
      <c r="A763" s="800"/>
      <c r="B763" s="800"/>
      <c r="C763" s="800"/>
      <c r="D763" s="800"/>
      <c r="E763" s="800"/>
      <c r="F763" s="800"/>
      <c r="G763" s="800"/>
      <c r="H763" s="801"/>
      <c r="I763" s="802"/>
      <c r="J763" s="801"/>
    </row>
    <row r="764">
      <c r="A764" s="800"/>
      <c r="B764" s="800"/>
      <c r="C764" s="800"/>
      <c r="D764" s="800"/>
      <c r="E764" s="800"/>
      <c r="F764" s="800"/>
      <c r="G764" s="800"/>
      <c r="H764" s="801"/>
      <c r="I764" s="802"/>
      <c r="J764" s="801"/>
    </row>
    <row r="765">
      <c r="A765" s="800"/>
      <c r="B765" s="800"/>
      <c r="C765" s="800"/>
      <c r="D765" s="800"/>
      <c r="E765" s="800"/>
      <c r="F765" s="800"/>
      <c r="G765" s="800"/>
      <c r="H765" s="801"/>
      <c r="I765" s="802"/>
      <c r="J765" s="801"/>
    </row>
    <row r="766">
      <c r="A766" s="800"/>
      <c r="B766" s="800"/>
      <c r="C766" s="800"/>
      <c r="D766" s="800"/>
      <c r="E766" s="800"/>
      <c r="F766" s="800"/>
      <c r="G766" s="800"/>
      <c r="H766" s="801"/>
      <c r="I766" s="802"/>
      <c r="J766" s="801"/>
    </row>
    <row r="767">
      <c r="A767" s="800"/>
      <c r="B767" s="800"/>
      <c r="C767" s="800"/>
      <c r="D767" s="800"/>
      <c r="E767" s="800"/>
      <c r="F767" s="800"/>
      <c r="G767" s="800"/>
      <c r="H767" s="801"/>
      <c r="I767" s="802"/>
      <c r="J767" s="801"/>
    </row>
    <row r="768">
      <c r="A768" s="800"/>
      <c r="B768" s="800"/>
      <c r="C768" s="800"/>
      <c r="D768" s="800"/>
      <c r="E768" s="800"/>
      <c r="F768" s="800"/>
      <c r="G768" s="800"/>
      <c r="H768" s="801"/>
      <c r="I768" s="802"/>
      <c r="J768" s="801"/>
    </row>
    <row r="769">
      <c r="A769" s="800"/>
      <c r="B769" s="800"/>
      <c r="C769" s="800"/>
      <c r="D769" s="800"/>
      <c r="E769" s="800"/>
      <c r="F769" s="800"/>
      <c r="G769" s="800"/>
      <c r="H769" s="801"/>
      <c r="I769" s="802"/>
      <c r="J769" s="801"/>
    </row>
    <row r="770">
      <c r="A770" s="800"/>
      <c r="B770" s="800"/>
      <c r="C770" s="800"/>
      <c r="D770" s="800"/>
      <c r="E770" s="800"/>
      <c r="F770" s="800"/>
      <c r="G770" s="800"/>
      <c r="H770" s="801"/>
      <c r="I770" s="802"/>
      <c r="J770" s="801"/>
    </row>
    <row r="771">
      <c r="A771" s="800"/>
      <c r="B771" s="800"/>
      <c r="C771" s="800"/>
      <c r="D771" s="800"/>
      <c r="E771" s="800"/>
      <c r="F771" s="800"/>
      <c r="G771" s="800"/>
      <c r="H771" s="801"/>
      <c r="I771" s="802"/>
      <c r="J771" s="801"/>
    </row>
    <row r="772">
      <c r="A772" s="800"/>
      <c r="B772" s="800"/>
      <c r="C772" s="800"/>
      <c r="D772" s="800"/>
      <c r="E772" s="800"/>
      <c r="F772" s="800"/>
      <c r="G772" s="800"/>
      <c r="H772" s="801"/>
      <c r="I772" s="802"/>
      <c r="J772" s="801"/>
    </row>
    <row r="773">
      <c r="A773" s="800"/>
      <c r="B773" s="800"/>
      <c r="C773" s="800"/>
      <c r="D773" s="800"/>
      <c r="E773" s="800"/>
      <c r="F773" s="800"/>
      <c r="G773" s="800"/>
      <c r="H773" s="801"/>
      <c r="I773" s="802"/>
      <c r="J773" s="801"/>
    </row>
    <row r="774">
      <c r="A774" s="800"/>
      <c r="B774" s="800"/>
      <c r="C774" s="800"/>
      <c r="D774" s="800"/>
      <c r="E774" s="800"/>
      <c r="F774" s="800"/>
      <c r="G774" s="800"/>
      <c r="H774" s="801"/>
      <c r="I774" s="802"/>
      <c r="J774" s="801"/>
    </row>
    <row r="775">
      <c r="A775" s="800"/>
      <c r="B775" s="800"/>
      <c r="C775" s="800"/>
      <c r="D775" s="800"/>
      <c r="E775" s="800"/>
      <c r="F775" s="800"/>
      <c r="G775" s="800"/>
      <c r="H775" s="801"/>
      <c r="I775" s="802"/>
      <c r="J775" s="801"/>
    </row>
    <row r="776">
      <c r="A776" s="800"/>
      <c r="B776" s="800"/>
      <c r="C776" s="800"/>
      <c r="D776" s="800"/>
      <c r="E776" s="800"/>
      <c r="F776" s="800"/>
      <c r="G776" s="800"/>
      <c r="H776" s="801"/>
      <c r="I776" s="802"/>
      <c r="J776" s="801"/>
    </row>
    <row r="777">
      <c r="A777" s="800"/>
      <c r="B777" s="800"/>
      <c r="C777" s="800"/>
      <c r="D777" s="800"/>
      <c r="E777" s="800"/>
      <c r="F777" s="800"/>
      <c r="G777" s="800"/>
      <c r="H777" s="801"/>
      <c r="I777" s="802"/>
      <c r="J777" s="801"/>
    </row>
    <row r="778">
      <c r="A778" s="800"/>
      <c r="B778" s="800"/>
      <c r="C778" s="800"/>
      <c r="D778" s="800"/>
      <c r="E778" s="800"/>
      <c r="F778" s="800"/>
      <c r="G778" s="800"/>
      <c r="H778" s="801"/>
      <c r="I778" s="802"/>
      <c r="J778" s="801"/>
    </row>
    <row r="779">
      <c r="A779" s="800"/>
      <c r="B779" s="800"/>
      <c r="C779" s="800"/>
      <c r="D779" s="800"/>
      <c r="E779" s="800"/>
      <c r="F779" s="800"/>
      <c r="G779" s="800"/>
      <c r="H779" s="801"/>
      <c r="I779" s="802"/>
      <c r="J779" s="801"/>
    </row>
    <row r="780">
      <c r="A780" s="800"/>
      <c r="B780" s="800"/>
      <c r="C780" s="800"/>
      <c r="D780" s="800"/>
      <c r="E780" s="800"/>
      <c r="F780" s="800"/>
      <c r="G780" s="800"/>
      <c r="H780" s="801"/>
      <c r="I780" s="802"/>
      <c r="J780" s="801"/>
    </row>
    <row r="781">
      <c r="A781" s="800"/>
      <c r="B781" s="800"/>
      <c r="C781" s="800"/>
      <c r="D781" s="800"/>
      <c r="E781" s="800"/>
      <c r="F781" s="800"/>
      <c r="G781" s="800"/>
      <c r="H781" s="801"/>
      <c r="I781" s="802"/>
      <c r="J781" s="801"/>
    </row>
    <row r="782">
      <c r="A782" s="800"/>
      <c r="B782" s="800"/>
      <c r="C782" s="800"/>
      <c r="D782" s="800"/>
      <c r="E782" s="800"/>
      <c r="F782" s="800"/>
      <c r="G782" s="800"/>
      <c r="H782" s="801"/>
      <c r="I782" s="802"/>
      <c r="J782" s="801"/>
    </row>
    <row r="783">
      <c r="A783" s="800"/>
      <c r="B783" s="800"/>
      <c r="C783" s="800"/>
      <c r="D783" s="800"/>
      <c r="E783" s="800"/>
      <c r="F783" s="800"/>
      <c r="G783" s="800"/>
      <c r="H783" s="801"/>
      <c r="I783" s="802"/>
      <c r="J783" s="801"/>
    </row>
    <row r="784">
      <c r="A784" s="800"/>
      <c r="B784" s="800"/>
      <c r="C784" s="800"/>
      <c r="D784" s="800"/>
      <c r="E784" s="800"/>
      <c r="F784" s="800"/>
      <c r="G784" s="800"/>
      <c r="H784" s="801"/>
      <c r="I784" s="802"/>
      <c r="J784" s="801"/>
    </row>
    <row r="785">
      <c r="A785" s="800"/>
      <c r="B785" s="800"/>
      <c r="C785" s="800"/>
      <c r="D785" s="800"/>
      <c r="E785" s="800"/>
      <c r="F785" s="800"/>
      <c r="G785" s="800"/>
      <c r="H785" s="801"/>
      <c r="I785" s="802"/>
      <c r="J785" s="801"/>
    </row>
    <row r="786">
      <c r="A786" s="800"/>
      <c r="B786" s="800"/>
      <c r="C786" s="800"/>
      <c r="D786" s="800"/>
      <c r="E786" s="800"/>
      <c r="F786" s="800"/>
      <c r="G786" s="800"/>
      <c r="H786" s="801"/>
      <c r="I786" s="802"/>
      <c r="J786" s="801"/>
    </row>
    <row r="787">
      <c r="A787" s="800"/>
      <c r="B787" s="800"/>
      <c r="C787" s="800"/>
      <c r="D787" s="800"/>
      <c r="E787" s="800"/>
      <c r="F787" s="800"/>
      <c r="G787" s="800"/>
      <c r="H787" s="801"/>
      <c r="I787" s="802"/>
      <c r="J787" s="801"/>
    </row>
    <row r="788">
      <c r="A788" s="800"/>
      <c r="B788" s="800"/>
      <c r="C788" s="800"/>
      <c r="D788" s="800"/>
      <c r="E788" s="800"/>
      <c r="F788" s="800"/>
      <c r="G788" s="800"/>
      <c r="H788" s="801"/>
      <c r="I788" s="802"/>
      <c r="J788" s="801"/>
    </row>
    <row r="789">
      <c r="A789" s="800"/>
      <c r="B789" s="800"/>
      <c r="C789" s="800"/>
      <c r="D789" s="800"/>
      <c r="E789" s="800"/>
      <c r="F789" s="800"/>
      <c r="G789" s="800"/>
      <c r="H789" s="801"/>
      <c r="I789" s="802"/>
      <c r="J789" s="801"/>
    </row>
    <row r="790">
      <c r="A790" s="800"/>
      <c r="B790" s="800"/>
      <c r="C790" s="800"/>
      <c r="D790" s="800"/>
      <c r="E790" s="800"/>
      <c r="F790" s="800"/>
      <c r="G790" s="800"/>
      <c r="H790" s="801"/>
      <c r="I790" s="802"/>
      <c r="J790" s="801"/>
    </row>
    <row r="791">
      <c r="A791" s="800"/>
      <c r="B791" s="800"/>
      <c r="C791" s="800"/>
      <c r="D791" s="800"/>
      <c r="E791" s="800"/>
      <c r="F791" s="800"/>
      <c r="G791" s="800"/>
      <c r="H791" s="801"/>
      <c r="I791" s="802"/>
      <c r="J791" s="801"/>
    </row>
    <row r="792">
      <c r="A792" s="800"/>
      <c r="B792" s="800"/>
      <c r="C792" s="800"/>
      <c r="D792" s="800"/>
      <c r="E792" s="800"/>
      <c r="F792" s="800"/>
      <c r="G792" s="800"/>
      <c r="H792" s="801"/>
      <c r="I792" s="802"/>
      <c r="J792" s="801"/>
    </row>
    <row r="793">
      <c r="A793" s="800"/>
      <c r="B793" s="800"/>
      <c r="C793" s="800"/>
      <c r="D793" s="800"/>
      <c r="E793" s="800"/>
      <c r="F793" s="800"/>
      <c r="G793" s="800"/>
      <c r="H793" s="801"/>
      <c r="I793" s="802"/>
      <c r="J793" s="801"/>
    </row>
    <row r="794">
      <c r="A794" s="800"/>
      <c r="B794" s="800"/>
      <c r="C794" s="800"/>
      <c r="D794" s="800"/>
      <c r="E794" s="800"/>
      <c r="F794" s="800"/>
      <c r="G794" s="800"/>
      <c r="H794" s="801"/>
      <c r="I794" s="802"/>
      <c r="J794" s="801"/>
    </row>
    <row r="795">
      <c r="A795" s="800"/>
      <c r="B795" s="800"/>
      <c r="C795" s="800"/>
      <c r="D795" s="800"/>
      <c r="E795" s="800"/>
      <c r="F795" s="800"/>
      <c r="G795" s="800"/>
      <c r="H795" s="801"/>
      <c r="I795" s="802"/>
      <c r="J795" s="801"/>
    </row>
    <row r="796">
      <c r="A796" s="800"/>
      <c r="B796" s="800"/>
      <c r="C796" s="800"/>
      <c r="D796" s="800"/>
      <c r="E796" s="800"/>
      <c r="F796" s="800"/>
      <c r="G796" s="800"/>
      <c r="H796" s="801"/>
      <c r="I796" s="802"/>
      <c r="J796" s="801"/>
    </row>
    <row r="797">
      <c r="A797" s="800"/>
      <c r="B797" s="800"/>
      <c r="C797" s="800"/>
      <c r="D797" s="800"/>
      <c r="E797" s="800"/>
      <c r="F797" s="800"/>
      <c r="G797" s="800"/>
      <c r="H797" s="801"/>
      <c r="I797" s="802"/>
      <c r="J797" s="801"/>
    </row>
    <row r="798">
      <c r="A798" s="800"/>
      <c r="B798" s="800"/>
      <c r="C798" s="800"/>
      <c r="D798" s="800"/>
      <c r="E798" s="800"/>
      <c r="F798" s="800"/>
      <c r="G798" s="800"/>
      <c r="H798" s="801"/>
      <c r="I798" s="802"/>
      <c r="J798" s="801"/>
    </row>
    <row r="799">
      <c r="A799" s="800"/>
      <c r="B799" s="800"/>
      <c r="C799" s="800"/>
      <c r="D799" s="800"/>
      <c r="E799" s="800"/>
      <c r="F799" s="800"/>
      <c r="G799" s="800"/>
      <c r="H799" s="801"/>
      <c r="I799" s="802"/>
      <c r="J799" s="801"/>
    </row>
    <row r="800">
      <c r="A800" s="800"/>
      <c r="B800" s="800"/>
      <c r="C800" s="800"/>
      <c r="D800" s="800"/>
      <c r="E800" s="800"/>
      <c r="F800" s="800"/>
      <c r="G800" s="800"/>
      <c r="H800" s="801"/>
      <c r="I800" s="802"/>
      <c r="J800" s="801"/>
    </row>
    <row r="801">
      <c r="A801" s="800"/>
      <c r="B801" s="800"/>
      <c r="C801" s="800"/>
      <c r="D801" s="800"/>
      <c r="E801" s="800"/>
      <c r="F801" s="800"/>
      <c r="G801" s="800"/>
      <c r="H801" s="801"/>
      <c r="I801" s="802"/>
      <c r="J801" s="801"/>
    </row>
    <row r="802">
      <c r="A802" s="800"/>
      <c r="B802" s="800"/>
      <c r="C802" s="800"/>
      <c r="D802" s="800"/>
      <c r="E802" s="800"/>
      <c r="F802" s="800"/>
      <c r="G802" s="800"/>
      <c r="H802" s="801"/>
      <c r="I802" s="802"/>
      <c r="J802" s="801"/>
    </row>
    <row r="803">
      <c r="A803" s="800"/>
      <c r="B803" s="800"/>
      <c r="C803" s="800"/>
      <c r="D803" s="800"/>
      <c r="E803" s="800"/>
      <c r="F803" s="800"/>
      <c r="G803" s="800"/>
      <c r="H803" s="801"/>
      <c r="I803" s="802"/>
      <c r="J803" s="801"/>
    </row>
    <row r="804">
      <c r="A804" s="800"/>
      <c r="B804" s="800"/>
      <c r="C804" s="800"/>
      <c r="D804" s="800"/>
      <c r="E804" s="800"/>
      <c r="F804" s="800"/>
      <c r="G804" s="800"/>
      <c r="H804" s="801"/>
      <c r="I804" s="802"/>
      <c r="J804" s="801"/>
    </row>
    <row r="805">
      <c r="A805" s="800"/>
      <c r="B805" s="800"/>
      <c r="C805" s="800"/>
      <c r="D805" s="800"/>
      <c r="E805" s="800"/>
      <c r="F805" s="800"/>
      <c r="G805" s="800"/>
      <c r="H805" s="801"/>
      <c r="I805" s="802"/>
      <c r="J805" s="801"/>
    </row>
    <row r="806">
      <c r="A806" s="800"/>
      <c r="B806" s="800"/>
      <c r="C806" s="800"/>
      <c r="D806" s="800"/>
      <c r="E806" s="800"/>
      <c r="F806" s="800"/>
      <c r="G806" s="800"/>
      <c r="H806" s="801"/>
      <c r="I806" s="802"/>
      <c r="J806" s="801"/>
    </row>
    <row r="807">
      <c r="A807" s="800"/>
      <c r="B807" s="800"/>
      <c r="C807" s="800"/>
      <c r="D807" s="800"/>
      <c r="E807" s="800"/>
      <c r="F807" s="800"/>
      <c r="G807" s="800"/>
      <c r="H807" s="801"/>
      <c r="I807" s="802"/>
      <c r="J807" s="801"/>
    </row>
    <row r="808">
      <c r="A808" s="800"/>
      <c r="B808" s="800"/>
      <c r="C808" s="800"/>
      <c r="D808" s="800"/>
      <c r="E808" s="800"/>
      <c r="F808" s="800"/>
      <c r="G808" s="800"/>
      <c r="H808" s="801"/>
      <c r="I808" s="802"/>
      <c r="J808" s="801"/>
    </row>
    <row r="809">
      <c r="A809" s="800"/>
      <c r="B809" s="800"/>
      <c r="C809" s="800"/>
      <c r="D809" s="800"/>
      <c r="E809" s="800"/>
      <c r="F809" s="800"/>
      <c r="G809" s="800"/>
      <c r="H809" s="801"/>
      <c r="I809" s="802"/>
      <c r="J809" s="801"/>
    </row>
    <row r="810">
      <c r="A810" s="800"/>
      <c r="B810" s="800"/>
      <c r="C810" s="800"/>
      <c r="D810" s="800"/>
      <c r="E810" s="800"/>
      <c r="F810" s="800"/>
      <c r="G810" s="800"/>
      <c r="H810" s="801"/>
      <c r="I810" s="802"/>
      <c r="J810" s="801"/>
    </row>
    <row r="811">
      <c r="A811" s="800"/>
      <c r="B811" s="800"/>
      <c r="C811" s="800"/>
      <c r="D811" s="800"/>
      <c r="E811" s="800"/>
      <c r="F811" s="800"/>
      <c r="G811" s="800"/>
      <c r="H811" s="801"/>
      <c r="I811" s="802"/>
      <c r="J811" s="801"/>
    </row>
    <row r="812">
      <c r="A812" s="800"/>
      <c r="B812" s="800"/>
      <c r="C812" s="800"/>
      <c r="D812" s="800"/>
      <c r="E812" s="800"/>
      <c r="F812" s="800"/>
      <c r="G812" s="800"/>
      <c r="H812" s="801"/>
      <c r="I812" s="802"/>
      <c r="J812" s="801"/>
    </row>
    <row r="813">
      <c r="A813" s="800"/>
      <c r="B813" s="800"/>
      <c r="C813" s="800"/>
      <c r="D813" s="800"/>
      <c r="E813" s="800"/>
      <c r="F813" s="800"/>
      <c r="G813" s="800"/>
      <c r="H813" s="801"/>
      <c r="I813" s="802"/>
      <c r="J813" s="801"/>
    </row>
    <row r="814">
      <c r="A814" s="800"/>
      <c r="B814" s="800"/>
      <c r="C814" s="800"/>
      <c r="D814" s="800"/>
      <c r="E814" s="800"/>
      <c r="F814" s="800"/>
      <c r="G814" s="800"/>
      <c r="H814" s="801"/>
      <c r="I814" s="802"/>
      <c r="J814" s="801"/>
    </row>
    <row r="815">
      <c r="A815" s="800"/>
      <c r="B815" s="800"/>
      <c r="C815" s="800"/>
      <c r="D815" s="800"/>
      <c r="E815" s="800"/>
      <c r="F815" s="800"/>
      <c r="G815" s="800"/>
      <c r="H815" s="801"/>
      <c r="I815" s="802"/>
      <c r="J815" s="801"/>
    </row>
    <row r="816">
      <c r="A816" s="800"/>
      <c r="B816" s="800"/>
      <c r="C816" s="800"/>
      <c r="D816" s="800"/>
      <c r="E816" s="800"/>
      <c r="F816" s="800"/>
      <c r="G816" s="800"/>
      <c r="H816" s="801"/>
      <c r="I816" s="802"/>
      <c r="J816" s="801"/>
    </row>
    <row r="817">
      <c r="A817" s="800"/>
      <c r="B817" s="800"/>
      <c r="C817" s="800"/>
      <c r="D817" s="800"/>
      <c r="E817" s="800"/>
      <c r="F817" s="800"/>
      <c r="G817" s="800"/>
      <c r="H817" s="801"/>
      <c r="I817" s="802"/>
      <c r="J817" s="801"/>
    </row>
    <row r="818">
      <c r="A818" s="800"/>
      <c r="B818" s="800"/>
      <c r="C818" s="800"/>
      <c r="D818" s="800"/>
      <c r="E818" s="800"/>
      <c r="F818" s="800"/>
      <c r="G818" s="800"/>
      <c r="H818" s="801"/>
      <c r="I818" s="802"/>
      <c r="J818" s="801"/>
    </row>
    <row r="819">
      <c r="A819" s="800"/>
      <c r="B819" s="800"/>
      <c r="C819" s="800"/>
      <c r="D819" s="800"/>
      <c r="E819" s="800"/>
      <c r="F819" s="800"/>
      <c r="G819" s="800"/>
      <c r="H819" s="801"/>
      <c r="I819" s="802"/>
      <c r="J819" s="801"/>
    </row>
    <row r="820">
      <c r="A820" s="800"/>
      <c r="B820" s="800"/>
      <c r="C820" s="800"/>
      <c r="D820" s="800"/>
      <c r="E820" s="800"/>
      <c r="F820" s="800"/>
      <c r="G820" s="800"/>
      <c r="H820" s="801"/>
      <c r="I820" s="802"/>
      <c r="J820" s="801"/>
    </row>
    <row r="821">
      <c r="A821" s="800"/>
      <c r="B821" s="800"/>
      <c r="C821" s="800"/>
      <c r="D821" s="800"/>
      <c r="E821" s="800"/>
      <c r="F821" s="800"/>
      <c r="G821" s="800"/>
      <c r="H821" s="801"/>
      <c r="I821" s="802"/>
      <c r="J821" s="801"/>
    </row>
    <row r="822">
      <c r="A822" s="800"/>
      <c r="B822" s="800"/>
      <c r="C822" s="800"/>
      <c r="D822" s="800"/>
      <c r="E822" s="800"/>
      <c r="F822" s="800"/>
      <c r="G822" s="800"/>
      <c r="H822" s="801"/>
      <c r="I822" s="802"/>
      <c r="J822" s="801"/>
    </row>
    <row r="823">
      <c r="A823" s="800"/>
      <c r="B823" s="800"/>
      <c r="C823" s="800"/>
      <c r="D823" s="800"/>
      <c r="E823" s="800"/>
      <c r="F823" s="800"/>
      <c r="G823" s="800"/>
      <c r="H823" s="801"/>
      <c r="I823" s="802"/>
      <c r="J823" s="801"/>
    </row>
    <row r="824">
      <c r="A824" s="800"/>
      <c r="B824" s="800"/>
      <c r="C824" s="800"/>
      <c r="D824" s="800"/>
      <c r="E824" s="800"/>
      <c r="F824" s="800"/>
      <c r="G824" s="800"/>
      <c r="H824" s="801"/>
      <c r="I824" s="802"/>
      <c r="J824" s="801"/>
    </row>
    <row r="825">
      <c r="A825" s="800"/>
      <c r="B825" s="800"/>
      <c r="C825" s="800"/>
      <c r="D825" s="800"/>
      <c r="E825" s="800"/>
      <c r="F825" s="800"/>
      <c r="G825" s="800"/>
      <c r="H825" s="801"/>
      <c r="I825" s="802"/>
      <c r="J825" s="801"/>
    </row>
    <row r="826">
      <c r="A826" s="800"/>
      <c r="B826" s="800"/>
      <c r="C826" s="800"/>
      <c r="D826" s="800"/>
      <c r="E826" s="800"/>
      <c r="F826" s="800"/>
      <c r="G826" s="800"/>
      <c r="H826" s="801"/>
      <c r="I826" s="802"/>
      <c r="J826" s="801"/>
    </row>
    <row r="827">
      <c r="A827" s="800"/>
      <c r="B827" s="800"/>
      <c r="C827" s="800"/>
      <c r="D827" s="800"/>
      <c r="E827" s="800"/>
      <c r="F827" s="800"/>
      <c r="G827" s="800"/>
      <c r="H827" s="801"/>
      <c r="I827" s="802"/>
      <c r="J827" s="801"/>
    </row>
    <row r="828">
      <c r="A828" s="800"/>
      <c r="B828" s="800"/>
      <c r="C828" s="800"/>
      <c r="D828" s="800"/>
      <c r="E828" s="800"/>
      <c r="F828" s="800"/>
      <c r="G828" s="800"/>
      <c r="H828" s="801"/>
      <c r="I828" s="802"/>
      <c r="J828" s="801"/>
    </row>
    <row r="829">
      <c r="A829" s="800"/>
      <c r="B829" s="800"/>
      <c r="C829" s="800"/>
      <c r="D829" s="800"/>
      <c r="E829" s="800"/>
      <c r="F829" s="800"/>
      <c r="G829" s="800"/>
      <c r="H829" s="801"/>
      <c r="I829" s="802"/>
      <c r="J829" s="801"/>
    </row>
    <row r="830">
      <c r="A830" s="800"/>
      <c r="B830" s="800"/>
      <c r="C830" s="800"/>
      <c r="D830" s="800"/>
      <c r="E830" s="800"/>
      <c r="F830" s="800"/>
      <c r="G830" s="800"/>
      <c r="H830" s="801"/>
      <c r="I830" s="802"/>
      <c r="J830" s="801"/>
    </row>
    <row r="831">
      <c r="A831" s="800"/>
      <c r="B831" s="800"/>
      <c r="C831" s="800"/>
      <c r="D831" s="800"/>
      <c r="E831" s="800"/>
      <c r="F831" s="800"/>
      <c r="G831" s="800"/>
      <c r="H831" s="801"/>
      <c r="I831" s="802"/>
      <c r="J831" s="801"/>
    </row>
    <row r="832">
      <c r="A832" s="800"/>
      <c r="B832" s="800"/>
      <c r="C832" s="800"/>
      <c r="D832" s="800"/>
      <c r="E832" s="800"/>
      <c r="F832" s="800"/>
      <c r="G832" s="800"/>
      <c r="H832" s="801"/>
      <c r="I832" s="802"/>
      <c r="J832" s="801"/>
    </row>
    <row r="833">
      <c r="A833" s="800"/>
      <c r="B833" s="800"/>
      <c r="C833" s="800"/>
      <c r="D833" s="800"/>
      <c r="E833" s="800"/>
      <c r="F833" s="800"/>
      <c r="G833" s="800"/>
      <c r="H833" s="801"/>
      <c r="I833" s="802"/>
      <c r="J833" s="801"/>
    </row>
    <row r="834">
      <c r="A834" s="800"/>
      <c r="B834" s="800"/>
      <c r="C834" s="800"/>
      <c r="D834" s="800"/>
      <c r="E834" s="800"/>
      <c r="F834" s="800"/>
      <c r="G834" s="800"/>
      <c r="H834" s="801"/>
      <c r="I834" s="802"/>
      <c r="J834" s="801"/>
    </row>
    <row r="835">
      <c r="A835" s="800"/>
      <c r="B835" s="800"/>
      <c r="C835" s="800"/>
      <c r="D835" s="800"/>
      <c r="E835" s="800"/>
      <c r="F835" s="800"/>
      <c r="G835" s="800"/>
      <c r="H835" s="801"/>
      <c r="I835" s="802"/>
      <c r="J835" s="801"/>
    </row>
    <row r="836">
      <c r="A836" s="800"/>
      <c r="B836" s="800"/>
      <c r="C836" s="800"/>
      <c r="D836" s="800"/>
      <c r="E836" s="800"/>
      <c r="F836" s="800"/>
      <c r="G836" s="800"/>
      <c r="H836" s="801"/>
      <c r="I836" s="802"/>
      <c r="J836" s="801"/>
    </row>
    <row r="837">
      <c r="A837" s="800"/>
      <c r="B837" s="800"/>
      <c r="C837" s="800"/>
      <c r="D837" s="800"/>
      <c r="E837" s="800"/>
      <c r="F837" s="800"/>
      <c r="G837" s="800"/>
      <c r="H837" s="801"/>
      <c r="I837" s="802"/>
      <c r="J837" s="801"/>
    </row>
    <row r="838">
      <c r="A838" s="800"/>
      <c r="B838" s="800"/>
      <c r="C838" s="800"/>
      <c r="D838" s="800"/>
      <c r="E838" s="800"/>
      <c r="F838" s="800"/>
      <c r="G838" s="800"/>
      <c r="H838" s="801"/>
      <c r="I838" s="802"/>
      <c r="J838" s="801"/>
    </row>
    <row r="839">
      <c r="A839" s="800"/>
      <c r="B839" s="800"/>
      <c r="C839" s="800"/>
      <c r="D839" s="800"/>
      <c r="E839" s="800"/>
      <c r="F839" s="800"/>
      <c r="G839" s="800"/>
      <c r="H839" s="801"/>
      <c r="I839" s="802"/>
      <c r="J839" s="801"/>
    </row>
    <row r="840">
      <c r="A840" s="800"/>
      <c r="B840" s="800"/>
      <c r="C840" s="800"/>
      <c r="D840" s="800"/>
      <c r="E840" s="800"/>
      <c r="F840" s="800"/>
      <c r="G840" s="800"/>
      <c r="H840" s="801"/>
      <c r="I840" s="802"/>
      <c r="J840" s="801"/>
    </row>
    <row r="841">
      <c r="A841" s="800"/>
      <c r="B841" s="800"/>
      <c r="C841" s="800"/>
      <c r="D841" s="800"/>
      <c r="E841" s="800"/>
      <c r="F841" s="800"/>
      <c r="G841" s="800"/>
      <c r="H841" s="801"/>
      <c r="I841" s="802"/>
      <c r="J841" s="801"/>
    </row>
    <row r="842">
      <c r="A842" s="800"/>
      <c r="B842" s="800"/>
      <c r="C842" s="800"/>
      <c r="D842" s="800"/>
      <c r="E842" s="800"/>
      <c r="F842" s="800"/>
      <c r="G842" s="800"/>
      <c r="H842" s="801"/>
      <c r="I842" s="802"/>
      <c r="J842" s="801"/>
    </row>
    <row r="843">
      <c r="A843" s="800"/>
      <c r="B843" s="800"/>
      <c r="C843" s="800"/>
      <c r="D843" s="800"/>
      <c r="E843" s="800"/>
      <c r="F843" s="800"/>
      <c r="G843" s="800"/>
      <c r="H843" s="801"/>
      <c r="I843" s="802"/>
      <c r="J843" s="801"/>
    </row>
    <row r="844">
      <c r="A844" s="800"/>
      <c r="B844" s="800"/>
      <c r="C844" s="800"/>
      <c r="D844" s="800"/>
      <c r="E844" s="800"/>
      <c r="F844" s="800"/>
      <c r="G844" s="800"/>
      <c r="H844" s="801"/>
      <c r="I844" s="802"/>
      <c r="J844" s="801"/>
    </row>
    <row r="845">
      <c r="A845" s="800"/>
      <c r="B845" s="800"/>
      <c r="C845" s="800"/>
      <c r="D845" s="800"/>
      <c r="E845" s="800"/>
      <c r="F845" s="800"/>
      <c r="G845" s="800"/>
      <c r="H845" s="801"/>
      <c r="I845" s="802"/>
      <c r="J845" s="801"/>
    </row>
    <row r="846">
      <c r="A846" s="800"/>
      <c r="B846" s="800"/>
      <c r="C846" s="800"/>
      <c r="D846" s="800"/>
      <c r="E846" s="800"/>
      <c r="F846" s="800"/>
      <c r="G846" s="800"/>
      <c r="H846" s="801"/>
      <c r="I846" s="802"/>
      <c r="J846" s="801"/>
    </row>
    <row r="847">
      <c r="A847" s="800"/>
      <c r="B847" s="800"/>
      <c r="C847" s="800"/>
      <c r="D847" s="800"/>
      <c r="E847" s="800"/>
      <c r="F847" s="800"/>
      <c r="G847" s="800"/>
      <c r="H847" s="801"/>
      <c r="I847" s="802"/>
      <c r="J847" s="801"/>
    </row>
    <row r="848">
      <c r="A848" s="800"/>
      <c r="B848" s="800"/>
      <c r="C848" s="800"/>
      <c r="D848" s="800"/>
      <c r="E848" s="800"/>
      <c r="F848" s="800"/>
      <c r="G848" s="800"/>
      <c r="H848" s="801"/>
      <c r="I848" s="802"/>
      <c r="J848" s="801"/>
    </row>
    <row r="849">
      <c r="A849" s="800"/>
      <c r="B849" s="800"/>
      <c r="C849" s="800"/>
      <c r="D849" s="800"/>
      <c r="E849" s="800"/>
      <c r="F849" s="800"/>
      <c r="G849" s="800"/>
      <c r="H849" s="801"/>
      <c r="I849" s="802"/>
      <c r="J849" s="801"/>
    </row>
    <row r="850">
      <c r="A850" s="800"/>
      <c r="B850" s="800"/>
      <c r="C850" s="800"/>
      <c r="D850" s="800"/>
      <c r="E850" s="800"/>
      <c r="F850" s="800"/>
      <c r="G850" s="800"/>
      <c r="H850" s="801"/>
      <c r="I850" s="802"/>
      <c r="J850" s="801"/>
    </row>
    <row r="851">
      <c r="A851" s="800"/>
      <c r="B851" s="800"/>
      <c r="C851" s="800"/>
      <c r="D851" s="800"/>
      <c r="E851" s="800"/>
      <c r="F851" s="800"/>
      <c r="G851" s="800"/>
      <c r="H851" s="801"/>
      <c r="I851" s="802"/>
      <c r="J851" s="801"/>
    </row>
    <row r="852">
      <c r="A852" s="800"/>
      <c r="B852" s="800"/>
      <c r="C852" s="800"/>
      <c r="D852" s="800"/>
      <c r="E852" s="800"/>
      <c r="F852" s="800"/>
      <c r="G852" s="800"/>
      <c r="H852" s="801"/>
      <c r="I852" s="802"/>
      <c r="J852" s="801"/>
    </row>
    <row r="853">
      <c r="A853" s="800"/>
      <c r="B853" s="800"/>
      <c r="C853" s="800"/>
      <c r="D853" s="800"/>
      <c r="E853" s="800"/>
      <c r="F853" s="800"/>
      <c r="G853" s="800"/>
      <c r="H853" s="801"/>
      <c r="I853" s="802"/>
      <c r="J853" s="801"/>
    </row>
    <row r="854">
      <c r="A854" s="800"/>
      <c r="B854" s="800"/>
      <c r="C854" s="800"/>
      <c r="D854" s="800"/>
      <c r="E854" s="800"/>
      <c r="F854" s="800"/>
      <c r="G854" s="800"/>
      <c r="H854" s="801"/>
      <c r="I854" s="802"/>
      <c r="J854" s="801"/>
    </row>
    <row r="855">
      <c r="A855" s="800"/>
      <c r="B855" s="800"/>
      <c r="C855" s="800"/>
      <c r="D855" s="800"/>
      <c r="E855" s="800"/>
      <c r="F855" s="800"/>
      <c r="G855" s="800"/>
      <c r="H855" s="801"/>
      <c r="I855" s="802"/>
      <c r="J855" s="801"/>
    </row>
    <row r="856">
      <c r="A856" s="800"/>
      <c r="B856" s="800"/>
      <c r="C856" s="800"/>
      <c r="D856" s="800"/>
      <c r="E856" s="800"/>
      <c r="F856" s="800"/>
      <c r="G856" s="800"/>
      <c r="H856" s="801"/>
      <c r="I856" s="802"/>
      <c r="J856" s="801"/>
    </row>
    <row r="857">
      <c r="A857" s="800"/>
      <c r="B857" s="800"/>
      <c r="C857" s="800"/>
      <c r="D857" s="800"/>
      <c r="E857" s="800"/>
      <c r="F857" s="800"/>
      <c r="G857" s="800"/>
      <c r="H857" s="801"/>
      <c r="I857" s="802"/>
      <c r="J857" s="801"/>
    </row>
    <row r="858">
      <c r="A858" s="800"/>
      <c r="B858" s="800"/>
      <c r="C858" s="800"/>
      <c r="D858" s="800"/>
      <c r="E858" s="800"/>
      <c r="F858" s="800"/>
      <c r="G858" s="800"/>
      <c r="H858" s="801"/>
      <c r="I858" s="802"/>
      <c r="J858" s="801"/>
    </row>
    <row r="859">
      <c r="A859" s="800"/>
      <c r="B859" s="800"/>
      <c r="C859" s="800"/>
      <c r="D859" s="800"/>
      <c r="E859" s="800"/>
      <c r="F859" s="800"/>
      <c r="G859" s="800"/>
      <c r="H859" s="801"/>
      <c r="I859" s="802"/>
      <c r="J859" s="801"/>
    </row>
    <row r="860">
      <c r="A860" s="800"/>
      <c r="B860" s="800"/>
      <c r="C860" s="800"/>
      <c r="D860" s="800"/>
      <c r="E860" s="800"/>
      <c r="F860" s="800"/>
      <c r="G860" s="800"/>
      <c r="H860" s="801"/>
      <c r="I860" s="802"/>
      <c r="J860" s="801"/>
    </row>
    <row r="861">
      <c r="A861" s="800"/>
      <c r="B861" s="800"/>
      <c r="C861" s="800"/>
      <c r="D861" s="800"/>
      <c r="E861" s="800"/>
      <c r="F861" s="800"/>
      <c r="G861" s="800"/>
      <c r="H861" s="801"/>
      <c r="I861" s="802"/>
      <c r="J861" s="801"/>
    </row>
    <row r="862">
      <c r="A862" s="800"/>
      <c r="B862" s="800"/>
      <c r="C862" s="800"/>
      <c r="D862" s="800"/>
      <c r="E862" s="800"/>
      <c r="F862" s="800"/>
      <c r="G862" s="800"/>
      <c r="H862" s="801"/>
      <c r="I862" s="802"/>
      <c r="J862" s="801"/>
    </row>
    <row r="863">
      <c r="A863" s="800"/>
      <c r="B863" s="800"/>
      <c r="C863" s="800"/>
      <c r="D863" s="800"/>
      <c r="E863" s="800"/>
      <c r="F863" s="800"/>
      <c r="G863" s="800"/>
      <c r="H863" s="801"/>
      <c r="I863" s="802"/>
      <c r="J863" s="801"/>
    </row>
    <row r="864">
      <c r="A864" s="800"/>
      <c r="B864" s="800"/>
      <c r="C864" s="800"/>
      <c r="D864" s="800"/>
      <c r="E864" s="800"/>
      <c r="F864" s="800"/>
      <c r="G864" s="800"/>
      <c r="H864" s="801"/>
      <c r="I864" s="802"/>
      <c r="J864" s="801"/>
    </row>
    <row r="865">
      <c r="A865" s="800"/>
      <c r="B865" s="800"/>
      <c r="C865" s="800"/>
      <c r="D865" s="800"/>
      <c r="E865" s="800"/>
      <c r="F865" s="800"/>
      <c r="G865" s="800"/>
      <c r="H865" s="801"/>
      <c r="I865" s="802"/>
      <c r="J865" s="801"/>
    </row>
    <row r="866">
      <c r="A866" s="800"/>
      <c r="B866" s="800"/>
      <c r="C866" s="800"/>
      <c r="D866" s="800"/>
      <c r="E866" s="800"/>
      <c r="F866" s="800"/>
      <c r="G866" s="800"/>
      <c r="H866" s="801"/>
      <c r="I866" s="802"/>
      <c r="J866" s="801"/>
    </row>
    <row r="867">
      <c r="A867" s="800"/>
      <c r="B867" s="800"/>
      <c r="C867" s="800"/>
      <c r="D867" s="800"/>
      <c r="E867" s="800"/>
      <c r="F867" s="800"/>
      <c r="G867" s="800"/>
      <c r="H867" s="801"/>
      <c r="I867" s="802"/>
      <c r="J867" s="801"/>
    </row>
    <row r="868">
      <c r="A868" s="800"/>
      <c r="B868" s="800"/>
      <c r="C868" s="800"/>
      <c r="D868" s="800"/>
      <c r="E868" s="800"/>
      <c r="F868" s="800"/>
      <c r="G868" s="800"/>
      <c r="H868" s="801"/>
      <c r="I868" s="802"/>
      <c r="J868" s="801"/>
    </row>
    <row r="869">
      <c r="A869" s="800"/>
      <c r="B869" s="800"/>
      <c r="C869" s="800"/>
      <c r="D869" s="800"/>
      <c r="E869" s="800"/>
      <c r="F869" s="800"/>
      <c r="G869" s="800"/>
      <c r="H869" s="801"/>
      <c r="I869" s="802"/>
      <c r="J869" s="801"/>
    </row>
    <row r="870">
      <c r="A870" s="800"/>
      <c r="B870" s="800"/>
      <c r="C870" s="800"/>
      <c r="D870" s="800"/>
      <c r="E870" s="800"/>
      <c r="F870" s="800"/>
      <c r="G870" s="800"/>
      <c r="H870" s="801"/>
      <c r="I870" s="802"/>
      <c r="J870" s="801"/>
    </row>
    <row r="871">
      <c r="A871" s="800"/>
      <c r="B871" s="800"/>
      <c r="C871" s="800"/>
      <c r="D871" s="800"/>
      <c r="E871" s="800"/>
      <c r="F871" s="800"/>
      <c r="G871" s="800"/>
      <c r="H871" s="801"/>
      <c r="I871" s="802"/>
      <c r="J871" s="801"/>
    </row>
    <row r="872">
      <c r="A872" s="800"/>
      <c r="B872" s="800"/>
      <c r="C872" s="800"/>
      <c r="D872" s="800"/>
      <c r="E872" s="800"/>
      <c r="F872" s="800"/>
      <c r="G872" s="800"/>
      <c r="H872" s="801"/>
      <c r="I872" s="802"/>
      <c r="J872" s="801"/>
    </row>
    <row r="873">
      <c r="A873" s="800"/>
      <c r="B873" s="800"/>
      <c r="C873" s="800"/>
      <c r="D873" s="800"/>
      <c r="E873" s="800"/>
      <c r="F873" s="800"/>
      <c r="G873" s="800"/>
      <c r="H873" s="801"/>
      <c r="I873" s="802"/>
      <c r="J873" s="801"/>
    </row>
    <row r="874">
      <c r="A874" s="800"/>
      <c r="B874" s="800"/>
      <c r="C874" s="800"/>
      <c r="D874" s="800"/>
      <c r="E874" s="800"/>
      <c r="F874" s="800"/>
      <c r="G874" s="800"/>
      <c r="H874" s="801"/>
      <c r="I874" s="802"/>
      <c r="J874" s="801"/>
    </row>
    <row r="875">
      <c r="A875" s="800"/>
      <c r="B875" s="800"/>
      <c r="C875" s="800"/>
      <c r="D875" s="800"/>
      <c r="E875" s="800"/>
      <c r="F875" s="800"/>
      <c r="G875" s="800"/>
      <c r="H875" s="801"/>
      <c r="I875" s="802"/>
      <c r="J875" s="801"/>
    </row>
    <row r="876">
      <c r="A876" s="800"/>
      <c r="B876" s="800"/>
      <c r="C876" s="800"/>
      <c r="D876" s="800"/>
      <c r="E876" s="800"/>
      <c r="F876" s="800"/>
      <c r="G876" s="800"/>
      <c r="H876" s="801"/>
      <c r="I876" s="802"/>
      <c r="J876" s="801"/>
    </row>
    <row r="877">
      <c r="A877" s="800"/>
      <c r="B877" s="800"/>
      <c r="C877" s="800"/>
      <c r="D877" s="800"/>
      <c r="E877" s="800"/>
      <c r="F877" s="800"/>
      <c r="G877" s="800"/>
      <c r="H877" s="801"/>
      <c r="I877" s="802"/>
      <c r="J877" s="801"/>
    </row>
    <row r="878">
      <c r="A878" s="800"/>
      <c r="B878" s="800"/>
      <c r="C878" s="800"/>
      <c r="D878" s="800"/>
      <c r="E878" s="800"/>
      <c r="F878" s="800"/>
      <c r="G878" s="800"/>
      <c r="H878" s="801"/>
      <c r="I878" s="802"/>
      <c r="J878" s="801"/>
    </row>
    <row r="879">
      <c r="A879" s="800"/>
      <c r="B879" s="800"/>
      <c r="C879" s="800"/>
      <c r="D879" s="800"/>
      <c r="E879" s="800"/>
      <c r="F879" s="800"/>
      <c r="G879" s="800"/>
      <c r="H879" s="801"/>
      <c r="I879" s="802"/>
      <c r="J879" s="801"/>
    </row>
    <row r="880">
      <c r="A880" s="800"/>
      <c r="B880" s="800"/>
      <c r="C880" s="800"/>
      <c r="D880" s="800"/>
      <c r="E880" s="800"/>
      <c r="F880" s="800"/>
      <c r="G880" s="800"/>
      <c r="H880" s="801"/>
      <c r="I880" s="802"/>
      <c r="J880" s="801"/>
    </row>
    <row r="881">
      <c r="A881" s="800"/>
      <c r="B881" s="800"/>
      <c r="C881" s="800"/>
      <c r="D881" s="800"/>
      <c r="E881" s="800"/>
      <c r="F881" s="800"/>
      <c r="G881" s="800"/>
      <c r="H881" s="801"/>
      <c r="I881" s="802"/>
      <c r="J881" s="801"/>
    </row>
    <row r="882">
      <c r="A882" s="800"/>
      <c r="B882" s="800"/>
      <c r="C882" s="800"/>
      <c r="D882" s="800"/>
      <c r="E882" s="800"/>
      <c r="F882" s="800"/>
      <c r="G882" s="800"/>
      <c r="H882" s="801"/>
      <c r="I882" s="802"/>
      <c r="J882" s="801"/>
    </row>
    <row r="883">
      <c r="A883" s="800"/>
      <c r="B883" s="800"/>
      <c r="C883" s="800"/>
      <c r="D883" s="800"/>
      <c r="E883" s="800"/>
      <c r="F883" s="800"/>
      <c r="G883" s="800"/>
      <c r="H883" s="801"/>
      <c r="I883" s="802"/>
      <c r="J883" s="801"/>
    </row>
    <row r="884">
      <c r="A884" s="800"/>
      <c r="B884" s="800"/>
      <c r="C884" s="800"/>
      <c r="D884" s="800"/>
      <c r="E884" s="800"/>
      <c r="F884" s="800"/>
      <c r="G884" s="800"/>
      <c r="H884" s="801"/>
      <c r="I884" s="802"/>
      <c r="J884" s="801"/>
    </row>
    <row r="885">
      <c r="A885" s="800"/>
      <c r="B885" s="800"/>
      <c r="C885" s="800"/>
      <c r="D885" s="800"/>
      <c r="E885" s="800"/>
      <c r="F885" s="800"/>
      <c r="G885" s="800"/>
      <c r="H885" s="801"/>
      <c r="I885" s="802"/>
      <c r="J885" s="801"/>
    </row>
    <row r="886">
      <c r="A886" s="800"/>
      <c r="B886" s="800"/>
      <c r="C886" s="800"/>
      <c r="D886" s="800"/>
      <c r="E886" s="800"/>
      <c r="F886" s="800"/>
      <c r="G886" s="800"/>
      <c r="H886" s="801"/>
      <c r="I886" s="802"/>
      <c r="J886" s="801"/>
    </row>
    <row r="887">
      <c r="A887" s="800"/>
      <c r="B887" s="800"/>
      <c r="C887" s="800"/>
      <c r="D887" s="800"/>
      <c r="E887" s="800"/>
      <c r="F887" s="800"/>
      <c r="G887" s="800"/>
      <c r="H887" s="801"/>
      <c r="I887" s="802"/>
      <c r="J887" s="801"/>
    </row>
    <row r="888">
      <c r="A888" s="800"/>
      <c r="B888" s="800"/>
      <c r="C888" s="800"/>
      <c r="D888" s="800"/>
      <c r="E888" s="800"/>
      <c r="F888" s="800"/>
      <c r="G888" s="800"/>
      <c r="H888" s="801"/>
      <c r="I888" s="802"/>
      <c r="J888" s="801"/>
    </row>
    <row r="889">
      <c r="A889" s="800"/>
      <c r="B889" s="800"/>
      <c r="C889" s="800"/>
      <c r="D889" s="800"/>
      <c r="E889" s="800"/>
      <c r="F889" s="800"/>
      <c r="G889" s="800"/>
      <c r="H889" s="801"/>
      <c r="I889" s="802"/>
      <c r="J889" s="801"/>
    </row>
    <row r="890">
      <c r="A890" s="800"/>
      <c r="B890" s="800"/>
      <c r="C890" s="800"/>
      <c r="D890" s="800"/>
      <c r="E890" s="800"/>
      <c r="F890" s="800"/>
      <c r="G890" s="800"/>
      <c r="H890" s="801"/>
      <c r="I890" s="802"/>
      <c r="J890" s="801"/>
    </row>
    <row r="891">
      <c r="A891" s="800"/>
      <c r="B891" s="800"/>
      <c r="C891" s="800"/>
      <c r="D891" s="800"/>
      <c r="E891" s="800"/>
      <c r="F891" s="800"/>
      <c r="G891" s="800"/>
      <c r="H891" s="801"/>
      <c r="I891" s="802"/>
      <c r="J891" s="801"/>
    </row>
    <row r="892">
      <c r="A892" s="800"/>
      <c r="B892" s="800"/>
      <c r="C892" s="800"/>
      <c r="D892" s="800"/>
      <c r="E892" s="800"/>
      <c r="F892" s="800"/>
      <c r="G892" s="800"/>
      <c r="H892" s="801"/>
      <c r="I892" s="802"/>
      <c r="J892" s="801"/>
    </row>
    <row r="893">
      <c r="A893" s="800"/>
      <c r="B893" s="800"/>
      <c r="C893" s="800"/>
      <c r="D893" s="800"/>
      <c r="E893" s="800"/>
      <c r="F893" s="800"/>
      <c r="G893" s="800"/>
      <c r="H893" s="801"/>
      <c r="I893" s="802"/>
      <c r="J893" s="801"/>
    </row>
    <row r="894">
      <c r="A894" s="800"/>
      <c r="B894" s="800"/>
      <c r="C894" s="800"/>
      <c r="D894" s="800"/>
      <c r="E894" s="800"/>
      <c r="F894" s="800"/>
      <c r="G894" s="800"/>
      <c r="H894" s="801"/>
      <c r="I894" s="802"/>
      <c r="J894" s="801"/>
    </row>
    <row r="895">
      <c r="A895" s="800"/>
      <c r="B895" s="800"/>
      <c r="C895" s="800"/>
      <c r="D895" s="800"/>
      <c r="E895" s="800"/>
      <c r="F895" s="800"/>
      <c r="G895" s="800"/>
      <c r="H895" s="801"/>
      <c r="I895" s="802"/>
      <c r="J895" s="801"/>
    </row>
    <row r="896">
      <c r="A896" s="800"/>
      <c r="B896" s="800"/>
      <c r="C896" s="800"/>
      <c r="D896" s="800"/>
      <c r="E896" s="800"/>
      <c r="F896" s="800"/>
      <c r="G896" s="800"/>
      <c r="H896" s="801"/>
      <c r="I896" s="802"/>
      <c r="J896" s="801"/>
    </row>
    <row r="897">
      <c r="A897" s="800"/>
      <c r="B897" s="800"/>
      <c r="C897" s="800"/>
      <c r="D897" s="800"/>
      <c r="E897" s="800"/>
      <c r="F897" s="800"/>
      <c r="G897" s="800"/>
      <c r="H897" s="801"/>
      <c r="I897" s="802"/>
      <c r="J897" s="801"/>
    </row>
    <row r="898">
      <c r="A898" s="800"/>
      <c r="B898" s="800"/>
      <c r="C898" s="800"/>
      <c r="D898" s="800"/>
      <c r="E898" s="800"/>
      <c r="F898" s="800"/>
      <c r="G898" s="800"/>
      <c r="H898" s="801"/>
      <c r="I898" s="802"/>
      <c r="J898" s="801"/>
    </row>
    <row r="899">
      <c r="A899" s="800"/>
      <c r="B899" s="800"/>
      <c r="C899" s="800"/>
      <c r="D899" s="800"/>
      <c r="E899" s="800"/>
      <c r="F899" s="800"/>
      <c r="G899" s="800"/>
      <c r="H899" s="801"/>
      <c r="I899" s="802"/>
      <c r="J899" s="801"/>
    </row>
    <row r="900">
      <c r="A900" s="800"/>
      <c r="B900" s="800"/>
      <c r="C900" s="800"/>
      <c r="D900" s="800"/>
      <c r="E900" s="800"/>
      <c r="F900" s="800"/>
      <c r="G900" s="800"/>
      <c r="H900" s="801"/>
      <c r="I900" s="802"/>
      <c r="J900" s="801"/>
    </row>
    <row r="901">
      <c r="A901" s="800"/>
      <c r="B901" s="800"/>
      <c r="C901" s="800"/>
      <c r="D901" s="800"/>
      <c r="E901" s="800"/>
      <c r="F901" s="800"/>
      <c r="G901" s="800"/>
      <c r="H901" s="801"/>
      <c r="I901" s="802"/>
      <c r="J901" s="801"/>
    </row>
    <row r="902">
      <c r="A902" s="800"/>
      <c r="B902" s="800"/>
      <c r="C902" s="800"/>
      <c r="D902" s="800"/>
      <c r="E902" s="800"/>
      <c r="F902" s="800"/>
      <c r="G902" s="800"/>
      <c r="H902" s="801"/>
      <c r="I902" s="802"/>
      <c r="J902" s="801"/>
    </row>
    <row r="903">
      <c r="A903" s="800"/>
      <c r="B903" s="800"/>
      <c r="C903" s="800"/>
      <c r="D903" s="800"/>
      <c r="E903" s="800"/>
      <c r="F903" s="800"/>
      <c r="G903" s="800"/>
      <c r="H903" s="801"/>
      <c r="I903" s="802"/>
      <c r="J903" s="801"/>
    </row>
    <row r="904">
      <c r="A904" s="800"/>
      <c r="B904" s="800"/>
      <c r="C904" s="800"/>
      <c r="D904" s="800"/>
      <c r="E904" s="800"/>
      <c r="F904" s="800"/>
      <c r="G904" s="800"/>
      <c r="H904" s="801"/>
      <c r="I904" s="802"/>
      <c r="J904" s="801"/>
    </row>
    <row r="905">
      <c r="A905" s="800"/>
      <c r="B905" s="800"/>
      <c r="C905" s="800"/>
      <c r="D905" s="800"/>
      <c r="E905" s="800"/>
      <c r="F905" s="800"/>
      <c r="G905" s="800"/>
      <c r="H905" s="801"/>
      <c r="I905" s="802"/>
      <c r="J905" s="801"/>
    </row>
    <row r="906">
      <c r="A906" s="800"/>
      <c r="B906" s="800"/>
      <c r="C906" s="800"/>
      <c r="D906" s="800"/>
      <c r="E906" s="800"/>
      <c r="F906" s="800"/>
      <c r="G906" s="800"/>
      <c r="H906" s="801"/>
      <c r="I906" s="802"/>
      <c r="J906" s="801"/>
    </row>
    <row r="907">
      <c r="A907" s="800"/>
      <c r="B907" s="800"/>
      <c r="C907" s="800"/>
      <c r="D907" s="800"/>
      <c r="E907" s="800"/>
      <c r="F907" s="800"/>
      <c r="G907" s="800"/>
      <c r="H907" s="801"/>
      <c r="I907" s="802"/>
      <c r="J907" s="801"/>
    </row>
    <row r="908">
      <c r="A908" s="800"/>
      <c r="B908" s="800"/>
      <c r="C908" s="800"/>
      <c r="D908" s="800"/>
      <c r="E908" s="800"/>
      <c r="F908" s="800"/>
      <c r="G908" s="800"/>
      <c r="H908" s="801"/>
      <c r="I908" s="802"/>
      <c r="J908" s="801"/>
    </row>
    <row r="909">
      <c r="A909" s="800"/>
      <c r="B909" s="800"/>
      <c r="C909" s="800"/>
      <c r="D909" s="800"/>
      <c r="E909" s="800"/>
      <c r="F909" s="800"/>
      <c r="G909" s="800"/>
      <c r="H909" s="801"/>
      <c r="I909" s="802"/>
      <c r="J909" s="801"/>
    </row>
    <row r="910">
      <c r="A910" s="800"/>
      <c r="B910" s="800"/>
      <c r="C910" s="800"/>
      <c r="D910" s="800"/>
      <c r="E910" s="800"/>
      <c r="F910" s="800"/>
      <c r="G910" s="800"/>
      <c r="H910" s="801"/>
      <c r="I910" s="802"/>
      <c r="J910" s="801"/>
    </row>
    <row r="911">
      <c r="A911" s="800"/>
      <c r="B911" s="800"/>
      <c r="C911" s="800"/>
      <c r="D911" s="800"/>
      <c r="E911" s="800"/>
      <c r="F911" s="800"/>
      <c r="G911" s="800"/>
      <c r="H911" s="801"/>
      <c r="I911" s="802"/>
      <c r="J911" s="801"/>
    </row>
    <row r="912">
      <c r="A912" s="800"/>
      <c r="B912" s="800"/>
      <c r="C912" s="800"/>
      <c r="D912" s="800"/>
      <c r="E912" s="800"/>
      <c r="F912" s="800"/>
      <c r="G912" s="800"/>
      <c r="H912" s="801"/>
      <c r="I912" s="802"/>
      <c r="J912" s="801"/>
    </row>
    <row r="913">
      <c r="A913" s="800"/>
      <c r="B913" s="800"/>
      <c r="C913" s="800"/>
      <c r="D913" s="800"/>
      <c r="E913" s="800"/>
      <c r="F913" s="800"/>
      <c r="G913" s="800"/>
      <c r="H913" s="801"/>
      <c r="I913" s="802"/>
      <c r="J913" s="801"/>
    </row>
    <row r="914">
      <c r="A914" s="800"/>
      <c r="B914" s="800"/>
      <c r="C914" s="800"/>
      <c r="D914" s="800"/>
      <c r="E914" s="800"/>
      <c r="F914" s="800"/>
      <c r="G914" s="800"/>
      <c r="H914" s="801"/>
      <c r="I914" s="802"/>
      <c r="J914" s="801"/>
    </row>
    <row r="915">
      <c r="A915" s="800"/>
      <c r="B915" s="800"/>
      <c r="C915" s="800"/>
      <c r="D915" s="800"/>
      <c r="E915" s="800"/>
      <c r="F915" s="800"/>
      <c r="G915" s="800"/>
      <c r="H915" s="801"/>
      <c r="I915" s="802"/>
      <c r="J915" s="801"/>
    </row>
    <row r="916">
      <c r="A916" s="800"/>
      <c r="B916" s="800"/>
      <c r="C916" s="800"/>
      <c r="D916" s="800"/>
      <c r="E916" s="800"/>
      <c r="F916" s="800"/>
      <c r="G916" s="800"/>
      <c r="H916" s="801"/>
      <c r="I916" s="802"/>
      <c r="J916" s="801"/>
    </row>
    <row r="917">
      <c r="A917" s="800"/>
      <c r="B917" s="800"/>
      <c r="C917" s="800"/>
      <c r="D917" s="800"/>
      <c r="E917" s="800"/>
      <c r="F917" s="800"/>
      <c r="G917" s="800"/>
      <c r="H917" s="801"/>
      <c r="I917" s="802"/>
      <c r="J917" s="801"/>
    </row>
    <row r="918">
      <c r="A918" s="800"/>
      <c r="B918" s="800"/>
      <c r="C918" s="800"/>
      <c r="D918" s="800"/>
      <c r="E918" s="800"/>
      <c r="F918" s="800"/>
      <c r="G918" s="800"/>
      <c r="H918" s="801"/>
      <c r="I918" s="802"/>
      <c r="J918" s="801"/>
    </row>
    <row r="919">
      <c r="A919" s="800"/>
      <c r="B919" s="800"/>
      <c r="C919" s="800"/>
      <c r="D919" s="800"/>
      <c r="E919" s="800"/>
      <c r="F919" s="800"/>
      <c r="G919" s="800"/>
      <c r="H919" s="801"/>
      <c r="I919" s="802"/>
      <c r="J919" s="801"/>
    </row>
    <row r="920">
      <c r="A920" s="800"/>
      <c r="B920" s="800"/>
      <c r="C920" s="800"/>
      <c r="D920" s="800"/>
      <c r="E920" s="800"/>
      <c r="F920" s="800"/>
      <c r="G920" s="800"/>
      <c r="H920" s="801"/>
      <c r="I920" s="802"/>
      <c r="J920" s="801"/>
    </row>
    <row r="921">
      <c r="A921" s="800"/>
      <c r="B921" s="800"/>
      <c r="C921" s="800"/>
      <c r="D921" s="800"/>
      <c r="E921" s="800"/>
      <c r="F921" s="800"/>
      <c r="G921" s="800"/>
      <c r="H921" s="801"/>
      <c r="I921" s="802"/>
      <c r="J921" s="801"/>
    </row>
    <row r="922">
      <c r="A922" s="800"/>
      <c r="B922" s="800"/>
      <c r="C922" s="800"/>
      <c r="D922" s="800"/>
      <c r="E922" s="800"/>
      <c r="F922" s="800"/>
      <c r="G922" s="800"/>
      <c r="H922" s="801"/>
      <c r="I922" s="802"/>
      <c r="J922" s="801"/>
    </row>
    <row r="923">
      <c r="A923" s="800"/>
      <c r="B923" s="800"/>
      <c r="C923" s="800"/>
      <c r="D923" s="800"/>
      <c r="E923" s="800"/>
      <c r="F923" s="800"/>
      <c r="G923" s="800"/>
      <c r="H923" s="801"/>
      <c r="I923" s="802"/>
      <c r="J923" s="801"/>
    </row>
    <row r="924">
      <c r="A924" s="800"/>
      <c r="B924" s="800"/>
      <c r="C924" s="800"/>
      <c r="D924" s="800"/>
      <c r="E924" s="800"/>
      <c r="F924" s="800"/>
      <c r="G924" s="800"/>
      <c r="H924" s="801"/>
      <c r="I924" s="802"/>
      <c r="J924" s="801"/>
    </row>
    <row r="925">
      <c r="A925" s="800"/>
      <c r="B925" s="800"/>
      <c r="C925" s="800"/>
      <c r="D925" s="800"/>
      <c r="E925" s="800"/>
      <c r="F925" s="800"/>
      <c r="G925" s="800"/>
      <c r="H925" s="801"/>
      <c r="I925" s="802"/>
      <c r="J925" s="801"/>
    </row>
    <row r="926">
      <c r="A926" s="800"/>
      <c r="B926" s="800"/>
      <c r="C926" s="800"/>
      <c r="D926" s="800"/>
      <c r="E926" s="800"/>
      <c r="F926" s="800"/>
      <c r="G926" s="800"/>
      <c r="H926" s="801"/>
      <c r="I926" s="802"/>
      <c r="J926" s="801"/>
    </row>
    <row r="927">
      <c r="A927" s="800"/>
      <c r="B927" s="800"/>
      <c r="C927" s="800"/>
      <c r="D927" s="800"/>
      <c r="E927" s="800"/>
      <c r="F927" s="800"/>
      <c r="G927" s="800"/>
      <c r="H927" s="801"/>
      <c r="I927" s="802"/>
      <c r="J927" s="801"/>
    </row>
    <row r="928">
      <c r="A928" s="800"/>
      <c r="B928" s="800"/>
      <c r="C928" s="800"/>
      <c r="D928" s="800"/>
      <c r="E928" s="800"/>
      <c r="F928" s="800"/>
      <c r="G928" s="800"/>
      <c r="H928" s="801"/>
      <c r="I928" s="802"/>
      <c r="J928" s="801"/>
    </row>
    <row r="929">
      <c r="A929" s="800"/>
      <c r="B929" s="800"/>
      <c r="C929" s="800"/>
      <c r="D929" s="800"/>
      <c r="E929" s="800"/>
      <c r="F929" s="800"/>
      <c r="G929" s="800"/>
      <c r="H929" s="801"/>
      <c r="I929" s="802"/>
      <c r="J929" s="801"/>
    </row>
    <row r="930">
      <c r="A930" s="800"/>
      <c r="B930" s="800"/>
      <c r="C930" s="800"/>
      <c r="D930" s="800"/>
      <c r="E930" s="800"/>
      <c r="F930" s="800"/>
      <c r="G930" s="800"/>
      <c r="H930" s="801"/>
      <c r="I930" s="802"/>
      <c r="J930" s="801"/>
    </row>
    <row r="931">
      <c r="A931" s="800"/>
      <c r="B931" s="800"/>
      <c r="C931" s="800"/>
      <c r="D931" s="800"/>
      <c r="E931" s="800"/>
      <c r="F931" s="800"/>
      <c r="G931" s="800"/>
      <c r="H931" s="801"/>
      <c r="I931" s="802"/>
      <c r="J931" s="801"/>
    </row>
    <row r="932">
      <c r="A932" s="800"/>
      <c r="B932" s="800"/>
      <c r="C932" s="800"/>
      <c r="D932" s="800"/>
      <c r="E932" s="800"/>
      <c r="F932" s="800"/>
      <c r="G932" s="800"/>
      <c r="H932" s="801"/>
      <c r="I932" s="802"/>
      <c r="J932" s="801"/>
    </row>
    <row r="933">
      <c r="A933" s="800"/>
      <c r="B933" s="800"/>
      <c r="C933" s="800"/>
      <c r="D933" s="800"/>
      <c r="E933" s="800"/>
      <c r="F933" s="800"/>
      <c r="G933" s="800"/>
      <c r="H933" s="801"/>
      <c r="I933" s="802"/>
      <c r="J933" s="801"/>
    </row>
    <row r="934">
      <c r="A934" s="800"/>
      <c r="B934" s="800"/>
      <c r="C934" s="800"/>
      <c r="D934" s="800"/>
      <c r="E934" s="800"/>
      <c r="F934" s="800"/>
      <c r="G934" s="800"/>
      <c r="H934" s="801"/>
      <c r="I934" s="802"/>
      <c r="J934" s="801"/>
    </row>
    <row r="935">
      <c r="A935" s="800"/>
      <c r="B935" s="800"/>
      <c r="C935" s="800"/>
      <c r="D935" s="800"/>
      <c r="E935" s="800"/>
      <c r="F935" s="800"/>
      <c r="G935" s="800"/>
      <c r="H935" s="801"/>
      <c r="I935" s="802"/>
      <c r="J935" s="801"/>
    </row>
    <row r="936">
      <c r="A936" s="800"/>
      <c r="B936" s="800"/>
      <c r="C936" s="800"/>
      <c r="D936" s="800"/>
      <c r="E936" s="800"/>
      <c r="F936" s="800"/>
      <c r="G936" s="800"/>
      <c r="H936" s="801"/>
      <c r="I936" s="802"/>
      <c r="J936" s="801"/>
    </row>
    <row r="937">
      <c r="A937" s="800"/>
      <c r="B937" s="800"/>
      <c r="C937" s="800"/>
      <c r="D937" s="800"/>
      <c r="E937" s="800"/>
      <c r="F937" s="800"/>
      <c r="G937" s="800"/>
      <c r="H937" s="801"/>
      <c r="I937" s="802"/>
      <c r="J937" s="801"/>
    </row>
    <row r="938">
      <c r="A938" s="800"/>
      <c r="B938" s="800"/>
      <c r="C938" s="800"/>
      <c r="D938" s="800"/>
      <c r="E938" s="800"/>
      <c r="F938" s="800"/>
      <c r="G938" s="800"/>
      <c r="H938" s="801"/>
      <c r="I938" s="802"/>
      <c r="J938" s="801"/>
    </row>
    <row r="939">
      <c r="A939" s="800"/>
      <c r="B939" s="800"/>
      <c r="C939" s="800"/>
      <c r="D939" s="800"/>
      <c r="E939" s="800"/>
      <c r="F939" s="800"/>
      <c r="G939" s="800"/>
      <c r="H939" s="801"/>
      <c r="I939" s="802"/>
      <c r="J939" s="801"/>
    </row>
    <row r="940">
      <c r="A940" s="800"/>
      <c r="B940" s="800"/>
      <c r="C940" s="800"/>
      <c r="D940" s="800"/>
      <c r="E940" s="800"/>
      <c r="F940" s="800"/>
      <c r="G940" s="800"/>
      <c r="H940" s="801"/>
      <c r="I940" s="802"/>
      <c r="J940" s="801"/>
    </row>
    <row r="941">
      <c r="A941" s="800"/>
      <c r="B941" s="800"/>
      <c r="C941" s="800"/>
      <c r="D941" s="800"/>
      <c r="E941" s="800"/>
      <c r="F941" s="800"/>
      <c r="G941" s="800"/>
      <c r="H941" s="801"/>
      <c r="I941" s="802"/>
      <c r="J941" s="801"/>
    </row>
    <row r="942">
      <c r="A942" s="800"/>
      <c r="B942" s="800"/>
      <c r="C942" s="800"/>
      <c r="D942" s="800"/>
      <c r="E942" s="800"/>
      <c r="F942" s="800"/>
      <c r="G942" s="800"/>
      <c r="H942" s="801"/>
      <c r="I942" s="802"/>
      <c r="J942" s="801"/>
    </row>
    <row r="943">
      <c r="A943" s="800"/>
      <c r="B943" s="800"/>
      <c r="C943" s="800"/>
      <c r="D943" s="800"/>
      <c r="E943" s="800"/>
      <c r="F943" s="800"/>
      <c r="G943" s="800"/>
      <c r="H943" s="801"/>
      <c r="I943" s="802"/>
      <c r="J943" s="801"/>
    </row>
    <row r="944">
      <c r="A944" s="800"/>
      <c r="B944" s="800"/>
      <c r="C944" s="800"/>
      <c r="D944" s="800"/>
      <c r="E944" s="800"/>
      <c r="F944" s="800"/>
      <c r="G944" s="800"/>
      <c r="H944" s="801"/>
      <c r="I944" s="802"/>
      <c r="J944" s="801"/>
    </row>
    <row r="945">
      <c r="A945" s="800"/>
      <c r="B945" s="800"/>
      <c r="C945" s="800"/>
      <c r="D945" s="800"/>
      <c r="E945" s="800"/>
      <c r="F945" s="800"/>
      <c r="G945" s="800"/>
      <c r="H945" s="801"/>
      <c r="I945" s="802"/>
      <c r="J945" s="801"/>
    </row>
    <row r="946">
      <c r="A946" s="800"/>
      <c r="B946" s="800"/>
      <c r="C946" s="800"/>
      <c r="D946" s="800"/>
      <c r="E946" s="800"/>
      <c r="F946" s="800"/>
      <c r="G946" s="800"/>
      <c r="H946" s="801"/>
      <c r="I946" s="802"/>
      <c r="J946" s="801"/>
    </row>
    <row r="947">
      <c r="A947" s="800"/>
      <c r="B947" s="800"/>
      <c r="C947" s="800"/>
      <c r="D947" s="800"/>
      <c r="E947" s="800"/>
      <c r="F947" s="800"/>
      <c r="G947" s="800"/>
      <c r="H947" s="801"/>
      <c r="I947" s="802"/>
      <c r="J947" s="801"/>
    </row>
    <row r="948">
      <c r="A948" s="800"/>
      <c r="B948" s="800"/>
      <c r="C948" s="800"/>
      <c r="D948" s="800"/>
      <c r="E948" s="800"/>
      <c r="F948" s="800"/>
      <c r="G948" s="800"/>
      <c r="H948" s="801"/>
      <c r="I948" s="802"/>
      <c r="J948" s="801"/>
    </row>
    <row r="949">
      <c r="A949" s="800"/>
      <c r="B949" s="800"/>
      <c r="C949" s="800"/>
      <c r="D949" s="800"/>
      <c r="E949" s="800"/>
      <c r="F949" s="800"/>
      <c r="G949" s="800"/>
      <c r="H949" s="801"/>
      <c r="I949" s="802"/>
      <c r="J949" s="801"/>
    </row>
    <row r="950">
      <c r="A950" s="800"/>
      <c r="B950" s="800"/>
      <c r="C950" s="800"/>
      <c r="D950" s="800"/>
      <c r="E950" s="800"/>
      <c r="F950" s="800"/>
      <c r="G950" s="800"/>
      <c r="H950" s="801"/>
      <c r="I950" s="802"/>
      <c r="J950" s="801"/>
    </row>
    <row r="951">
      <c r="A951" s="800"/>
      <c r="B951" s="800"/>
      <c r="C951" s="800"/>
      <c r="D951" s="800"/>
      <c r="E951" s="800"/>
      <c r="F951" s="800"/>
      <c r="G951" s="800"/>
      <c r="H951" s="801"/>
      <c r="I951" s="802"/>
      <c r="J951" s="801"/>
    </row>
    <row r="952">
      <c r="A952" s="800"/>
      <c r="B952" s="800"/>
      <c r="C952" s="800"/>
      <c r="D952" s="800"/>
      <c r="E952" s="800"/>
      <c r="F952" s="800"/>
      <c r="G952" s="800"/>
      <c r="H952" s="801"/>
      <c r="I952" s="802"/>
      <c r="J952" s="801"/>
    </row>
    <row r="953">
      <c r="A953" s="800"/>
      <c r="B953" s="800"/>
      <c r="C953" s="800"/>
      <c r="D953" s="800"/>
      <c r="E953" s="800"/>
      <c r="F953" s="800"/>
      <c r="G953" s="800"/>
      <c r="H953" s="801"/>
      <c r="I953" s="802"/>
      <c r="J953" s="801"/>
    </row>
    <row r="954">
      <c r="A954" s="800"/>
      <c r="B954" s="800"/>
      <c r="C954" s="800"/>
      <c r="D954" s="800"/>
      <c r="E954" s="800"/>
      <c r="F954" s="800"/>
      <c r="G954" s="800"/>
      <c r="H954" s="801"/>
      <c r="I954" s="802"/>
      <c r="J954" s="801"/>
    </row>
    <row r="955">
      <c r="A955" s="800"/>
      <c r="B955" s="800"/>
      <c r="C955" s="800"/>
      <c r="D955" s="800"/>
      <c r="E955" s="800"/>
      <c r="F955" s="800"/>
      <c r="G955" s="800"/>
      <c r="H955" s="801"/>
      <c r="I955" s="802"/>
      <c r="J955" s="801"/>
    </row>
    <row r="956">
      <c r="A956" s="800"/>
      <c r="B956" s="800"/>
      <c r="C956" s="800"/>
      <c r="D956" s="800"/>
      <c r="E956" s="800"/>
      <c r="F956" s="800"/>
      <c r="G956" s="800"/>
      <c r="H956" s="801"/>
      <c r="I956" s="802"/>
      <c r="J956" s="801"/>
    </row>
    <row r="957">
      <c r="A957" s="800"/>
      <c r="B957" s="800"/>
      <c r="C957" s="800"/>
      <c r="D957" s="800"/>
      <c r="E957" s="800"/>
      <c r="F957" s="800"/>
      <c r="G957" s="800"/>
      <c r="H957" s="801"/>
      <c r="I957" s="802"/>
      <c r="J957" s="801"/>
    </row>
    <row r="958">
      <c r="A958" s="800"/>
      <c r="B958" s="800"/>
      <c r="C958" s="800"/>
      <c r="D958" s="800"/>
      <c r="E958" s="800"/>
      <c r="F958" s="800"/>
      <c r="G958" s="800"/>
      <c r="H958" s="801"/>
      <c r="I958" s="802"/>
      <c r="J958" s="801"/>
    </row>
    <row r="959">
      <c r="A959" s="800"/>
      <c r="B959" s="800"/>
      <c r="C959" s="800"/>
      <c r="D959" s="800"/>
      <c r="E959" s="800"/>
      <c r="F959" s="800"/>
      <c r="G959" s="800"/>
      <c r="H959" s="801"/>
      <c r="I959" s="802"/>
      <c r="J959" s="801"/>
    </row>
    <row r="960">
      <c r="A960" s="800"/>
      <c r="B960" s="800"/>
      <c r="C960" s="800"/>
      <c r="D960" s="800"/>
      <c r="E960" s="800"/>
      <c r="F960" s="800"/>
      <c r="G960" s="800"/>
      <c r="H960" s="801"/>
      <c r="I960" s="802"/>
      <c r="J960" s="801"/>
    </row>
    <row r="961">
      <c r="A961" s="800"/>
      <c r="B961" s="800"/>
      <c r="C961" s="800"/>
      <c r="D961" s="800"/>
      <c r="E961" s="800"/>
      <c r="F961" s="800"/>
      <c r="G961" s="800"/>
      <c r="H961" s="801"/>
      <c r="I961" s="802"/>
      <c r="J961" s="801"/>
    </row>
    <row r="962">
      <c r="A962" s="800"/>
      <c r="B962" s="800"/>
      <c r="C962" s="800"/>
      <c r="D962" s="800"/>
      <c r="E962" s="800"/>
      <c r="F962" s="800"/>
      <c r="G962" s="800"/>
      <c r="H962" s="801"/>
      <c r="I962" s="802"/>
      <c r="J962" s="801"/>
    </row>
    <row r="963">
      <c r="A963" s="800"/>
      <c r="B963" s="800"/>
      <c r="C963" s="800"/>
      <c r="D963" s="800"/>
      <c r="E963" s="800"/>
      <c r="F963" s="800"/>
      <c r="G963" s="800"/>
      <c r="H963" s="801"/>
      <c r="I963" s="802"/>
      <c r="J963" s="801"/>
    </row>
    <row r="964">
      <c r="A964" s="800"/>
      <c r="B964" s="800"/>
      <c r="C964" s="800"/>
      <c r="D964" s="800"/>
      <c r="E964" s="800"/>
      <c r="F964" s="800"/>
      <c r="G964" s="800"/>
      <c r="H964" s="801"/>
      <c r="I964" s="802"/>
      <c r="J964" s="801"/>
    </row>
    <row r="965">
      <c r="A965" s="800"/>
      <c r="B965" s="800"/>
      <c r="C965" s="800"/>
      <c r="D965" s="800"/>
      <c r="E965" s="800"/>
      <c r="F965" s="800"/>
      <c r="G965" s="800"/>
      <c r="H965" s="801"/>
      <c r="I965" s="802"/>
      <c r="J965" s="801"/>
    </row>
    <row r="966">
      <c r="A966" s="800"/>
      <c r="B966" s="800"/>
      <c r="C966" s="800"/>
      <c r="D966" s="800"/>
      <c r="E966" s="800"/>
      <c r="F966" s="800"/>
      <c r="G966" s="800"/>
      <c r="H966" s="801"/>
      <c r="I966" s="802"/>
      <c r="J966" s="801"/>
    </row>
    <row r="967">
      <c r="A967" s="800"/>
      <c r="B967" s="800"/>
      <c r="C967" s="800"/>
      <c r="D967" s="800"/>
      <c r="E967" s="800"/>
      <c r="F967" s="800"/>
      <c r="G967" s="800"/>
      <c r="H967" s="801"/>
      <c r="I967" s="802"/>
      <c r="J967" s="801"/>
    </row>
    <row r="968">
      <c r="A968" s="800"/>
      <c r="B968" s="800"/>
      <c r="C968" s="800"/>
      <c r="D968" s="800"/>
      <c r="E968" s="800"/>
      <c r="F968" s="800"/>
      <c r="G968" s="800"/>
      <c r="H968" s="801"/>
      <c r="I968" s="802"/>
      <c r="J968" s="801"/>
    </row>
    <row r="969">
      <c r="A969" s="800"/>
      <c r="B969" s="800"/>
      <c r="C969" s="800"/>
      <c r="D969" s="800"/>
      <c r="E969" s="800"/>
      <c r="F969" s="800"/>
      <c r="G969" s="800"/>
      <c r="H969" s="801"/>
      <c r="I969" s="802"/>
      <c r="J969" s="801"/>
    </row>
    <row r="970">
      <c r="A970" s="800"/>
      <c r="B970" s="800"/>
      <c r="C970" s="800"/>
      <c r="D970" s="800"/>
      <c r="E970" s="800"/>
      <c r="F970" s="800"/>
      <c r="G970" s="800"/>
      <c r="H970" s="801"/>
      <c r="I970" s="802"/>
      <c r="J970" s="801"/>
    </row>
    <row r="971">
      <c r="A971" s="800"/>
      <c r="B971" s="800"/>
      <c r="C971" s="800"/>
      <c r="D971" s="800"/>
      <c r="E971" s="800"/>
      <c r="F971" s="800"/>
      <c r="G971" s="800"/>
      <c r="H971" s="801"/>
      <c r="I971" s="802"/>
      <c r="J971" s="801"/>
    </row>
    <row r="972">
      <c r="A972" s="800"/>
      <c r="B972" s="800"/>
      <c r="C972" s="800"/>
      <c r="D972" s="800"/>
      <c r="E972" s="800"/>
      <c r="F972" s="800"/>
      <c r="G972" s="800"/>
      <c r="H972" s="801"/>
      <c r="I972" s="802"/>
      <c r="J972" s="801"/>
    </row>
    <row r="973">
      <c r="A973" s="800"/>
      <c r="B973" s="800"/>
      <c r="C973" s="800"/>
      <c r="D973" s="800"/>
      <c r="E973" s="800"/>
      <c r="F973" s="800"/>
      <c r="G973" s="800"/>
      <c r="H973" s="801"/>
      <c r="I973" s="802"/>
      <c r="J973" s="801"/>
    </row>
    <row r="974">
      <c r="A974" s="800"/>
      <c r="B974" s="800"/>
      <c r="C974" s="800"/>
      <c r="D974" s="800"/>
      <c r="E974" s="800"/>
      <c r="F974" s="800"/>
      <c r="G974" s="800"/>
      <c r="H974" s="801"/>
      <c r="I974" s="802"/>
      <c r="J974" s="801"/>
    </row>
    <row r="975">
      <c r="A975" s="800"/>
      <c r="B975" s="800"/>
      <c r="C975" s="800"/>
      <c r="D975" s="800"/>
      <c r="E975" s="800"/>
      <c r="F975" s="800"/>
      <c r="G975" s="800"/>
      <c r="H975" s="801"/>
      <c r="I975" s="802"/>
      <c r="J975" s="801"/>
    </row>
    <row r="976">
      <c r="A976" s="800"/>
      <c r="B976" s="800"/>
      <c r="C976" s="800"/>
      <c r="D976" s="800"/>
      <c r="E976" s="800"/>
      <c r="F976" s="800"/>
      <c r="G976" s="800"/>
      <c r="H976" s="801"/>
      <c r="I976" s="802"/>
      <c r="J976" s="801"/>
    </row>
    <row r="977">
      <c r="A977" s="800"/>
      <c r="B977" s="800"/>
      <c r="C977" s="800"/>
      <c r="D977" s="800"/>
      <c r="E977" s="800"/>
      <c r="F977" s="800"/>
      <c r="G977" s="800"/>
      <c r="H977" s="801"/>
      <c r="I977" s="802"/>
      <c r="J977" s="801"/>
    </row>
    <row r="978">
      <c r="A978" s="800"/>
      <c r="B978" s="800"/>
      <c r="C978" s="800"/>
      <c r="D978" s="800"/>
      <c r="E978" s="800"/>
      <c r="F978" s="800"/>
      <c r="G978" s="800"/>
      <c r="H978" s="801"/>
      <c r="I978" s="802"/>
      <c r="J978" s="801"/>
    </row>
    <row r="979">
      <c r="A979" s="800"/>
      <c r="B979" s="800"/>
      <c r="C979" s="800"/>
      <c r="D979" s="800"/>
      <c r="E979" s="800"/>
      <c r="F979" s="800"/>
      <c r="G979" s="800"/>
      <c r="H979" s="801"/>
      <c r="I979" s="802"/>
      <c r="J979" s="801"/>
    </row>
    <row r="980">
      <c r="A980" s="800"/>
      <c r="B980" s="800"/>
      <c r="C980" s="800"/>
      <c r="D980" s="800"/>
      <c r="E980" s="800"/>
      <c r="F980" s="800"/>
      <c r="G980" s="800"/>
      <c r="H980" s="801"/>
      <c r="I980" s="802"/>
      <c r="J980" s="801"/>
    </row>
    <row r="981">
      <c r="A981" s="800"/>
      <c r="B981" s="800"/>
      <c r="C981" s="800"/>
      <c r="D981" s="800"/>
      <c r="E981" s="800"/>
      <c r="F981" s="800"/>
      <c r="G981" s="800"/>
      <c r="H981" s="801"/>
      <c r="I981" s="802"/>
      <c r="J981" s="801"/>
    </row>
    <row r="982">
      <c r="A982" s="800"/>
      <c r="B982" s="800"/>
      <c r="C982" s="800"/>
      <c r="D982" s="800"/>
      <c r="E982" s="800"/>
      <c r="F982" s="800"/>
      <c r="G982" s="800"/>
      <c r="H982" s="801"/>
      <c r="I982" s="802"/>
      <c r="J982" s="801"/>
    </row>
    <row r="983">
      <c r="A983" s="800"/>
      <c r="B983" s="800"/>
      <c r="C983" s="800"/>
      <c r="D983" s="800"/>
      <c r="E983" s="800"/>
      <c r="F983" s="800"/>
      <c r="G983" s="800"/>
      <c r="H983" s="801"/>
      <c r="I983" s="802"/>
      <c r="J983" s="801"/>
    </row>
    <row r="984">
      <c r="A984" s="800"/>
      <c r="B984" s="800"/>
      <c r="C984" s="800"/>
      <c r="D984" s="800"/>
      <c r="E984" s="800"/>
      <c r="F984" s="800"/>
      <c r="G984" s="800"/>
      <c r="H984" s="801"/>
      <c r="I984" s="802"/>
      <c r="J984" s="801"/>
    </row>
    <row r="985">
      <c r="A985" s="800"/>
      <c r="B985" s="800"/>
      <c r="C985" s="800"/>
      <c r="D985" s="800"/>
      <c r="E985" s="800"/>
      <c r="F985" s="800"/>
      <c r="G985" s="800"/>
      <c r="H985" s="801"/>
      <c r="I985" s="802"/>
      <c r="J985" s="801"/>
    </row>
    <row r="986">
      <c r="A986" s="800"/>
      <c r="B986" s="800"/>
      <c r="C986" s="800"/>
      <c r="D986" s="800"/>
      <c r="E986" s="800"/>
      <c r="F986" s="800"/>
      <c r="G986" s="800"/>
      <c r="H986" s="801"/>
      <c r="I986" s="802"/>
      <c r="J986" s="801"/>
    </row>
    <row r="987">
      <c r="A987" s="800"/>
      <c r="B987" s="800"/>
      <c r="C987" s="800"/>
      <c r="D987" s="800"/>
      <c r="E987" s="800"/>
      <c r="F987" s="800"/>
      <c r="G987" s="800"/>
      <c r="H987" s="801"/>
      <c r="I987" s="802"/>
      <c r="J987" s="801"/>
    </row>
    <row r="988">
      <c r="A988" s="800"/>
      <c r="B988" s="800"/>
      <c r="C988" s="800"/>
      <c r="D988" s="800"/>
      <c r="E988" s="800"/>
      <c r="F988" s="800"/>
      <c r="G988" s="800"/>
      <c r="H988" s="801"/>
      <c r="I988" s="802"/>
      <c r="J988" s="801"/>
    </row>
    <row r="989">
      <c r="A989" s="800"/>
      <c r="B989" s="800"/>
      <c r="C989" s="800"/>
      <c r="D989" s="800"/>
      <c r="E989" s="800"/>
      <c r="F989" s="800"/>
      <c r="G989" s="800"/>
      <c r="H989" s="801"/>
      <c r="I989" s="802"/>
      <c r="J989" s="801"/>
    </row>
    <row r="990">
      <c r="A990" s="800"/>
      <c r="B990" s="800"/>
      <c r="C990" s="800"/>
      <c r="D990" s="800"/>
      <c r="E990" s="800"/>
      <c r="F990" s="800"/>
      <c r="G990" s="800"/>
      <c r="H990" s="801"/>
      <c r="I990" s="802"/>
      <c r="J990" s="801"/>
    </row>
    <row r="991">
      <c r="A991" s="800"/>
      <c r="B991" s="800"/>
      <c r="C991" s="800"/>
      <c r="D991" s="800"/>
      <c r="E991" s="800"/>
      <c r="F991" s="800"/>
      <c r="G991" s="800"/>
      <c r="H991" s="801"/>
      <c r="I991" s="802"/>
      <c r="J991" s="801"/>
    </row>
    <row r="992">
      <c r="A992" s="800"/>
      <c r="B992" s="800"/>
      <c r="C992" s="800"/>
      <c r="D992" s="800"/>
      <c r="E992" s="800"/>
      <c r="F992" s="800"/>
      <c r="G992" s="800"/>
      <c r="H992" s="801"/>
      <c r="I992" s="802"/>
      <c r="J992" s="801"/>
    </row>
    <row r="993">
      <c r="A993" s="800"/>
      <c r="B993" s="800"/>
      <c r="C993" s="800"/>
      <c r="D993" s="800"/>
      <c r="E993" s="800"/>
      <c r="F993" s="800"/>
      <c r="G993" s="800"/>
      <c r="H993" s="801"/>
      <c r="I993" s="802"/>
      <c r="J993" s="801"/>
    </row>
    <row r="994">
      <c r="A994" s="800"/>
      <c r="B994" s="800"/>
      <c r="C994" s="800"/>
      <c r="D994" s="800"/>
      <c r="E994" s="800"/>
      <c r="F994" s="800"/>
      <c r="G994" s="800"/>
      <c r="H994" s="801"/>
      <c r="I994" s="802"/>
      <c r="J994" s="801"/>
    </row>
    <row r="995">
      <c r="A995" s="800"/>
      <c r="B995" s="800"/>
      <c r="C995" s="800"/>
      <c r="D995" s="800"/>
      <c r="E995" s="800"/>
      <c r="F995" s="800"/>
      <c r="G995" s="800"/>
      <c r="H995" s="801"/>
      <c r="I995" s="802"/>
      <c r="J995" s="801"/>
    </row>
    <row r="996">
      <c r="A996" s="800"/>
      <c r="B996" s="800"/>
      <c r="C996" s="800"/>
      <c r="D996" s="800"/>
      <c r="E996" s="800"/>
      <c r="F996" s="800"/>
      <c r="G996" s="800"/>
      <c r="H996" s="801"/>
      <c r="I996" s="802"/>
      <c r="J996" s="801"/>
    </row>
    <row r="997">
      <c r="A997" s="800"/>
      <c r="B997" s="800"/>
      <c r="C997" s="800"/>
      <c r="D997" s="800"/>
      <c r="E997" s="800"/>
      <c r="F997" s="800"/>
      <c r="G997" s="800"/>
      <c r="H997" s="801"/>
      <c r="I997" s="802"/>
      <c r="J997" s="801"/>
    </row>
    <row r="998">
      <c r="A998" s="800"/>
      <c r="B998" s="800"/>
      <c r="C998" s="800"/>
      <c r="D998" s="800"/>
      <c r="E998" s="800"/>
      <c r="F998" s="800"/>
      <c r="G998" s="800"/>
      <c r="H998" s="801"/>
      <c r="I998" s="802"/>
      <c r="J998" s="801"/>
    </row>
    <row r="999">
      <c r="A999" s="800"/>
      <c r="B999" s="800"/>
      <c r="C999" s="800"/>
      <c r="D999" s="800"/>
      <c r="E999" s="800"/>
      <c r="F999" s="800"/>
      <c r="G999" s="800"/>
      <c r="H999" s="801"/>
      <c r="I999" s="802"/>
      <c r="J999" s="801"/>
    </row>
    <row r="1000">
      <c r="A1000" s="800"/>
      <c r="B1000" s="800"/>
      <c r="C1000" s="800"/>
      <c r="D1000" s="800"/>
      <c r="E1000" s="800"/>
      <c r="F1000" s="800"/>
      <c r="G1000" s="800"/>
      <c r="H1000" s="801"/>
      <c r="I1000" s="802"/>
      <c r="J1000" s="801"/>
    </row>
    <row r="1001">
      <c r="A1001" s="800"/>
      <c r="B1001" s="800"/>
      <c r="C1001" s="800"/>
      <c r="D1001" s="800"/>
      <c r="E1001" s="800"/>
      <c r="F1001" s="800"/>
      <c r="G1001" s="800"/>
      <c r="H1001" s="801"/>
      <c r="I1001" s="802"/>
      <c r="J1001" s="801"/>
    </row>
    <row r="1002">
      <c r="A1002" s="800"/>
      <c r="B1002" s="800"/>
      <c r="C1002" s="800"/>
      <c r="D1002" s="800"/>
      <c r="E1002" s="800"/>
      <c r="F1002" s="800"/>
      <c r="G1002" s="800"/>
      <c r="H1002" s="801"/>
      <c r="I1002" s="802"/>
      <c r="J1002" s="801"/>
    </row>
    <row r="1003">
      <c r="A1003" s="800"/>
      <c r="B1003" s="800"/>
      <c r="C1003" s="800"/>
      <c r="D1003" s="800"/>
      <c r="E1003" s="800"/>
      <c r="F1003" s="800"/>
      <c r="G1003" s="800"/>
      <c r="H1003" s="801"/>
      <c r="I1003" s="802"/>
      <c r="J1003" s="801"/>
    </row>
    <row r="1004">
      <c r="A1004" s="800"/>
      <c r="B1004" s="800"/>
      <c r="C1004" s="800"/>
      <c r="D1004" s="800"/>
      <c r="E1004" s="800"/>
      <c r="F1004" s="800"/>
      <c r="G1004" s="800"/>
      <c r="H1004" s="801"/>
      <c r="I1004" s="802"/>
      <c r="J1004" s="801"/>
    </row>
    <row r="1005">
      <c r="A1005" s="800"/>
      <c r="B1005" s="800"/>
      <c r="C1005" s="800"/>
      <c r="D1005" s="800"/>
      <c r="E1005" s="800"/>
      <c r="F1005" s="800"/>
      <c r="G1005" s="800"/>
      <c r="H1005" s="801"/>
      <c r="I1005" s="802"/>
      <c r="J1005" s="801"/>
    </row>
    <row r="1006">
      <c r="A1006" s="800"/>
      <c r="B1006" s="800"/>
      <c r="C1006" s="800"/>
      <c r="D1006" s="800"/>
      <c r="E1006" s="800"/>
      <c r="F1006" s="800"/>
      <c r="G1006" s="800"/>
      <c r="H1006" s="801"/>
      <c r="I1006" s="802"/>
      <c r="J1006" s="801"/>
    </row>
    <row r="1007">
      <c r="A1007" s="800"/>
      <c r="B1007" s="800"/>
      <c r="C1007" s="800"/>
      <c r="D1007" s="800"/>
      <c r="E1007" s="800"/>
      <c r="F1007" s="800"/>
      <c r="G1007" s="800"/>
      <c r="H1007" s="801"/>
      <c r="I1007" s="802"/>
      <c r="J1007" s="801"/>
    </row>
    <row r="1008">
      <c r="A1008" s="800"/>
      <c r="B1008" s="800"/>
      <c r="C1008" s="800"/>
      <c r="D1008" s="800"/>
      <c r="E1008" s="800"/>
      <c r="F1008" s="800"/>
      <c r="G1008" s="800"/>
      <c r="H1008" s="801"/>
      <c r="I1008" s="802"/>
      <c r="J1008" s="801"/>
    </row>
    <row r="1009">
      <c r="A1009" s="800"/>
      <c r="B1009" s="800"/>
      <c r="C1009" s="800"/>
      <c r="D1009" s="800"/>
      <c r="E1009" s="800"/>
      <c r="F1009" s="800"/>
      <c r="G1009" s="800"/>
      <c r="H1009" s="801"/>
      <c r="I1009" s="802"/>
      <c r="J1009" s="801"/>
    </row>
    <row r="1010">
      <c r="A1010" s="800"/>
      <c r="B1010" s="800"/>
      <c r="C1010" s="800"/>
      <c r="D1010" s="800"/>
      <c r="E1010" s="800"/>
      <c r="F1010" s="800"/>
      <c r="G1010" s="800"/>
      <c r="H1010" s="801"/>
      <c r="I1010" s="802"/>
      <c r="J1010" s="801"/>
    </row>
    <row r="1011">
      <c r="A1011" s="800"/>
      <c r="B1011" s="800"/>
      <c r="C1011" s="800"/>
      <c r="D1011" s="800"/>
      <c r="E1011" s="800"/>
      <c r="F1011" s="800"/>
      <c r="G1011" s="800"/>
      <c r="H1011" s="801"/>
      <c r="I1011" s="802"/>
      <c r="J1011" s="801"/>
    </row>
    <row r="1012">
      <c r="A1012" s="800"/>
      <c r="B1012" s="800"/>
      <c r="C1012" s="800"/>
      <c r="D1012" s="800"/>
      <c r="E1012" s="800"/>
      <c r="F1012" s="800"/>
      <c r="G1012" s="800"/>
      <c r="H1012" s="801"/>
      <c r="I1012" s="802"/>
      <c r="J1012" s="801"/>
    </row>
    <row r="1013">
      <c r="A1013" s="800"/>
      <c r="B1013" s="800"/>
      <c r="C1013" s="800"/>
      <c r="D1013" s="800"/>
      <c r="E1013" s="800"/>
      <c r="F1013" s="800"/>
      <c r="G1013" s="800"/>
      <c r="H1013" s="801"/>
      <c r="I1013" s="802"/>
      <c r="J1013" s="801"/>
    </row>
    <row r="1014">
      <c r="A1014" s="800"/>
      <c r="B1014" s="800"/>
      <c r="C1014" s="800"/>
      <c r="D1014" s="800"/>
      <c r="E1014" s="800"/>
      <c r="F1014" s="800"/>
      <c r="G1014" s="800"/>
      <c r="H1014" s="801"/>
      <c r="I1014" s="802"/>
      <c r="J1014" s="801"/>
    </row>
    <row r="1015">
      <c r="A1015" s="800"/>
      <c r="B1015" s="800"/>
      <c r="C1015" s="800"/>
      <c r="D1015" s="800"/>
      <c r="E1015" s="800"/>
      <c r="F1015" s="800"/>
      <c r="G1015" s="800"/>
      <c r="H1015" s="801"/>
      <c r="I1015" s="802"/>
      <c r="J1015" s="801"/>
    </row>
    <row r="1016">
      <c r="A1016" s="800"/>
      <c r="B1016" s="800"/>
      <c r="C1016" s="800"/>
      <c r="D1016" s="800"/>
      <c r="E1016" s="800"/>
      <c r="F1016" s="800"/>
      <c r="G1016" s="800"/>
      <c r="H1016" s="801"/>
      <c r="I1016" s="802"/>
      <c r="J1016" s="801"/>
    </row>
    <row r="1017">
      <c r="A1017" s="800"/>
      <c r="B1017" s="800"/>
      <c r="C1017" s="800"/>
      <c r="D1017" s="800"/>
      <c r="E1017" s="800"/>
      <c r="F1017" s="800"/>
      <c r="G1017" s="800"/>
      <c r="H1017" s="801"/>
      <c r="I1017" s="802"/>
      <c r="J1017" s="801"/>
    </row>
    <row r="1018">
      <c r="A1018" s="800"/>
      <c r="B1018" s="800"/>
      <c r="C1018" s="800"/>
      <c r="D1018" s="800"/>
      <c r="E1018" s="800"/>
      <c r="F1018" s="800"/>
      <c r="G1018" s="800"/>
      <c r="H1018" s="801"/>
      <c r="I1018" s="802"/>
      <c r="J1018" s="801"/>
    </row>
    <row r="1019">
      <c r="A1019" s="800"/>
      <c r="B1019" s="800"/>
      <c r="C1019" s="800"/>
      <c r="D1019" s="800"/>
      <c r="E1019" s="800"/>
      <c r="F1019" s="800"/>
      <c r="G1019" s="800"/>
      <c r="H1019" s="801"/>
      <c r="I1019" s="802"/>
      <c r="J1019" s="801"/>
    </row>
    <row r="1020">
      <c r="A1020" s="800"/>
      <c r="B1020" s="800"/>
      <c r="C1020" s="800"/>
      <c r="D1020" s="800"/>
      <c r="E1020" s="800"/>
      <c r="F1020" s="800"/>
      <c r="G1020" s="800"/>
      <c r="H1020" s="801"/>
      <c r="I1020" s="802"/>
      <c r="J1020" s="801"/>
    </row>
    <row r="1021">
      <c r="A1021" s="800"/>
      <c r="B1021" s="800"/>
      <c r="C1021" s="800"/>
      <c r="D1021" s="800"/>
      <c r="E1021" s="800"/>
      <c r="F1021" s="800"/>
      <c r="G1021" s="800"/>
      <c r="H1021" s="801"/>
      <c r="I1021" s="802"/>
      <c r="J1021" s="801"/>
    </row>
    <row r="1022">
      <c r="A1022" s="800"/>
      <c r="B1022" s="800"/>
      <c r="C1022" s="800"/>
      <c r="D1022" s="800"/>
      <c r="E1022" s="800"/>
      <c r="F1022" s="800"/>
      <c r="G1022" s="800"/>
      <c r="H1022" s="801"/>
      <c r="I1022" s="802"/>
      <c r="J1022" s="801"/>
    </row>
    <row r="1023">
      <c r="A1023" s="800"/>
      <c r="B1023" s="800"/>
      <c r="C1023" s="800"/>
      <c r="D1023" s="800"/>
      <c r="E1023" s="800"/>
      <c r="F1023" s="800"/>
      <c r="G1023" s="800"/>
      <c r="H1023" s="801"/>
      <c r="I1023" s="802"/>
      <c r="J1023" s="801"/>
    </row>
    <row r="1024">
      <c r="A1024" s="800"/>
      <c r="B1024" s="800"/>
      <c r="C1024" s="800"/>
      <c r="D1024" s="800"/>
      <c r="E1024" s="800"/>
      <c r="F1024" s="800"/>
      <c r="G1024" s="800"/>
      <c r="H1024" s="801"/>
      <c r="I1024" s="802"/>
      <c r="J1024" s="801"/>
    </row>
    <row r="1025">
      <c r="A1025" s="800"/>
      <c r="B1025" s="800"/>
      <c r="C1025" s="800"/>
      <c r="D1025" s="800"/>
      <c r="E1025" s="800"/>
      <c r="F1025" s="800"/>
      <c r="G1025" s="800"/>
      <c r="H1025" s="801"/>
      <c r="I1025" s="802"/>
      <c r="J1025" s="801"/>
    </row>
    <row r="1026">
      <c r="A1026" s="800"/>
      <c r="B1026" s="800"/>
      <c r="C1026" s="800"/>
      <c r="D1026" s="800"/>
      <c r="E1026" s="800"/>
      <c r="F1026" s="800"/>
      <c r="G1026" s="800"/>
      <c r="H1026" s="801"/>
      <c r="I1026" s="802"/>
      <c r="J1026" s="80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52.5"/>
    <col customWidth="1" min="3" max="3" width="16.25"/>
    <col customWidth="1" min="5" max="5" width="39.5"/>
  </cols>
  <sheetData>
    <row r="3">
      <c r="A3" s="188" t="s">
        <v>1362</v>
      </c>
      <c r="B3" s="188" t="s">
        <v>1363</v>
      </c>
      <c r="C3" s="188" t="s">
        <v>1364</v>
      </c>
      <c r="D3" s="189"/>
      <c r="E3" s="188" t="s">
        <v>1365</v>
      </c>
      <c r="F3" s="189"/>
    </row>
    <row r="4">
      <c r="A4" s="189"/>
      <c r="B4" s="189"/>
      <c r="C4" s="189"/>
      <c r="D4" s="189"/>
      <c r="E4" s="189"/>
      <c r="F4" s="189"/>
    </row>
    <row r="5">
      <c r="A5" s="188">
        <v>1.0</v>
      </c>
      <c r="B5" s="188" t="s">
        <v>1366</v>
      </c>
      <c r="C5" s="188" t="s">
        <v>1367</v>
      </c>
      <c r="D5" s="189"/>
      <c r="E5" s="189"/>
      <c r="F5" s="189"/>
    </row>
    <row r="6">
      <c r="A6" s="188">
        <v>2.0</v>
      </c>
      <c r="B6" s="188" t="s">
        <v>1368</v>
      </c>
      <c r="C6" s="188" t="s">
        <v>1367</v>
      </c>
      <c r="D6" s="189"/>
      <c r="E6" s="189"/>
      <c r="F6" s="189"/>
    </row>
    <row r="7">
      <c r="A7" s="188">
        <v>3.0</v>
      </c>
      <c r="B7" s="188" t="s">
        <v>1369</v>
      </c>
      <c r="C7" s="188" t="s">
        <v>1367</v>
      </c>
      <c r="D7" s="189"/>
      <c r="E7" s="188" t="s">
        <v>1370</v>
      </c>
      <c r="F7" s="189"/>
    </row>
    <row r="8">
      <c r="A8" s="188">
        <v>4.0</v>
      </c>
      <c r="B8" s="188" t="s">
        <v>1371</v>
      </c>
      <c r="C8" s="188" t="s">
        <v>1372</v>
      </c>
      <c r="D8" s="188">
        <v>1550.0</v>
      </c>
      <c r="E8" s="188" t="s">
        <v>1373</v>
      </c>
      <c r="F8" s="189"/>
    </row>
    <row r="9">
      <c r="A9" s="188">
        <v>5.0</v>
      </c>
      <c r="B9" s="188" t="s">
        <v>1374</v>
      </c>
      <c r="C9" s="188" t="s">
        <v>1367</v>
      </c>
      <c r="D9" s="189"/>
      <c r="E9" s="188" t="s">
        <v>1375</v>
      </c>
      <c r="F9" s="189"/>
    </row>
    <row r="10">
      <c r="A10" s="188">
        <v>6.0</v>
      </c>
      <c r="B10" s="188" t="s">
        <v>1376</v>
      </c>
      <c r="C10" s="188" t="s">
        <v>1367</v>
      </c>
      <c r="D10" s="189"/>
      <c r="E10" s="188" t="s">
        <v>1375</v>
      </c>
      <c r="F10" s="189"/>
    </row>
    <row r="11">
      <c r="A11" s="188">
        <v>7.0</v>
      </c>
      <c r="B11" s="188" t="s">
        <v>1377</v>
      </c>
      <c r="C11" s="188" t="s">
        <v>1372</v>
      </c>
      <c r="D11" s="189"/>
      <c r="E11" s="188" t="s">
        <v>1378</v>
      </c>
      <c r="F11" s="189"/>
    </row>
    <row r="12">
      <c r="A12" s="188">
        <v>8.0</v>
      </c>
      <c r="B12" s="188" t="s">
        <v>1379</v>
      </c>
      <c r="C12" s="188" t="s">
        <v>1367</v>
      </c>
      <c r="D12" s="189"/>
      <c r="E12" s="188" t="s">
        <v>1380</v>
      </c>
      <c r="F12" s="189"/>
    </row>
    <row r="13">
      <c r="A13" s="188">
        <v>9.0</v>
      </c>
      <c r="B13" s="188" t="s">
        <v>1381</v>
      </c>
      <c r="C13" s="188" t="s">
        <v>1382</v>
      </c>
      <c r="D13" s="189"/>
      <c r="E13" s="189"/>
      <c r="F13" s="189"/>
    </row>
    <row r="14">
      <c r="A14" s="188">
        <v>10.0</v>
      </c>
      <c r="B14" s="188" t="s">
        <v>1383</v>
      </c>
      <c r="C14" s="188" t="s">
        <v>1367</v>
      </c>
      <c r="D14" s="189"/>
      <c r="E14" s="189"/>
      <c r="F14" s="189"/>
    </row>
    <row r="15">
      <c r="A15" s="188">
        <v>11.0</v>
      </c>
      <c r="B15" s="188" t="s">
        <v>1384</v>
      </c>
      <c r="C15" s="188" t="s">
        <v>1367</v>
      </c>
      <c r="D15" s="189"/>
      <c r="E15" s="188" t="s">
        <v>1385</v>
      </c>
      <c r="F15" s="189"/>
    </row>
    <row r="16">
      <c r="A16" s="188">
        <v>12.0</v>
      </c>
      <c r="B16" s="188" t="s">
        <v>1386</v>
      </c>
      <c r="C16" s="188" t="s">
        <v>1367</v>
      </c>
      <c r="D16" s="189"/>
      <c r="E16" s="188" t="s">
        <v>1385</v>
      </c>
      <c r="F16" s="189"/>
    </row>
    <row r="17">
      <c r="A17" s="188">
        <v>13.0</v>
      </c>
      <c r="B17" s="188" t="s">
        <v>1387</v>
      </c>
      <c r="C17" s="188" t="s">
        <v>1388</v>
      </c>
      <c r="D17" s="189"/>
      <c r="E17" s="189"/>
      <c r="F17" s="189"/>
    </row>
    <row r="18">
      <c r="A18" s="188">
        <v>14.0</v>
      </c>
      <c r="B18" s="188" t="s">
        <v>1389</v>
      </c>
      <c r="C18" s="188" t="s">
        <v>1390</v>
      </c>
      <c r="D18" s="189"/>
      <c r="E18" s="188" t="s">
        <v>1391</v>
      </c>
      <c r="F18" s="189"/>
    </row>
    <row r="19">
      <c r="A19" s="188">
        <v>15.0</v>
      </c>
      <c r="B19" s="188" t="s">
        <v>1392</v>
      </c>
      <c r="C19" s="189"/>
      <c r="D19" s="189"/>
      <c r="E19" s="189"/>
      <c r="F19" s="189"/>
    </row>
    <row r="20">
      <c r="A20" s="188">
        <v>16.0</v>
      </c>
      <c r="B20" s="188" t="s">
        <v>1393</v>
      </c>
      <c r="C20" s="189"/>
      <c r="D20" s="189"/>
      <c r="E20" s="189"/>
      <c r="F20" s="189"/>
    </row>
    <row r="21">
      <c r="A21" s="188">
        <v>17.0</v>
      </c>
      <c r="B21" s="188" t="s">
        <v>1394</v>
      </c>
      <c r="C21" s="189"/>
      <c r="D21" s="189"/>
      <c r="E21" s="189"/>
      <c r="F21" s="189"/>
    </row>
    <row r="22">
      <c r="A22" s="188">
        <v>18.0</v>
      </c>
      <c r="B22" s="188" t="s">
        <v>1395</v>
      </c>
      <c r="C22" s="188" t="s">
        <v>1382</v>
      </c>
      <c r="D22" s="189"/>
      <c r="E22" s="189"/>
      <c r="F22" s="189"/>
    </row>
    <row r="23">
      <c r="A23" s="188">
        <v>19.0</v>
      </c>
      <c r="B23" s="188" t="s">
        <v>1396</v>
      </c>
      <c r="C23" s="189"/>
      <c r="D23" s="189"/>
      <c r="E23" s="189"/>
      <c r="F23" s="189"/>
    </row>
    <row r="24">
      <c r="A24" s="188">
        <v>20.0</v>
      </c>
      <c r="B24" s="188" t="s">
        <v>1397</v>
      </c>
      <c r="C24" s="188" t="s">
        <v>1398</v>
      </c>
      <c r="D24" s="189"/>
      <c r="E24" s="189"/>
      <c r="F24" s="189"/>
    </row>
    <row r="25">
      <c r="A25" s="188">
        <v>21.0</v>
      </c>
      <c r="B25" s="188" t="s">
        <v>1399</v>
      </c>
      <c r="C25" s="189"/>
      <c r="D25" s="189"/>
      <c r="E25" s="189"/>
      <c r="F25" s="189"/>
    </row>
    <row r="28">
      <c r="A28" s="37" t="s">
        <v>1400</v>
      </c>
    </row>
  </sheetData>
  <printOptions gridLines="1" horizontalCentered="1"/>
  <pageMargins bottom="0.75" footer="0.0" header="0.0" left="0.7" right="0.7" top="0.75"/>
  <pageSetup fitToHeight="0" paperSize="9" cellComments="atEnd" orientation="landscape" pageOrder="overThenDown"/>
  <drawing r:id="rId1"/>
</worksheet>
</file>